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ransactions" sheetId="1" state="visible" r:id="rId1"/>
    <sheet xmlns:r="http://schemas.openxmlformats.org/officeDocument/2006/relationships" name="Raw_Risk_Profiles" sheetId="2" state="visible" r:id="rId2"/>
    <sheet xmlns:r="http://schemas.openxmlformats.org/officeDocument/2006/relationships" name="Raw_Alerts" sheetId="3" state="visible" r:id="rId3"/>
    <sheet xmlns:r="http://schemas.openxmlformats.org/officeDocument/2006/relationships" name="Consolidated_View" sheetId="4" state="visible" r:id="rId4"/>
    <sheet xmlns:r="http://schemas.openxmlformats.org/officeDocument/2006/relationships" name="Weekly_MIS_Report" sheetId="5" state="visible" r:id="rId5"/>
    <sheet xmlns:r="http://schemas.openxmlformats.org/officeDocument/2006/relationships" name="Monthly_MIS_Report" sheetId="6" state="visible" r:id="rId6"/>
    <sheet xmlns:r="http://schemas.openxmlformats.org/officeDocument/2006/relationships" name="Ad_Hoc_Scorecard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2"/>
    </font>
    <font>
      <b val="1"/>
      <sz val="10"/>
    </font>
    <font>
      <b val="1"/>
      <color rgb="001B3A6B"/>
      <sz val="10"/>
    </font>
    <font>
      <b val="1"/>
      <color rgb="00FFFFFF"/>
      <sz val="14"/>
    </font>
    <font>
      <i val="1"/>
      <color rgb="00FFFFFF"/>
      <sz val="10"/>
    </font>
    <font>
      <b val="1"/>
      <color rgb="00FFFFFF"/>
      <sz val="9"/>
    </font>
    <font>
      <b val="1"/>
      <color rgb="001B3A6B"/>
      <sz val="18"/>
    </font>
    <font>
      <b val="1"/>
      <color rgb="001B3A6B"/>
      <sz val="11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EF2F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2E5E9E"/>
      </patternFill>
    </fill>
    <fill>
      <patternFill patternType="solid">
        <fgColor rgb="00F0F4FB"/>
      </patternFill>
    </fill>
  </fills>
  <borders count="6">
    <border>
      <left/>
      <right/>
      <top/>
      <bottom/>
      <diagonal/>
    </border>
    <border>
      <left style="thin">
        <color rgb="00B0BAC9"/>
      </left>
      <right style="thin">
        <color rgb="00B0BAC9"/>
      </right>
      <top style="thin">
        <color rgb="00B0BAC9"/>
      </top>
      <bottom style="thin">
        <color rgb="00B0BAC9"/>
      </bottom>
    </border>
    <border>
      <left/>
      <right/>
      <top style="thin">
        <color rgb="00B0BAC9"/>
      </top>
      <bottom/>
      <diagonal/>
    </border>
    <border>
      <left/>
      <right style="thin">
        <color rgb="00B0BAC9"/>
      </right>
      <top style="thin">
        <color rgb="00B0BAC9"/>
      </top>
      <bottom/>
      <diagonal/>
    </border>
    <border>
      <left/>
      <right/>
      <top style="thin">
        <color rgb="00B0BAC9"/>
      </top>
      <bottom style="thin">
        <color rgb="00B0BAC9"/>
      </bottom>
      <diagonal/>
    </border>
    <border>
      <left/>
      <right style="thin">
        <color rgb="00B0BAC9"/>
      </right>
      <top style="thin">
        <color rgb="00B0BAC9"/>
      </top>
      <bottom style="thin">
        <color rgb="00B0BAC9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" fontId="2" fillId="3" borderId="1" pivotButton="0" quotePrefix="0" xfId="0"/>
    <xf numFmtId="0" fontId="2" fillId="4" borderId="1" pivotButton="0" quotePrefix="0" xfId="0"/>
    <xf numFmtId="4" fontId="2" fillId="4" borderId="1" pivotButton="0" quotePrefix="0" xfId="0"/>
    <xf numFmtId="164" fontId="2" fillId="3" borderId="1" pivotButton="0" quotePrefix="0" xfId="0"/>
    <xf numFmtId="165" fontId="2" fillId="3" borderId="1" pivotButton="0" quotePrefix="0" xfId="0"/>
    <xf numFmtId="164" fontId="2" fillId="4" borderId="1" pivotButton="0" quotePrefix="0" xfId="0"/>
    <xf numFmtId="165" fontId="2" fillId="4" borderId="1" pivotButton="0" quotePrefix="0" xfId="0"/>
    <xf numFmtId="0" fontId="3" fillId="5" borderId="1" pivotButton="0" quotePrefix="0" xfId="0"/>
    <xf numFmtId="164" fontId="3" fillId="5" borderId="1" pivotButton="0" quotePrefix="0" xfId="0"/>
    <xf numFmtId="165" fontId="3" fillId="5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3" fontId="10" fillId="7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dxfs count="6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7D6608"/>
      </font>
      <fill>
        <patternFill patternType="solid">
          <fgColor rgb="00FFEB9C"/>
        </patternFill>
      </fill>
    </dxf>
    <dxf>
      <font>
        <b val="1"/>
        <color rgb="00276221"/>
      </font>
      <fill>
        <patternFill patternType="solid">
          <fgColor rgb="00C6EFCE"/>
        </patternFill>
      </fill>
    </dxf>
    <dxf>
      <font>
        <color rgb="001F4E79"/>
      </font>
      <fill>
        <patternFill patternType="solid">
          <fgColor rgb="00DEEBF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4" customWidth="1" min="5" max="5"/>
    <col width="10" customWidth="1" min="6" max="6"/>
    <col width="18" customWidth="1" min="7" max="7"/>
  </cols>
  <sheetData>
    <row r="1" ht="22" customHeight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Channel</t>
        </is>
      </c>
      <c r="F1" s="1" t="inlineStr">
        <is>
          <t>Country</t>
        </is>
      </c>
      <c r="G1" s="1" t="inlineStr">
        <is>
          <t>Merchant_Category</t>
        </is>
      </c>
    </row>
    <row r="2">
      <c r="A2" s="2" t="inlineStr">
        <is>
          <t>TXN_000001</t>
        </is>
      </c>
      <c r="B2" s="2" t="inlineStr">
        <is>
          <t>C_00169</t>
        </is>
      </c>
      <c r="C2" s="2" t="inlineStr">
        <is>
          <t>2026-01-01</t>
        </is>
      </c>
      <c r="D2" s="3" t="n">
        <v>20787.1</v>
      </c>
      <c r="E2" s="2" t="inlineStr">
        <is>
          <t>Card</t>
        </is>
      </c>
      <c r="F2" s="2" t="inlineStr">
        <is>
          <t>US</t>
        </is>
      </c>
      <c r="G2" s="2" t="inlineStr">
        <is>
          <t>Electronics</t>
        </is>
      </c>
    </row>
    <row r="3">
      <c r="A3" s="4" t="inlineStr">
        <is>
          <t>TXN_001730</t>
        </is>
      </c>
      <c r="B3" s="4" t="inlineStr">
        <is>
          <t>C_00169</t>
        </is>
      </c>
      <c r="C3" s="4" t="inlineStr">
        <is>
          <t>2026-01-01</t>
        </is>
      </c>
      <c r="D3" s="5" t="n">
        <v>20787.1</v>
      </c>
      <c r="E3" s="4" t="inlineStr">
        <is>
          <t>Card</t>
        </is>
      </c>
      <c r="F3" s="4" t="inlineStr">
        <is>
          <t>US</t>
        </is>
      </c>
      <c r="G3" s="4" t="inlineStr">
        <is>
          <t>Electronics</t>
        </is>
      </c>
    </row>
    <row r="4">
      <c r="A4" s="2" t="inlineStr">
        <is>
          <t>TXN_000012</t>
        </is>
      </c>
      <c r="B4" s="2" t="inlineStr">
        <is>
          <t>C_00199</t>
        </is>
      </c>
      <c r="C4" s="2" t="inlineStr">
        <is>
          <t>2026-01-01</t>
        </is>
      </c>
      <c r="D4" s="3" t="n">
        <v>249.11</v>
      </c>
      <c r="E4" s="2" t="inlineStr">
        <is>
          <t>ACH</t>
        </is>
      </c>
      <c r="F4" s="2" t="inlineStr">
        <is>
          <t>US</t>
        </is>
      </c>
      <c r="G4" s="2" t="inlineStr">
        <is>
          <t>Retail</t>
        </is>
      </c>
    </row>
    <row r="5">
      <c r="A5" s="4" t="inlineStr">
        <is>
          <t>TXN_000011</t>
        </is>
      </c>
      <c r="B5" s="4" t="inlineStr">
        <is>
          <t>C_00051</t>
        </is>
      </c>
      <c r="C5" s="4" t="inlineStr">
        <is>
          <t>2026-01-01</t>
        </is>
      </c>
      <c r="D5" s="5" t="n">
        <v>2437.78</v>
      </c>
      <c r="E5" s="4" t="inlineStr">
        <is>
          <t>Mobile App</t>
        </is>
      </c>
      <c r="F5" s="4" t="inlineStr">
        <is>
          <t>US</t>
        </is>
      </c>
      <c r="G5" s="4" t="inlineStr">
        <is>
          <t>Money Services</t>
        </is>
      </c>
    </row>
    <row r="6">
      <c r="A6" s="2" t="inlineStr">
        <is>
          <t>TXN_000009</t>
        </is>
      </c>
      <c r="B6" s="2" t="inlineStr">
        <is>
          <t>C_00195</t>
        </is>
      </c>
      <c r="C6" s="2" t="inlineStr">
        <is>
          <t>2026-01-01</t>
        </is>
      </c>
      <c r="D6" s="3" t="n">
        <v>499.42</v>
      </c>
      <c r="E6" s="2" t="inlineStr">
        <is>
          <t>Card</t>
        </is>
      </c>
      <c r="F6" s="2" t="inlineStr">
        <is>
          <t>US</t>
        </is>
      </c>
      <c r="G6" s="2" t="inlineStr">
        <is>
          <t>Food &amp; Beverage</t>
        </is>
      </c>
    </row>
    <row r="7">
      <c r="A7" s="4" t="inlineStr">
        <is>
          <t>TXN_000008</t>
        </is>
      </c>
      <c r="B7" s="4" t="inlineStr">
        <is>
          <t>C_00296</t>
        </is>
      </c>
      <c r="C7" s="4" t="inlineStr">
        <is>
          <t>2026-01-01</t>
        </is>
      </c>
      <c r="D7" s="5" t="n">
        <v>2796.56</v>
      </c>
      <c r="E7" s="4" t="inlineStr">
        <is>
          <t>Card</t>
        </is>
      </c>
      <c r="F7" s="4" t="inlineStr">
        <is>
          <t>CA</t>
        </is>
      </c>
      <c r="G7" s="4" t="inlineStr">
        <is>
          <t>Money Services</t>
        </is>
      </c>
    </row>
    <row r="8">
      <c r="A8" s="2" t="inlineStr">
        <is>
          <t>TXN_000010</t>
        </is>
      </c>
      <c r="B8" s="2" t="inlineStr">
        <is>
          <t>C_00247</t>
        </is>
      </c>
      <c r="C8" s="2" t="inlineStr">
        <is>
          <t>2026-01-01</t>
        </is>
      </c>
      <c r="D8" s="3" t="n">
        <v>661.85</v>
      </c>
      <c r="E8" s="2" t="inlineStr">
        <is>
          <t>Cash Deposit</t>
        </is>
      </c>
      <c r="F8" s="2" t="inlineStr">
        <is>
          <t>US</t>
        </is>
      </c>
      <c r="G8" s="2" t="inlineStr">
        <is>
          <t>Crypto Exchange</t>
        </is>
      </c>
    </row>
    <row r="9">
      <c r="A9" s="4" t="inlineStr">
        <is>
          <t>TXN_000006</t>
        </is>
      </c>
      <c r="B9" s="4" t="inlineStr">
        <is>
          <t>C_00060</t>
        </is>
      </c>
      <c r="C9" s="4" t="inlineStr">
        <is>
          <t>2026-01-01</t>
        </is>
      </c>
      <c r="D9" s="5" t="n">
        <v>1666.4</v>
      </c>
      <c r="E9" s="4" t="inlineStr">
        <is>
          <t>Cash Deposit</t>
        </is>
      </c>
      <c r="F9" s="4" t="inlineStr">
        <is>
          <t>MX</t>
        </is>
      </c>
      <c r="G9" s="4" t="inlineStr">
        <is>
          <t>Travel</t>
        </is>
      </c>
    </row>
    <row r="10">
      <c r="A10" s="2" t="inlineStr">
        <is>
          <t>TXN_000005</t>
        </is>
      </c>
      <c r="B10" s="2" t="inlineStr">
        <is>
          <t>C_00093</t>
        </is>
      </c>
      <c r="C10" s="2" t="inlineStr">
        <is>
          <t>2026-01-01</t>
        </is>
      </c>
      <c r="D10" s="3" t="n">
        <v>825.92</v>
      </c>
      <c r="E10" s="2" t="inlineStr">
        <is>
          <t>Wire Transfer</t>
        </is>
      </c>
      <c r="F10" s="2" t="inlineStr">
        <is>
          <t>RU</t>
        </is>
      </c>
      <c r="G10" s="2" t="inlineStr">
        <is>
          <t>Jewelry</t>
        </is>
      </c>
    </row>
    <row r="11">
      <c r="A11" s="4" t="inlineStr">
        <is>
          <t>TXN_000004</t>
        </is>
      </c>
      <c r="B11" s="4" t="inlineStr">
        <is>
          <t>C_00197</t>
        </is>
      </c>
      <c r="C11" s="4" t="inlineStr">
        <is>
          <t>2026-01-01</t>
        </is>
      </c>
      <c r="D11" s="5" t="n">
        <v>721.52</v>
      </c>
      <c r="E11" s="4" t="inlineStr">
        <is>
          <t>Card</t>
        </is>
      </c>
      <c r="F11" s="4" t="inlineStr">
        <is>
          <t>US</t>
        </is>
      </c>
      <c r="G11" s="4" t="inlineStr">
        <is>
          <t>Real Estate</t>
        </is>
      </c>
    </row>
    <row r="12">
      <c r="A12" s="2" t="inlineStr">
        <is>
          <t>TXN_000003</t>
        </is>
      </c>
      <c r="B12" s="2" t="inlineStr">
        <is>
          <t>C_00258</t>
        </is>
      </c>
      <c r="C12" s="2" t="inlineStr">
        <is>
          <t>2026-01-01</t>
        </is>
      </c>
      <c r="D12" s="3" t="n">
        <v>622.3099999999999</v>
      </c>
      <c r="E12" s="2" t="inlineStr">
        <is>
          <t>Cash Deposit</t>
        </is>
      </c>
      <c r="F12" s="2" t="inlineStr">
        <is>
          <t>US</t>
        </is>
      </c>
      <c r="G12" s="2" t="inlineStr">
        <is>
          <t>Real Estate</t>
        </is>
      </c>
    </row>
    <row r="13">
      <c r="A13" s="4" t="inlineStr">
        <is>
          <t>TXN_000002</t>
        </is>
      </c>
      <c r="B13" s="4" t="inlineStr">
        <is>
          <t>C_00106</t>
        </is>
      </c>
      <c r="C13" s="4" t="inlineStr">
        <is>
          <t>2026-01-01</t>
        </is>
      </c>
      <c r="D13" s="5" t="n">
        <v>523.89</v>
      </c>
      <c r="E13" s="4" t="inlineStr">
        <is>
          <t>Cash Deposit</t>
        </is>
      </c>
      <c r="F13" s="4" t="inlineStr">
        <is>
          <t>US</t>
        </is>
      </c>
      <c r="G13" s="4" t="inlineStr">
        <is>
          <t>Real Estate</t>
        </is>
      </c>
    </row>
    <row r="14">
      <c r="A14" s="2" t="inlineStr">
        <is>
          <t>TXN_000007</t>
        </is>
      </c>
      <c r="B14" s="2" t="inlineStr">
        <is>
          <t>C_00168</t>
        </is>
      </c>
      <c r="C14" s="2" t="inlineStr">
        <is>
          <t>2026-01-01</t>
        </is>
      </c>
      <c r="D14" s="3" t="n">
        <v>315.52</v>
      </c>
      <c r="E14" s="2" t="inlineStr">
        <is>
          <t>Card</t>
        </is>
      </c>
      <c r="F14" s="2" t="inlineStr">
        <is>
          <t>US</t>
        </is>
      </c>
      <c r="G14" s="2" t="inlineStr">
        <is>
          <t>Crypto Exchange</t>
        </is>
      </c>
    </row>
    <row r="15">
      <c r="A15" s="4" t="inlineStr">
        <is>
          <t>TXN_000023</t>
        </is>
      </c>
      <c r="B15" s="4" t="inlineStr">
        <is>
          <t>C_00211</t>
        </is>
      </c>
      <c r="C15" s="4" t="inlineStr">
        <is>
          <t>2026-01-02</t>
        </is>
      </c>
      <c r="D15" s="5" t="n">
        <v>3392.79</v>
      </c>
      <c r="E15" s="4" t="inlineStr">
        <is>
          <t>Wire Transfer</t>
        </is>
      </c>
      <c r="F15" s="4" t="inlineStr">
        <is>
          <t>MX</t>
        </is>
      </c>
      <c r="G15" s="4" t="inlineStr">
        <is>
          <t>Money Services</t>
        </is>
      </c>
    </row>
    <row r="16">
      <c r="A16" s="2" t="inlineStr">
        <is>
          <t>TXN_000029</t>
        </is>
      </c>
      <c r="B16" s="2" t="inlineStr">
        <is>
          <t>C_00161</t>
        </is>
      </c>
      <c r="C16" s="2" t="inlineStr">
        <is>
          <t>2026-01-02</t>
        </is>
      </c>
      <c r="D16" s="3" t="n">
        <v>1198.94</v>
      </c>
      <c r="E16" s="2" t="inlineStr">
        <is>
          <t>Cash Deposit</t>
        </is>
      </c>
      <c r="F16" s="2" t="inlineStr">
        <is>
          <t>US</t>
        </is>
      </c>
      <c r="G16" s="2" t="inlineStr">
        <is>
          <t>Auto</t>
        </is>
      </c>
    </row>
    <row r="17">
      <c r="A17" s="4" t="inlineStr">
        <is>
          <t>TXN_000028</t>
        </is>
      </c>
      <c r="B17" s="4" t="inlineStr">
        <is>
          <t>C_00267</t>
        </is>
      </c>
      <c r="C17" s="4" t="inlineStr">
        <is>
          <t>2026-01-02</t>
        </is>
      </c>
      <c r="D17" s="5" t="n">
        <v>1225.92</v>
      </c>
      <c r="E17" s="4" t="inlineStr">
        <is>
          <t>ACH</t>
        </is>
      </c>
      <c r="F17" s="4" t="inlineStr">
        <is>
          <t>US</t>
        </is>
      </c>
      <c r="G17" s="4" t="inlineStr">
        <is>
          <t>Healthcare</t>
        </is>
      </c>
    </row>
    <row r="18">
      <c r="A18" s="2" t="inlineStr">
        <is>
          <t>TXN_000027</t>
        </is>
      </c>
      <c r="B18" s="2" t="inlineStr">
        <is>
          <t>C_00119</t>
        </is>
      </c>
      <c r="C18" s="2" t="inlineStr">
        <is>
          <t>2026-01-02</t>
        </is>
      </c>
      <c r="D18" s="3" t="n">
        <v>2652.56</v>
      </c>
      <c r="E18" s="2" t="inlineStr">
        <is>
          <t>ACH</t>
        </is>
      </c>
      <c r="F18" s="2" t="inlineStr">
        <is>
          <t>US</t>
        </is>
      </c>
      <c r="G18" s="2" t="inlineStr">
        <is>
          <t>Jewelry</t>
        </is>
      </c>
    </row>
    <row r="19">
      <c r="A19" s="4" t="inlineStr">
        <is>
          <t>TXN_000026</t>
        </is>
      </c>
      <c r="B19" s="4" t="inlineStr">
        <is>
          <t>C_00082</t>
        </is>
      </c>
      <c r="C19" s="4" t="inlineStr">
        <is>
          <t>2026-01-02</t>
        </is>
      </c>
      <c r="D19" s="5" t="n">
        <v>1467.03</v>
      </c>
      <c r="E19" s="4" t="inlineStr">
        <is>
          <t>Cash Deposit</t>
        </is>
      </c>
      <c r="F19" s="4" t="inlineStr">
        <is>
          <t>US</t>
        </is>
      </c>
      <c r="G19" s="4" t="inlineStr">
        <is>
          <t>Real Estate</t>
        </is>
      </c>
    </row>
    <row r="20">
      <c r="A20" s="2" t="inlineStr">
        <is>
          <t>TXN_000024</t>
        </is>
      </c>
      <c r="B20" s="2" t="inlineStr">
        <is>
          <t>C_00170</t>
        </is>
      </c>
      <c r="C20" s="2" t="inlineStr">
        <is>
          <t>2026-01-02</t>
        </is>
      </c>
      <c r="D20" s="3" t="n">
        <v>2222.42</v>
      </c>
      <c r="E20" s="2" t="inlineStr">
        <is>
          <t>Mobile App</t>
        </is>
      </c>
      <c r="F20" s="2" t="inlineStr">
        <is>
          <t>AE</t>
        </is>
      </c>
      <c r="G20" s="2" t="inlineStr">
        <is>
          <t>Jewelry</t>
        </is>
      </c>
    </row>
    <row r="21">
      <c r="A21" s="4" t="inlineStr">
        <is>
          <t>TXN_000022</t>
        </is>
      </c>
      <c r="B21" s="4" t="inlineStr">
        <is>
          <t>C_00146</t>
        </is>
      </c>
      <c r="C21" s="4" t="inlineStr">
        <is>
          <t>2026-01-02</t>
        </is>
      </c>
      <c r="D21" s="5" t="n">
        <v>1282.46</v>
      </c>
      <c r="E21" s="4" t="inlineStr">
        <is>
          <t>ACH</t>
        </is>
      </c>
      <c r="F21" s="4" t="inlineStr">
        <is>
          <t>NG</t>
        </is>
      </c>
      <c r="G21" s="4" t="inlineStr">
        <is>
          <t>Auto</t>
        </is>
      </c>
    </row>
    <row r="22">
      <c r="A22" s="2" t="inlineStr">
        <is>
          <t>TXN_000025</t>
        </is>
      </c>
      <c r="B22" s="2" t="inlineStr">
        <is>
          <t>C_00054</t>
        </is>
      </c>
      <c r="C22" s="2" t="inlineStr">
        <is>
          <t>2026-01-02</t>
        </is>
      </c>
      <c r="D22" s="3" t="n">
        <v>226.6</v>
      </c>
      <c r="E22" s="2" t="inlineStr">
        <is>
          <t>Cash Deposit</t>
        </is>
      </c>
      <c r="F22" s="2" t="inlineStr">
        <is>
          <t>US</t>
        </is>
      </c>
      <c r="G22" s="2" t="inlineStr">
        <is>
          <t>Real Estate</t>
        </is>
      </c>
    </row>
    <row r="23">
      <c r="A23" s="4" t="inlineStr">
        <is>
          <t>TXN_000020</t>
        </is>
      </c>
      <c r="B23" s="4" t="inlineStr">
        <is>
          <t>C_00216</t>
        </is>
      </c>
      <c r="C23" s="4" t="inlineStr">
        <is>
          <t>2026-01-02</t>
        </is>
      </c>
      <c r="D23" s="5" t="n">
        <v>9275.870000000001</v>
      </c>
      <c r="E23" s="4" t="inlineStr">
        <is>
          <t>Mobile App</t>
        </is>
      </c>
      <c r="F23" s="4" t="inlineStr">
        <is>
          <t>US</t>
        </is>
      </c>
      <c r="G23" s="4" t="inlineStr">
        <is>
          <t>Travel</t>
        </is>
      </c>
    </row>
    <row r="24">
      <c r="A24" s="2" t="inlineStr">
        <is>
          <t>TXN_000019</t>
        </is>
      </c>
      <c r="B24" s="2" t="inlineStr">
        <is>
          <t>C_ORPHAN_020</t>
        </is>
      </c>
      <c r="C24" s="2" t="inlineStr">
        <is>
          <t>2026-01-02</t>
        </is>
      </c>
      <c r="D24" s="3" t="n">
        <v>859.54</v>
      </c>
      <c r="E24" s="2" t="inlineStr">
        <is>
          <t>Cash Deposit</t>
        </is>
      </c>
      <c r="F24" s="2" t="inlineStr">
        <is>
          <t>CA</t>
        </is>
      </c>
      <c r="G24" s="2" t="inlineStr">
        <is>
          <t>Retail</t>
        </is>
      </c>
    </row>
    <row r="25">
      <c r="A25" s="4" t="inlineStr">
        <is>
          <t>TXN_000018</t>
        </is>
      </c>
      <c r="B25" s="4" t="inlineStr">
        <is>
          <t>C_00275</t>
        </is>
      </c>
      <c r="C25" s="4" t="inlineStr">
        <is>
          <t>2026-01-02</t>
        </is>
      </c>
      <c r="D25" s="5" t="n">
        <v>10315.62</v>
      </c>
      <c r="E25" s="4" t="inlineStr">
        <is>
          <t>ACH</t>
        </is>
      </c>
      <c r="F25" s="4" t="inlineStr">
        <is>
          <t>US</t>
        </is>
      </c>
      <c r="G25" s="4" t="inlineStr">
        <is>
          <t>Auto</t>
        </is>
      </c>
    </row>
    <row r="26">
      <c r="A26" s="2" t="inlineStr">
        <is>
          <t>TXN_000013</t>
        </is>
      </c>
      <c r="B26" s="2" t="inlineStr">
        <is>
          <t>C_00261</t>
        </is>
      </c>
      <c r="C26" s="2" t="inlineStr">
        <is>
          <t>2026-01-02</t>
        </is>
      </c>
      <c r="D26" s="3" t="n">
        <v>214.87</v>
      </c>
      <c r="E26" s="2" t="inlineStr">
        <is>
          <t>Cash Deposit</t>
        </is>
      </c>
      <c r="F26" s="2" t="inlineStr">
        <is>
          <t>US</t>
        </is>
      </c>
      <c r="G26" s="2" t="inlineStr">
        <is>
          <t>Jewelry</t>
        </is>
      </c>
    </row>
    <row r="27">
      <c r="A27" s="4" t="inlineStr">
        <is>
          <t>TXN_000017</t>
        </is>
      </c>
      <c r="B27" s="4" t="inlineStr">
        <is>
          <t>C_00023</t>
        </is>
      </c>
      <c r="C27" s="4" t="inlineStr">
        <is>
          <t>2026-01-02</t>
        </is>
      </c>
      <c r="D27" s="5" t="n">
        <v>387.94</v>
      </c>
      <c r="E27" s="4" t="inlineStr">
        <is>
          <t>Mobile App</t>
        </is>
      </c>
      <c r="F27" s="4" t="inlineStr">
        <is>
          <t>US</t>
        </is>
      </c>
      <c r="G27" s="4" t="inlineStr">
        <is>
          <t>Auto</t>
        </is>
      </c>
    </row>
    <row r="28">
      <c r="A28" s="2" t="inlineStr">
        <is>
          <t>TXN_000016</t>
        </is>
      </c>
      <c r="B28" s="2" t="inlineStr">
        <is>
          <t>C_00124</t>
        </is>
      </c>
      <c r="C28" s="2" t="inlineStr">
        <is>
          <t>2026-01-02</t>
        </is>
      </c>
      <c r="D28" s="3" t="n">
        <v>2397.86</v>
      </c>
      <c r="E28" s="2" t="inlineStr">
        <is>
          <t>Wire Transfer</t>
        </is>
      </c>
      <c r="F28" s="2" t="inlineStr">
        <is>
          <t>AE</t>
        </is>
      </c>
      <c r="G28" s="2" t="inlineStr">
        <is>
          <t>Money Services</t>
        </is>
      </c>
    </row>
    <row r="29">
      <c r="A29" s="4" t="inlineStr">
        <is>
          <t>TXN_000015</t>
        </is>
      </c>
      <c r="B29" s="4" t="inlineStr">
        <is>
          <t>C_00145</t>
        </is>
      </c>
      <c r="C29" s="4" t="inlineStr">
        <is>
          <t>2026-01-02</t>
        </is>
      </c>
      <c r="D29" s="5" t="n">
        <v>3095.54</v>
      </c>
      <c r="E29" s="4" t="inlineStr">
        <is>
          <t>Mobile App</t>
        </is>
      </c>
      <c r="F29" s="4" t="inlineStr">
        <is>
          <t>US</t>
        </is>
      </c>
      <c r="G29" s="4" t="inlineStr">
        <is>
          <t>Real Estate</t>
        </is>
      </c>
    </row>
    <row r="30">
      <c r="A30" s="2" t="inlineStr">
        <is>
          <t>TXN_000014</t>
        </is>
      </c>
      <c r="B30" s="2" t="inlineStr">
        <is>
          <t>C_00202</t>
        </is>
      </c>
      <c r="C30" s="2" t="inlineStr">
        <is>
          <t>2026-01-02</t>
        </is>
      </c>
      <c r="D30" s="3" t="n">
        <v>851.41</v>
      </c>
      <c r="E30" s="2" t="inlineStr">
        <is>
          <t>Wire Transfer</t>
        </is>
      </c>
      <c r="F30" s="2" t="inlineStr">
        <is>
          <t>NG</t>
        </is>
      </c>
      <c r="G30" s="2" t="inlineStr">
        <is>
          <t>Auto</t>
        </is>
      </c>
    </row>
    <row r="31">
      <c r="A31" s="4" t="inlineStr">
        <is>
          <t>TXN_000021</t>
        </is>
      </c>
      <c r="B31" s="4" t="inlineStr">
        <is>
          <t>C_00167</t>
        </is>
      </c>
      <c r="C31" s="4" t="inlineStr">
        <is>
          <t>2026-01-02</t>
        </is>
      </c>
      <c r="D31" s="5" t="n">
        <v>38530.04</v>
      </c>
      <c r="E31" s="4" t="inlineStr">
        <is>
          <t>ACH</t>
        </is>
      </c>
      <c r="F31" s="4" t="inlineStr">
        <is>
          <t>US</t>
        </is>
      </c>
      <c r="G31" s="4" t="inlineStr">
        <is>
          <t>Travel</t>
        </is>
      </c>
    </row>
    <row r="32">
      <c r="A32" s="2" t="inlineStr">
        <is>
          <t>TXN_000040</t>
        </is>
      </c>
      <c r="B32" s="2" t="inlineStr">
        <is>
          <t>C_00294</t>
        </is>
      </c>
      <c r="C32" s="2" t="inlineStr">
        <is>
          <t>2026-01-03</t>
        </is>
      </c>
      <c r="D32" s="3" t="n">
        <v>1385.97</v>
      </c>
      <c r="E32" s="2" t="inlineStr">
        <is>
          <t>ACH</t>
        </is>
      </c>
      <c r="F32" s="2" t="inlineStr">
        <is>
          <t>US</t>
        </is>
      </c>
      <c r="G32" s="2" t="inlineStr">
        <is>
          <t>Jewelry</t>
        </is>
      </c>
    </row>
    <row r="33">
      <c r="A33" s="4" t="inlineStr">
        <is>
          <t>TXN_000039</t>
        </is>
      </c>
      <c r="B33" s="4" t="inlineStr">
        <is>
          <t>C_00198</t>
        </is>
      </c>
      <c r="C33" s="4" t="inlineStr">
        <is>
          <t>2026-01-03</t>
        </is>
      </c>
      <c r="D33" s="5" t="n">
        <v>6367.79</v>
      </c>
      <c r="E33" s="4" t="inlineStr">
        <is>
          <t>ACH</t>
        </is>
      </c>
      <c r="F33" s="4" t="inlineStr">
        <is>
          <t>US</t>
        </is>
      </c>
      <c r="G33" s="4" t="inlineStr">
        <is>
          <t>Crypto Exchange</t>
        </is>
      </c>
    </row>
    <row r="34">
      <c r="A34" s="2" t="inlineStr">
        <is>
          <t>TXN_000038</t>
        </is>
      </c>
      <c r="B34" s="2" t="inlineStr">
        <is>
          <t>C_00094</t>
        </is>
      </c>
      <c r="C34" s="2" t="inlineStr">
        <is>
          <t>2026-01-03</t>
        </is>
      </c>
      <c r="D34" s="3" t="n">
        <v>6874.4</v>
      </c>
      <c r="E34" s="2" t="inlineStr">
        <is>
          <t>Cash Deposit</t>
        </is>
      </c>
      <c r="F34" s="2" t="inlineStr">
        <is>
          <t>US</t>
        </is>
      </c>
      <c r="G34" s="2" t="inlineStr">
        <is>
          <t>Retail</t>
        </is>
      </c>
    </row>
    <row r="35">
      <c r="A35" s="4" t="inlineStr">
        <is>
          <t>TXN_000037</t>
        </is>
      </c>
      <c r="B35" s="4" t="inlineStr">
        <is>
          <t>C_00103</t>
        </is>
      </c>
      <c r="C35" s="4" t="inlineStr">
        <is>
          <t>2026-01-03</t>
        </is>
      </c>
      <c r="D35" s="5" t="n">
        <v>111.67</v>
      </c>
      <c r="E35" s="4" t="inlineStr">
        <is>
          <t>Wire Transfer</t>
        </is>
      </c>
      <c r="F35" s="4" t="inlineStr">
        <is>
          <t>NG</t>
        </is>
      </c>
      <c r="G35" s="4" t="inlineStr">
        <is>
          <t>Retail</t>
        </is>
      </c>
    </row>
    <row r="36">
      <c r="A36" s="2" t="inlineStr">
        <is>
          <t>TXN_000036</t>
        </is>
      </c>
      <c r="B36" s="2" t="inlineStr">
        <is>
          <t>C_00282</t>
        </is>
      </c>
      <c r="C36" s="2" t="inlineStr">
        <is>
          <t>2026-01-03</t>
        </is>
      </c>
      <c r="D36" s="3" t="n">
        <v>5667.28</v>
      </c>
      <c r="E36" s="2" t="inlineStr">
        <is>
          <t>Cash Deposit</t>
        </is>
      </c>
      <c r="F36" s="2" t="inlineStr">
        <is>
          <t>US</t>
        </is>
      </c>
      <c r="G36" s="2" t="inlineStr">
        <is>
          <t>Healthcare</t>
        </is>
      </c>
    </row>
    <row r="37">
      <c r="A37" s="4" t="inlineStr">
        <is>
          <t>TXN_000034</t>
        </is>
      </c>
      <c r="B37" s="4" t="inlineStr">
        <is>
          <t>C_00185</t>
        </is>
      </c>
      <c r="C37" s="4" t="inlineStr">
        <is>
          <t>2026-01-03</t>
        </is>
      </c>
      <c r="D37" s="5" t="n">
        <v>1072.25</v>
      </c>
      <c r="E37" s="4" t="inlineStr">
        <is>
          <t>Card</t>
        </is>
      </c>
      <c r="F37" s="4" t="inlineStr">
        <is>
          <t>CA</t>
        </is>
      </c>
      <c r="G37" s="4" t="inlineStr">
        <is>
          <t>Food &amp; Beverage</t>
        </is>
      </c>
    </row>
    <row r="38">
      <c r="A38" s="2" t="inlineStr">
        <is>
          <t>TXN_000033</t>
        </is>
      </c>
      <c r="B38" s="2" t="inlineStr">
        <is>
          <t>C_00184</t>
        </is>
      </c>
      <c r="C38" s="2" t="inlineStr">
        <is>
          <t>2026-01-03</t>
        </is>
      </c>
      <c r="D38" s="3" t="n">
        <v>4818.08</v>
      </c>
      <c r="E38" s="2" t="inlineStr">
        <is>
          <t>Card</t>
        </is>
      </c>
      <c r="F38" s="2" t="inlineStr">
        <is>
          <t>US</t>
        </is>
      </c>
      <c r="G38" s="2" t="inlineStr">
        <is>
          <t>Jewelry</t>
        </is>
      </c>
    </row>
    <row r="39">
      <c r="A39" s="4" t="inlineStr">
        <is>
          <t>TXN_000032</t>
        </is>
      </c>
      <c r="B39" s="4" t="inlineStr">
        <is>
          <t>C_00118</t>
        </is>
      </c>
      <c r="C39" s="4" t="inlineStr">
        <is>
          <t>2026-01-03</t>
        </is>
      </c>
      <c r="D39" s="5" t="n">
        <v>2870.16</v>
      </c>
      <c r="E39" s="4" t="inlineStr">
        <is>
          <t>Mobile App</t>
        </is>
      </c>
      <c r="F39" s="4" t="inlineStr">
        <is>
          <t>US</t>
        </is>
      </c>
      <c r="G39" s="4" t="inlineStr">
        <is>
          <t>Electronics</t>
        </is>
      </c>
    </row>
    <row r="40">
      <c r="A40" s="2" t="inlineStr">
        <is>
          <t>TXN_000031</t>
        </is>
      </c>
      <c r="B40" s="2" t="inlineStr">
        <is>
          <t>C_00028</t>
        </is>
      </c>
      <c r="C40" s="2" t="inlineStr">
        <is>
          <t>2026-01-03</t>
        </is>
      </c>
      <c r="D40" s="3" t="n">
        <v>372.34</v>
      </c>
      <c r="E40" s="2" t="inlineStr">
        <is>
          <t>ACH</t>
        </is>
      </c>
      <c r="F40" s="2" t="inlineStr">
        <is>
          <t>US</t>
        </is>
      </c>
      <c r="G40" s="2" t="inlineStr">
        <is>
          <t>Real Estate</t>
        </is>
      </c>
    </row>
    <row r="41">
      <c r="A41" s="4" t="inlineStr">
        <is>
          <t>TXN_000030</t>
        </is>
      </c>
      <c r="B41" s="4" t="inlineStr">
        <is>
          <t>C_00106</t>
        </is>
      </c>
      <c r="C41" s="4" t="inlineStr">
        <is>
          <t>2026-01-03</t>
        </is>
      </c>
      <c r="D41" s="5" t="n">
        <v>83.29000000000001</v>
      </c>
      <c r="E41" s="4" t="inlineStr">
        <is>
          <t>Cash Deposit</t>
        </is>
      </c>
      <c r="F41" s="4" t="inlineStr">
        <is>
          <t>US</t>
        </is>
      </c>
      <c r="G41" s="4" t="inlineStr">
        <is>
          <t>Electronics</t>
        </is>
      </c>
    </row>
    <row r="42">
      <c r="A42" s="2" t="inlineStr">
        <is>
          <t>TXN_000035</t>
        </is>
      </c>
      <c r="B42" s="2" t="inlineStr">
        <is>
          <t>C_00110</t>
        </is>
      </c>
      <c r="C42" s="2" t="inlineStr">
        <is>
          <t>2026-01-03</t>
        </is>
      </c>
      <c r="D42" s="3" t="n">
        <v>1042.52</v>
      </c>
      <c r="E42" s="2" t="inlineStr">
        <is>
          <t>Wire Transfer</t>
        </is>
      </c>
      <c r="F42" s="2" t="inlineStr">
        <is>
          <t>US</t>
        </is>
      </c>
      <c r="G42" s="2" t="inlineStr">
        <is>
          <t>Healthcare</t>
        </is>
      </c>
    </row>
    <row r="43">
      <c r="A43" s="4" t="inlineStr">
        <is>
          <t>TXN_000052</t>
        </is>
      </c>
      <c r="B43" s="4" t="inlineStr">
        <is>
          <t>C_00052</t>
        </is>
      </c>
      <c r="C43" s="4" t="inlineStr">
        <is>
          <t>2026-01-04</t>
        </is>
      </c>
      <c r="D43" s="5" t="n">
        <v>8099.83</v>
      </c>
      <c r="E43" s="4" t="inlineStr">
        <is>
          <t>Card</t>
        </is>
      </c>
      <c r="F43" s="4" t="inlineStr">
        <is>
          <t>CA</t>
        </is>
      </c>
      <c r="G43" s="4" t="inlineStr">
        <is>
          <t>Jewelry</t>
        </is>
      </c>
    </row>
    <row r="44">
      <c r="A44" s="2" t="inlineStr">
        <is>
          <t>TXN_000059</t>
        </is>
      </c>
      <c r="B44" s="2" t="inlineStr">
        <is>
          <t>C_00137</t>
        </is>
      </c>
      <c r="C44" s="2" t="inlineStr">
        <is>
          <t>2026-01-04</t>
        </is>
      </c>
      <c r="D44" s="3" t="n">
        <v>493.29</v>
      </c>
      <c r="E44" s="2" t="inlineStr">
        <is>
          <t>Cash Deposit</t>
        </is>
      </c>
      <c r="F44" s="2" t="inlineStr">
        <is>
          <t>US</t>
        </is>
      </c>
      <c r="G44" s="2" t="inlineStr">
        <is>
          <t>Travel</t>
        </is>
      </c>
    </row>
    <row r="45">
      <c r="A45" s="4" t="inlineStr">
        <is>
          <t>TXN_000058</t>
        </is>
      </c>
      <c r="B45" s="4" t="inlineStr">
        <is>
          <t>C_00182</t>
        </is>
      </c>
      <c r="C45" s="4" t="inlineStr">
        <is>
          <t>2026-01-04</t>
        </is>
      </c>
      <c r="D45" s="5" t="n">
        <v>1833.05</v>
      </c>
      <c r="E45" s="4" t="inlineStr">
        <is>
          <t>Cash Deposit</t>
        </is>
      </c>
      <c r="F45" s="4" t="inlineStr">
        <is>
          <t>NG</t>
        </is>
      </c>
      <c r="G45" s="4" t="inlineStr">
        <is>
          <t>Auto</t>
        </is>
      </c>
    </row>
    <row r="46">
      <c r="A46" s="2" t="inlineStr">
        <is>
          <t>TXN_000057</t>
        </is>
      </c>
      <c r="B46" s="2" t="inlineStr">
        <is>
          <t>C_00054</t>
        </is>
      </c>
      <c r="C46" s="2" t="inlineStr">
        <is>
          <t>2026-01-04</t>
        </is>
      </c>
      <c r="D46" s="3" t="n">
        <v>1700.31</v>
      </c>
      <c r="E46" s="2" t="inlineStr">
        <is>
          <t>Mobile App</t>
        </is>
      </c>
      <c r="F46" s="2" t="inlineStr">
        <is>
          <t>US</t>
        </is>
      </c>
      <c r="G46" s="2" t="inlineStr">
        <is>
          <t>Retail</t>
        </is>
      </c>
    </row>
    <row r="47">
      <c r="A47" s="4" t="inlineStr">
        <is>
          <t>TXN_000056</t>
        </is>
      </c>
      <c r="B47" s="4" t="inlineStr">
        <is>
          <t>C_00238</t>
        </is>
      </c>
      <c r="C47" s="4" t="inlineStr">
        <is>
          <t>2026-01-04</t>
        </is>
      </c>
      <c r="D47" s="5" t="n">
        <v>486.79</v>
      </c>
      <c r="E47" s="4" t="inlineStr">
        <is>
          <t>Wire Transfer</t>
        </is>
      </c>
      <c r="F47" s="4" t="inlineStr">
        <is>
          <t>US</t>
        </is>
      </c>
      <c r="G47" s="4" t="inlineStr">
        <is>
          <t>Food &amp; Beverage</t>
        </is>
      </c>
    </row>
    <row r="48">
      <c r="A48" s="2" t="inlineStr">
        <is>
          <t>TXN_000055</t>
        </is>
      </c>
      <c r="B48" s="2" t="inlineStr">
        <is>
          <t>C_00252</t>
        </is>
      </c>
      <c r="C48" s="2" t="inlineStr">
        <is>
          <t>2026-01-04</t>
        </is>
      </c>
      <c r="D48" s="3" t="n">
        <v>2455.92</v>
      </c>
      <c r="E48" s="2" t="inlineStr">
        <is>
          <t>ACH</t>
        </is>
      </c>
      <c r="F48" s="2" t="inlineStr">
        <is>
          <t>US</t>
        </is>
      </c>
      <c r="G48" s="2" t="inlineStr">
        <is>
          <t>Electronics</t>
        </is>
      </c>
    </row>
    <row r="49">
      <c r="A49" s="4" t="inlineStr">
        <is>
          <t>TXN_000054</t>
        </is>
      </c>
      <c r="B49" s="4" t="inlineStr">
        <is>
          <t>C_ORPHAN_015</t>
        </is>
      </c>
      <c r="C49" s="4" t="inlineStr">
        <is>
          <t>2026-01-04</t>
        </is>
      </c>
      <c r="D49" s="5" t="n">
        <v>389.24</v>
      </c>
      <c r="E49" s="4" t="inlineStr">
        <is>
          <t>Wire Transfer</t>
        </is>
      </c>
      <c r="F49" s="4" t="inlineStr">
        <is>
          <t>US</t>
        </is>
      </c>
      <c r="G49" s="4" t="inlineStr">
        <is>
          <t>Money Services</t>
        </is>
      </c>
    </row>
    <row r="50">
      <c r="A50" s="2" t="inlineStr">
        <is>
          <t>TXN_000053</t>
        </is>
      </c>
      <c r="B50" s="2" t="inlineStr">
        <is>
          <t>C_00251</t>
        </is>
      </c>
      <c r="C50" s="2" t="inlineStr">
        <is>
          <t>2026-01-04</t>
        </is>
      </c>
      <c r="D50" s="3" t="n">
        <v>2721.53</v>
      </c>
      <c r="E50" s="2" t="inlineStr">
        <is>
          <t>Wire Transfer</t>
        </is>
      </c>
      <c r="F50" s="2" t="inlineStr">
        <is>
          <t>AE</t>
        </is>
      </c>
      <c r="G50" s="2" t="inlineStr">
        <is>
          <t>Real Estate</t>
        </is>
      </c>
    </row>
    <row r="51">
      <c r="A51" s="4" t="inlineStr">
        <is>
          <t>TXN_000051</t>
        </is>
      </c>
      <c r="B51" s="4" t="inlineStr">
        <is>
          <t>C_00043</t>
        </is>
      </c>
      <c r="C51" s="4" t="inlineStr">
        <is>
          <t>2026-01-04</t>
        </is>
      </c>
      <c r="D51" s="5" t="n">
        <v>598.83</v>
      </c>
      <c r="E51" s="4" t="inlineStr">
        <is>
          <t>ACH</t>
        </is>
      </c>
      <c r="F51" s="4" t="inlineStr">
        <is>
          <t>US</t>
        </is>
      </c>
      <c r="G51" s="4" t="inlineStr">
        <is>
          <t>Real Estate</t>
        </is>
      </c>
    </row>
    <row r="52">
      <c r="A52" s="2" t="inlineStr">
        <is>
          <t>TXN_000050</t>
        </is>
      </c>
      <c r="B52" s="2" t="inlineStr">
        <is>
          <t>C_00090</t>
        </is>
      </c>
      <c r="C52" s="2" t="inlineStr">
        <is>
          <t>2026-01-04</t>
        </is>
      </c>
      <c r="D52" s="3" t="n">
        <v>534.8099999999999</v>
      </c>
      <c r="E52" s="2" t="inlineStr">
        <is>
          <t>Mobile App</t>
        </is>
      </c>
      <c r="F52" s="2" t="inlineStr">
        <is>
          <t>US</t>
        </is>
      </c>
      <c r="G52" s="2" t="inlineStr">
        <is>
          <t>Crypto Exchange</t>
        </is>
      </c>
    </row>
    <row r="53">
      <c r="A53" s="4" t="inlineStr">
        <is>
          <t>TXN_000049</t>
        </is>
      </c>
      <c r="B53" s="4" t="inlineStr">
        <is>
          <t>C_00149</t>
        </is>
      </c>
      <c r="C53" s="4" t="inlineStr">
        <is>
          <t>2026-01-04</t>
        </is>
      </c>
      <c r="D53" s="5" t="n">
        <v>1157.41</v>
      </c>
      <c r="E53" s="4" t="inlineStr">
        <is>
          <t>Wire Transfer</t>
        </is>
      </c>
      <c r="F53" s="4" t="inlineStr">
        <is>
          <t>US</t>
        </is>
      </c>
      <c r="G53" s="4" t="inlineStr">
        <is>
          <t>Auto</t>
        </is>
      </c>
    </row>
    <row r="54">
      <c r="A54" s="2" t="inlineStr">
        <is>
          <t>TXN_000048</t>
        </is>
      </c>
      <c r="B54" s="2" t="inlineStr">
        <is>
          <t>C_00213</t>
        </is>
      </c>
      <c r="C54" s="2" t="inlineStr">
        <is>
          <t>2026-01-04</t>
        </is>
      </c>
      <c r="D54" s="3" t="n">
        <v>2036.2</v>
      </c>
      <c r="E54" s="2" t="inlineStr">
        <is>
          <t>Mobile App</t>
        </is>
      </c>
      <c r="F54" s="2" t="inlineStr">
        <is>
          <t>US</t>
        </is>
      </c>
      <c r="G54" s="2" t="inlineStr">
        <is>
          <t>Auto</t>
        </is>
      </c>
    </row>
    <row r="55">
      <c r="A55" s="4" t="inlineStr">
        <is>
          <t>TXN_000047</t>
        </is>
      </c>
      <c r="B55" s="4" t="inlineStr">
        <is>
          <t>C_00218</t>
        </is>
      </c>
      <c r="C55" s="4" t="inlineStr">
        <is>
          <t>2026-01-04</t>
        </is>
      </c>
      <c r="D55" s="5" t="n">
        <v>6015.5</v>
      </c>
      <c r="E55" s="4" t="inlineStr">
        <is>
          <t>Card</t>
        </is>
      </c>
      <c r="F55" s="4" t="inlineStr">
        <is>
          <t>US</t>
        </is>
      </c>
      <c r="G55" s="4" t="inlineStr">
        <is>
          <t>Electronics</t>
        </is>
      </c>
    </row>
    <row r="56">
      <c r="A56" s="2" t="inlineStr">
        <is>
          <t>TXN_000046</t>
        </is>
      </c>
      <c r="B56" s="2" t="inlineStr">
        <is>
          <t>C_00046</t>
        </is>
      </c>
      <c r="C56" s="2" t="inlineStr">
        <is>
          <t>2026-01-04</t>
        </is>
      </c>
      <c r="D56" s="3" t="n">
        <v>4597.74</v>
      </c>
      <c r="E56" s="2" t="inlineStr">
        <is>
          <t>Wire Transfer</t>
        </is>
      </c>
      <c r="F56" s="2" t="inlineStr">
        <is>
          <t>US</t>
        </is>
      </c>
      <c r="G56" s="2" t="inlineStr">
        <is>
          <t>Retail</t>
        </is>
      </c>
    </row>
    <row r="57">
      <c r="A57" s="4" t="inlineStr">
        <is>
          <t>TXN_000045</t>
        </is>
      </c>
      <c r="B57" s="4" t="inlineStr">
        <is>
          <t>C_00074</t>
        </is>
      </c>
      <c r="C57" s="4" t="inlineStr">
        <is>
          <t>2026-01-04</t>
        </is>
      </c>
      <c r="D57" s="5" t="n">
        <v>3492.9</v>
      </c>
      <c r="E57" s="4" t="inlineStr">
        <is>
          <t>Wire Transfer</t>
        </is>
      </c>
      <c r="F57" s="4" t="inlineStr">
        <is>
          <t>US</t>
        </is>
      </c>
      <c r="G57" s="4" t="inlineStr">
        <is>
          <t>Food &amp; Beverage</t>
        </is>
      </c>
    </row>
    <row r="58">
      <c r="A58" s="2" t="inlineStr">
        <is>
          <t>TXN_000044</t>
        </is>
      </c>
      <c r="B58" s="2" t="inlineStr">
        <is>
          <t>C_00090</t>
        </is>
      </c>
      <c r="C58" s="2" t="inlineStr">
        <is>
          <t>2026-01-04</t>
        </is>
      </c>
      <c r="D58" s="3" t="n">
        <v>460.27</v>
      </c>
      <c r="E58" s="2" t="inlineStr">
        <is>
          <t>Mobile App</t>
        </is>
      </c>
      <c r="F58" s="2" t="inlineStr">
        <is>
          <t>CA</t>
        </is>
      </c>
      <c r="G58" s="2" t="inlineStr">
        <is>
          <t>Jewelry</t>
        </is>
      </c>
    </row>
    <row r="59">
      <c r="A59" s="4" t="inlineStr">
        <is>
          <t>TXN_000043</t>
        </is>
      </c>
      <c r="B59" s="4" t="inlineStr">
        <is>
          <t>C_00276</t>
        </is>
      </c>
      <c r="C59" s="4" t="inlineStr">
        <is>
          <t>2026-01-04</t>
        </is>
      </c>
      <c r="D59" s="5" t="n">
        <v>597.37</v>
      </c>
      <c r="E59" s="4" t="inlineStr">
        <is>
          <t>Cash Deposit</t>
        </is>
      </c>
      <c r="F59" s="4" t="inlineStr">
        <is>
          <t>US</t>
        </is>
      </c>
      <c r="G59" s="4" t="inlineStr">
        <is>
          <t>Travel</t>
        </is>
      </c>
    </row>
    <row r="60">
      <c r="A60" s="2" t="inlineStr">
        <is>
          <t>TXN_000042</t>
        </is>
      </c>
      <c r="B60" s="2" t="inlineStr">
        <is>
          <t>C_00151</t>
        </is>
      </c>
      <c r="C60" s="2" t="inlineStr">
        <is>
          <t>2026-01-04</t>
        </is>
      </c>
      <c r="D60" s="3" t="n">
        <v>1610.96</v>
      </c>
      <c r="E60" s="2" t="inlineStr">
        <is>
          <t>Mobile App</t>
        </is>
      </c>
      <c r="F60" s="2" t="inlineStr">
        <is>
          <t>US</t>
        </is>
      </c>
      <c r="G60" s="2" t="inlineStr">
        <is>
          <t>Real Estate</t>
        </is>
      </c>
    </row>
    <row r="61">
      <c r="A61" s="4" t="inlineStr">
        <is>
          <t>TXN_000041</t>
        </is>
      </c>
      <c r="B61" s="4" t="inlineStr">
        <is>
          <t>C_00097</t>
        </is>
      </c>
      <c r="C61" s="4" t="inlineStr">
        <is>
          <t>2026-01-04</t>
        </is>
      </c>
      <c r="D61" s="5" t="n">
        <v>276.95</v>
      </c>
      <c r="E61" s="4" t="inlineStr">
        <is>
          <t>Cash Deposit</t>
        </is>
      </c>
      <c r="F61" s="4" t="inlineStr">
        <is>
          <t>MX</t>
        </is>
      </c>
      <c r="G61" s="4" t="inlineStr">
        <is>
          <t>Jewelry</t>
        </is>
      </c>
    </row>
    <row r="62">
      <c r="A62" s="2" t="inlineStr">
        <is>
          <t>TXN_000065</t>
        </is>
      </c>
      <c r="B62" s="2" t="inlineStr">
        <is>
          <t>C_00140</t>
        </is>
      </c>
      <c r="C62" s="2" t="inlineStr">
        <is>
          <t>2026-01-05</t>
        </is>
      </c>
      <c r="D62" s="3" t="n">
        <v>850.92</v>
      </c>
      <c r="E62" s="2" t="inlineStr">
        <is>
          <t>Cash Deposit</t>
        </is>
      </c>
      <c r="F62" s="2" t="inlineStr">
        <is>
          <t>AE</t>
        </is>
      </c>
      <c r="G62" s="2" t="inlineStr">
        <is>
          <t>Auto</t>
        </is>
      </c>
    </row>
    <row r="63">
      <c r="A63" s="4" t="inlineStr">
        <is>
          <t>TXN_000064</t>
        </is>
      </c>
      <c r="B63" s="4" t="inlineStr">
        <is>
          <t>C_00279</t>
        </is>
      </c>
      <c r="C63" s="4" t="inlineStr">
        <is>
          <t>2026-01-05</t>
        </is>
      </c>
      <c r="D63" s="5" t="n">
        <v>1418.71</v>
      </c>
      <c r="E63" s="4" t="inlineStr">
        <is>
          <t>Cash Deposit</t>
        </is>
      </c>
      <c r="F63" s="4" t="inlineStr">
        <is>
          <t>US</t>
        </is>
      </c>
      <c r="G63" s="4" t="inlineStr">
        <is>
          <t>Money Services</t>
        </is>
      </c>
    </row>
    <row r="64">
      <c r="A64" s="2" t="inlineStr">
        <is>
          <t>TXN_000061</t>
        </is>
      </c>
      <c r="B64" s="2" t="inlineStr">
        <is>
          <t>C_00064</t>
        </is>
      </c>
      <c r="C64" s="2" t="inlineStr">
        <is>
          <t>2026-01-05</t>
        </is>
      </c>
      <c r="D64" s="3" t="n">
        <v>6191.94</v>
      </c>
      <c r="E64" s="2" t="inlineStr">
        <is>
          <t>ACH</t>
        </is>
      </c>
      <c r="F64" s="2" t="inlineStr">
        <is>
          <t>US</t>
        </is>
      </c>
      <c r="G64" s="2" t="inlineStr">
        <is>
          <t>Travel</t>
        </is>
      </c>
    </row>
    <row r="65">
      <c r="A65" s="4" t="inlineStr">
        <is>
          <t>TXN_000062</t>
        </is>
      </c>
      <c r="B65" s="4" t="inlineStr">
        <is>
          <t>C_00072</t>
        </is>
      </c>
      <c r="C65" s="4" t="inlineStr">
        <is>
          <t>2026-01-05</t>
        </is>
      </c>
      <c r="D65" s="5" t="n">
        <v>2734.01</v>
      </c>
      <c r="E65" s="4" t="inlineStr">
        <is>
          <t>Cash Deposit</t>
        </is>
      </c>
      <c r="F65" s="4" t="inlineStr">
        <is>
          <t>AE</t>
        </is>
      </c>
      <c r="G65" s="4" t="inlineStr">
        <is>
          <t>Crypto Exchange</t>
        </is>
      </c>
    </row>
    <row r="66">
      <c r="A66" s="2" t="inlineStr">
        <is>
          <t>TXN_000060</t>
        </is>
      </c>
      <c r="B66" s="2" t="inlineStr">
        <is>
          <t>C_00117</t>
        </is>
      </c>
      <c r="C66" s="2" t="inlineStr">
        <is>
          <t>2026-01-05</t>
        </is>
      </c>
      <c r="D66" s="3" t="n">
        <v>211.87</v>
      </c>
      <c r="E66" s="2" t="inlineStr">
        <is>
          <t>Card</t>
        </is>
      </c>
      <c r="F66" s="2" t="inlineStr">
        <is>
          <t>US</t>
        </is>
      </c>
      <c r="G66" s="2" t="inlineStr">
        <is>
          <t>Retail</t>
        </is>
      </c>
    </row>
    <row r="67">
      <c r="A67" s="4" t="inlineStr">
        <is>
          <t>TXN_000063</t>
        </is>
      </c>
      <c r="B67" s="4" t="inlineStr">
        <is>
          <t>C_00234</t>
        </is>
      </c>
      <c r="C67" s="4" t="inlineStr">
        <is>
          <t>2026-01-05</t>
        </is>
      </c>
      <c r="D67" s="5" t="n">
        <v>1542.76</v>
      </c>
      <c r="E67" s="4" t="inlineStr">
        <is>
          <t>Cash Deposit</t>
        </is>
      </c>
      <c r="F67" s="4" t="inlineStr">
        <is>
          <t>RU</t>
        </is>
      </c>
      <c r="G67" s="4" t="inlineStr">
        <is>
          <t>Healthcare</t>
        </is>
      </c>
    </row>
    <row r="68">
      <c r="A68" s="2" t="inlineStr">
        <is>
          <t>TXN_000074</t>
        </is>
      </c>
      <c r="B68" s="2" t="inlineStr">
        <is>
          <t>C_00023</t>
        </is>
      </c>
      <c r="C68" s="2" t="inlineStr">
        <is>
          <t>2026-01-06</t>
        </is>
      </c>
      <c r="D68" s="3" t="n">
        <v>1171.22</v>
      </c>
      <c r="E68" s="2" t="inlineStr">
        <is>
          <t>Card</t>
        </is>
      </c>
      <c r="F68" s="2" t="inlineStr">
        <is>
          <t>CA</t>
        </is>
      </c>
      <c r="G68" s="2" t="inlineStr">
        <is>
          <t>Jewelry</t>
        </is>
      </c>
    </row>
    <row r="69">
      <c r="A69" s="4" t="inlineStr">
        <is>
          <t>TXN_000078</t>
        </is>
      </c>
      <c r="B69" s="4" t="inlineStr">
        <is>
          <t>C_00154</t>
        </is>
      </c>
      <c r="C69" s="4" t="inlineStr">
        <is>
          <t>2026-01-06</t>
        </is>
      </c>
      <c r="D69" s="5" t="n">
        <v>361.18</v>
      </c>
      <c r="E69" s="4" t="inlineStr">
        <is>
          <t>ACH</t>
        </is>
      </c>
      <c r="F69" s="4" t="inlineStr">
        <is>
          <t>CA</t>
        </is>
      </c>
      <c r="G69" s="4" t="inlineStr">
        <is>
          <t>Electronics</t>
        </is>
      </c>
    </row>
    <row r="70">
      <c r="A70" s="2" t="inlineStr">
        <is>
          <t>TXN_000077</t>
        </is>
      </c>
      <c r="B70" s="2" t="inlineStr">
        <is>
          <t>C_00076</t>
        </is>
      </c>
      <c r="C70" s="2" t="inlineStr">
        <is>
          <t>2026-01-06</t>
        </is>
      </c>
      <c r="D70" s="3" t="n">
        <v>1685.65</v>
      </c>
      <c r="E70" s="2" t="inlineStr">
        <is>
          <t>Wire Transfer</t>
        </is>
      </c>
      <c r="F70" s="2" t="inlineStr">
        <is>
          <t>NG</t>
        </is>
      </c>
      <c r="G70" s="2" t="inlineStr">
        <is>
          <t>Auto</t>
        </is>
      </c>
    </row>
    <row r="71">
      <c r="A71" s="4" t="inlineStr">
        <is>
          <t>TXN_000075</t>
        </is>
      </c>
      <c r="B71" s="4" t="inlineStr">
        <is>
          <t>C_00115</t>
        </is>
      </c>
      <c r="C71" s="4" t="inlineStr">
        <is>
          <t>2026-01-06</t>
        </is>
      </c>
      <c r="D71" s="5" t="n">
        <v>2525.74</v>
      </c>
      <c r="E71" s="4" t="inlineStr">
        <is>
          <t>ACH</t>
        </is>
      </c>
      <c r="F71" s="4" t="inlineStr">
        <is>
          <t>AE</t>
        </is>
      </c>
      <c r="G71" s="4" t="inlineStr">
        <is>
          <t>Food &amp; Beverage</t>
        </is>
      </c>
    </row>
    <row r="72">
      <c r="A72" s="2" t="inlineStr">
        <is>
          <t>TXN_000073</t>
        </is>
      </c>
      <c r="B72" s="2" t="inlineStr">
        <is>
          <t>C_00196</t>
        </is>
      </c>
      <c r="C72" s="2" t="inlineStr">
        <is>
          <t>2026-01-06</t>
        </is>
      </c>
      <c r="D72" s="3" t="n">
        <v>82012.28999999999</v>
      </c>
      <c r="E72" s="2" t="inlineStr">
        <is>
          <t>ACH</t>
        </is>
      </c>
      <c r="F72" s="2" t="inlineStr">
        <is>
          <t>NG</t>
        </is>
      </c>
      <c r="G72" s="2" t="inlineStr">
        <is>
          <t>Electronics</t>
        </is>
      </c>
    </row>
    <row r="73">
      <c r="A73" s="4" t="inlineStr">
        <is>
          <t>TXN_000076</t>
        </is>
      </c>
      <c r="B73" s="4" t="inlineStr">
        <is>
          <t>C_00107</t>
        </is>
      </c>
      <c r="C73" s="4" t="inlineStr">
        <is>
          <t>2026-01-06</t>
        </is>
      </c>
      <c r="D73" s="5" t="n">
        <v>176.91</v>
      </c>
      <c r="E73" s="4" t="inlineStr">
        <is>
          <t>Card</t>
        </is>
      </c>
      <c r="F73" s="4" t="inlineStr">
        <is>
          <t>US</t>
        </is>
      </c>
      <c r="G73" s="4" t="inlineStr">
        <is>
          <t>Healthcare</t>
        </is>
      </c>
    </row>
    <row r="74">
      <c r="A74" s="2" t="inlineStr">
        <is>
          <t>TXN_000071</t>
        </is>
      </c>
      <c r="B74" s="2" t="inlineStr">
        <is>
          <t>C_00021</t>
        </is>
      </c>
      <c r="C74" s="2" t="inlineStr">
        <is>
          <t>2026-01-06</t>
        </is>
      </c>
      <c r="D74" s="3" t="n">
        <v>16397.17</v>
      </c>
      <c r="E74" s="2" t="inlineStr">
        <is>
          <t>ACH</t>
        </is>
      </c>
      <c r="F74" s="2" t="inlineStr">
        <is>
          <t>MX</t>
        </is>
      </c>
      <c r="G74" s="2" t="inlineStr">
        <is>
          <t>Retail</t>
        </is>
      </c>
    </row>
    <row r="75">
      <c r="A75" s="4" t="inlineStr">
        <is>
          <t>TXN_000070</t>
        </is>
      </c>
      <c r="B75" s="4" t="inlineStr">
        <is>
          <t>C_00239</t>
        </is>
      </c>
      <c r="C75" s="4" t="inlineStr">
        <is>
          <t>2026-01-06</t>
        </is>
      </c>
      <c r="D75" s="5" t="n">
        <v>732.55</v>
      </c>
      <c r="E75" s="4" t="inlineStr">
        <is>
          <t>Mobile App</t>
        </is>
      </c>
      <c r="F75" s="4" t="inlineStr">
        <is>
          <t>US</t>
        </is>
      </c>
      <c r="G75" s="4" t="inlineStr">
        <is>
          <t>Money Services</t>
        </is>
      </c>
    </row>
    <row r="76">
      <c r="A76" s="2" t="inlineStr">
        <is>
          <t>TXN_000069</t>
        </is>
      </c>
      <c r="B76" s="2" t="inlineStr">
        <is>
          <t>C_00203</t>
        </is>
      </c>
      <c r="C76" s="2" t="inlineStr">
        <is>
          <t>2026-01-06</t>
        </is>
      </c>
      <c r="D76" s="3" t="n">
        <v>2907.71</v>
      </c>
      <c r="E76" s="2" t="inlineStr">
        <is>
          <t>Card</t>
        </is>
      </c>
      <c r="F76" s="2" t="inlineStr">
        <is>
          <t>US</t>
        </is>
      </c>
      <c r="G76" s="2" t="inlineStr">
        <is>
          <t>Electronics</t>
        </is>
      </c>
    </row>
    <row r="77">
      <c r="A77" s="4" t="inlineStr">
        <is>
          <t>TXN_000066</t>
        </is>
      </c>
      <c r="B77" s="4" t="inlineStr">
        <is>
          <t>C_00121</t>
        </is>
      </c>
      <c r="C77" s="4" t="inlineStr">
        <is>
          <t>2026-01-06</t>
        </is>
      </c>
      <c r="D77" s="5" t="n">
        <v>1014.86</v>
      </c>
      <c r="E77" s="4" t="inlineStr">
        <is>
          <t>Mobile App</t>
        </is>
      </c>
      <c r="F77" s="4" t="inlineStr">
        <is>
          <t>RU</t>
        </is>
      </c>
      <c r="G77" s="4" t="inlineStr">
        <is>
          <t>Food &amp; Beverage</t>
        </is>
      </c>
    </row>
    <row r="78">
      <c r="A78" s="2" t="inlineStr">
        <is>
          <t>TXN_000068</t>
        </is>
      </c>
      <c r="B78" s="2" t="inlineStr">
        <is>
          <t>C_00201</t>
        </is>
      </c>
      <c r="C78" s="2" t="inlineStr">
        <is>
          <t>2026-01-06</t>
        </is>
      </c>
      <c r="D78" s="3" t="n">
        <v>1876.38</v>
      </c>
      <c r="E78" s="2" t="inlineStr">
        <is>
          <t>Mobile App</t>
        </is>
      </c>
      <c r="F78" s="2" t="inlineStr">
        <is>
          <t>MX</t>
        </is>
      </c>
      <c r="G78" s="2" t="inlineStr">
        <is>
          <t>Electronics</t>
        </is>
      </c>
    </row>
    <row r="79">
      <c r="A79" s="4" t="inlineStr">
        <is>
          <t>TXN_000067</t>
        </is>
      </c>
      <c r="B79" s="4" t="inlineStr">
        <is>
          <t>C_00296</t>
        </is>
      </c>
      <c r="C79" s="4" t="inlineStr">
        <is>
          <t>2026-01-06</t>
        </is>
      </c>
      <c r="D79" s="5" t="n">
        <v>448.32</v>
      </c>
      <c r="E79" s="4" t="inlineStr">
        <is>
          <t>Mobile App</t>
        </is>
      </c>
      <c r="F79" s="4" t="inlineStr">
        <is>
          <t>US</t>
        </is>
      </c>
      <c r="G79" s="4" t="inlineStr">
        <is>
          <t>Jewelry</t>
        </is>
      </c>
    </row>
    <row r="80">
      <c r="A80" s="2" t="inlineStr">
        <is>
          <t>TXN_000072</t>
        </is>
      </c>
      <c r="B80" s="2" t="inlineStr">
        <is>
          <t>C_00297</t>
        </is>
      </c>
      <c r="C80" s="2" t="inlineStr">
        <is>
          <t>2026-01-06</t>
        </is>
      </c>
      <c r="D80" s="3" t="n">
        <v>14830.32</v>
      </c>
      <c r="E80" s="2" t="inlineStr">
        <is>
          <t>ACH</t>
        </is>
      </c>
      <c r="F80" s="2" t="inlineStr">
        <is>
          <t>US</t>
        </is>
      </c>
      <c r="G80" s="2" t="inlineStr">
        <is>
          <t>Auto</t>
        </is>
      </c>
    </row>
    <row r="81">
      <c r="A81" s="4" t="inlineStr">
        <is>
          <t>TXN_000092</t>
        </is>
      </c>
      <c r="B81" s="4" t="inlineStr">
        <is>
          <t>C_00021</t>
        </is>
      </c>
      <c r="C81" s="4" t="inlineStr">
        <is>
          <t>2026-01-07</t>
        </is>
      </c>
      <c r="D81" s="5" t="n">
        <v>1481.2</v>
      </c>
      <c r="E81" s="4" t="inlineStr">
        <is>
          <t>Card</t>
        </is>
      </c>
      <c r="F81" s="4" t="inlineStr">
        <is>
          <t>US</t>
        </is>
      </c>
      <c r="G81" s="4" t="inlineStr">
        <is>
          <t>Jewelry</t>
        </is>
      </c>
    </row>
    <row r="82">
      <c r="A82" s="2" t="inlineStr">
        <is>
          <t>TXN_000091</t>
        </is>
      </c>
      <c r="B82" s="2" t="inlineStr">
        <is>
          <t>C_00114</t>
        </is>
      </c>
      <c r="C82" s="2" t="inlineStr">
        <is>
          <t>2026-01-07</t>
        </is>
      </c>
      <c r="D82" s="3" t="n">
        <v>1234.61</v>
      </c>
      <c r="E82" s="2" t="inlineStr">
        <is>
          <t>ACH</t>
        </is>
      </c>
      <c r="F82" s="2" t="inlineStr">
        <is>
          <t>US</t>
        </is>
      </c>
      <c r="G82" s="2" t="inlineStr">
        <is>
          <t>Healthcare</t>
        </is>
      </c>
    </row>
    <row r="83">
      <c r="A83" s="4" t="inlineStr">
        <is>
          <t>TXN_000090</t>
        </is>
      </c>
      <c r="B83" s="4" t="inlineStr">
        <is>
          <t>C_00058</t>
        </is>
      </c>
      <c r="C83" s="4" t="inlineStr">
        <is>
          <t>2026-01-07</t>
        </is>
      </c>
      <c r="D83" s="5" t="n">
        <v>10133.1</v>
      </c>
      <c r="E83" s="4" t="inlineStr">
        <is>
          <t>Mobile App</t>
        </is>
      </c>
      <c r="F83" s="4" t="inlineStr">
        <is>
          <t>NG</t>
        </is>
      </c>
      <c r="G83" s="4" t="inlineStr">
        <is>
          <t>Electronics</t>
        </is>
      </c>
    </row>
    <row r="84">
      <c r="A84" s="2" t="inlineStr">
        <is>
          <t>TXN_000089</t>
        </is>
      </c>
      <c r="B84" s="2" t="inlineStr">
        <is>
          <t>C_00203</t>
        </is>
      </c>
      <c r="C84" s="2" t="inlineStr">
        <is>
          <t>2026-01-07</t>
        </is>
      </c>
      <c r="D84" s="3" t="n">
        <v>3521.7</v>
      </c>
      <c r="E84" s="2" t="inlineStr">
        <is>
          <t>Cash Deposit</t>
        </is>
      </c>
      <c r="F84" s="2" t="inlineStr">
        <is>
          <t>US</t>
        </is>
      </c>
      <c r="G84" s="2" t="inlineStr">
        <is>
          <t>Travel</t>
        </is>
      </c>
    </row>
    <row r="85">
      <c r="A85" s="4" t="inlineStr">
        <is>
          <t>TXN_000088</t>
        </is>
      </c>
      <c r="B85" s="4" t="inlineStr">
        <is>
          <t>C_00224</t>
        </is>
      </c>
      <c r="C85" s="4" t="inlineStr">
        <is>
          <t>2026-01-07</t>
        </is>
      </c>
      <c r="D85" s="5" t="n">
        <v>1966.29</v>
      </c>
      <c r="E85" s="4" t="inlineStr">
        <is>
          <t>Wire Transfer</t>
        </is>
      </c>
      <c r="F85" s="4" t="inlineStr">
        <is>
          <t>US</t>
        </is>
      </c>
      <c r="G85" s="4" t="inlineStr">
        <is>
          <t>Auto</t>
        </is>
      </c>
    </row>
    <row r="86">
      <c r="A86" s="2" t="inlineStr">
        <is>
          <t>TXN_000087</t>
        </is>
      </c>
      <c r="B86" s="2" t="inlineStr">
        <is>
          <t>C_00033</t>
        </is>
      </c>
      <c r="C86" s="2" t="inlineStr">
        <is>
          <t>2026-01-07</t>
        </is>
      </c>
      <c r="D86" s="3" t="n">
        <v>856.9299999999999</v>
      </c>
      <c r="E86" s="2" t="inlineStr">
        <is>
          <t>ACH</t>
        </is>
      </c>
      <c r="F86" s="2" t="inlineStr">
        <is>
          <t>MX</t>
        </is>
      </c>
      <c r="G86" s="2" t="inlineStr">
        <is>
          <t>Food &amp; Beverage</t>
        </is>
      </c>
    </row>
    <row r="87">
      <c r="A87" s="4" t="inlineStr">
        <is>
          <t>TXN_000086</t>
        </is>
      </c>
      <c r="B87" s="4" t="inlineStr">
        <is>
          <t>C_00258</t>
        </is>
      </c>
      <c r="C87" s="4" t="inlineStr">
        <is>
          <t>2026-01-07</t>
        </is>
      </c>
      <c r="D87" s="5" t="n">
        <v>2886.01</v>
      </c>
      <c r="E87" s="4" t="inlineStr">
        <is>
          <t>ACH</t>
        </is>
      </c>
      <c r="F87" s="4" t="inlineStr">
        <is>
          <t>US</t>
        </is>
      </c>
      <c r="G87" s="4" t="inlineStr">
        <is>
          <t>Money Services</t>
        </is>
      </c>
    </row>
    <row r="88">
      <c r="A88" s="2" t="inlineStr">
        <is>
          <t>TXN_000084</t>
        </is>
      </c>
      <c r="B88" s="2" t="inlineStr">
        <is>
          <t>C_00133</t>
        </is>
      </c>
      <c r="C88" s="2" t="inlineStr">
        <is>
          <t>2026-01-07</t>
        </is>
      </c>
      <c r="D88" s="3" t="n">
        <v>1107.58</v>
      </c>
      <c r="E88" s="2" t="inlineStr">
        <is>
          <t>Cash Deposit</t>
        </is>
      </c>
      <c r="F88" s="2" t="inlineStr">
        <is>
          <t>US</t>
        </is>
      </c>
      <c r="G88" s="2" t="inlineStr">
        <is>
          <t>Travel</t>
        </is>
      </c>
    </row>
    <row r="89">
      <c r="A89" s="4" t="inlineStr">
        <is>
          <t>TXN_000083</t>
        </is>
      </c>
      <c r="B89" s="4" t="inlineStr">
        <is>
          <t>C_00083</t>
        </is>
      </c>
      <c r="C89" s="4" t="inlineStr">
        <is>
          <t>2026-01-07</t>
        </is>
      </c>
      <c r="D89" s="5" t="n">
        <v>89.83</v>
      </c>
      <c r="E89" s="4" t="inlineStr">
        <is>
          <t>Cash Deposit</t>
        </is>
      </c>
      <c r="F89" s="4" t="inlineStr">
        <is>
          <t>US</t>
        </is>
      </c>
      <c r="G89" s="4" t="inlineStr">
        <is>
          <t>Auto</t>
        </is>
      </c>
    </row>
    <row r="90">
      <c r="A90" s="2" t="inlineStr">
        <is>
          <t>TXN_000082</t>
        </is>
      </c>
      <c r="B90" s="2" t="inlineStr">
        <is>
          <t>C_00120</t>
        </is>
      </c>
      <c r="C90" s="2" t="inlineStr">
        <is>
          <t>2026-01-07</t>
        </is>
      </c>
      <c r="D90" s="3" t="n">
        <v>486.88</v>
      </c>
      <c r="E90" s="2" t="inlineStr">
        <is>
          <t>Mobile App</t>
        </is>
      </c>
      <c r="F90" s="2" t="inlineStr">
        <is>
          <t>MX</t>
        </is>
      </c>
      <c r="G90" s="2" t="inlineStr">
        <is>
          <t>Food &amp; Beverage</t>
        </is>
      </c>
    </row>
    <row r="91">
      <c r="A91" s="4" t="inlineStr">
        <is>
          <t>TXN_000081</t>
        </is>
      </c>
      <c r="B91" s="4" t="inlineStr">
        <is>
          <t>C_00105</t>
        </is>
      </c>
      <c r="C91" s="4" t="inlineStr">
        <is>
          <t>2026-01-07</t>
        </is>
      </c>
      <c r="D91" s="5" t="n">
        <v>2370.06</v>
      </c>
      <c r="E91" s="4" t="inlineStr">
        <is>
          <t>Mobile App</t>
        </is>
      </c>
      <c r="F91" s="4" t="inlineStr">
        <is>
          <t>US</t>
        </is>
      </c>
      <c r="G91" s="4" t="inlineStr">
        <is>
          <t>Healthcare</t>
        </is>
      </c>
    </row>
    <row r="92">
      <c r="A92" s="2" t="inlineStr">
        <is>
          <t>TXN_000080</t>
        </is>
      </c>
      <c r="B92" s="2" t="inlineStr">
        <is>
          <t>C_00268</t>
        </is>
      </c>
      <c r="C92" s="2" t="inlineStr">
        <is>
          <t>2026-01-07</t>
        </is>
      </c>
      <c r="D92" s="3" t="n">
        <v>1781.51</v>
      </c>
      <c r="E92" s="2" t="inlineStr">
        <is>
          <t>Wire Transfer</t>
        </is>
      </c>
      <c r="F92" s="2" t="inlineStr">
        <is>
          <t>US</t>
        </is>
      </c>
      <c r="G92" s="2" t="inlineStr">
        <is>
          <t>Travel</t>
        </is>
      </c>
    </row>
    <row r="93">
      <c r="A93" s="4" t="inlineStr">
        <is>
          <t>TXN_000079</t>
        </is>
      </c>
      <c r="B93" s="4" t="inlineStr">
        <is>
          <t>C_00023</t>
        </is>
      </c>
      <c r="C93" s="4" t="inlineStr">
        <is>
          <t>2026-01-07</t>
        </is>
      </c>
      <c r="D93" s="5" t="n">
        <v>4311.92</v>
      </c>
      <c r="E93" s="4" t="inlineStr">
        <is>
          <t>Cash Deposit</t>
        </is>
      </c>
      <c r="F93" s="4" t="inlineStr">
        <is>
          <t>US</t>
        </is>
      </c>
      <c r="G93" s="4" t="inlineStr">
        <is>
          <t>Crypto Exchange</t>
        </is>
      </c>
    </row>
    <row r="94">
      <c r="A94" s="2" t="inlineStr">
        <is>
          <t>TXN_000085</t>
        </is>
      </c>
      <c r="B94" s="2" t="inlineStr">
        <is>
          <t>C_00050</t>
        </is>
      </c>
      <c r="C94" s="2" t="inlineStr">
        <is>
          <t>2026-01-07</t>
        </is>
      </c>
      <c r="D94" s="3" t="n">
        <v>803.34</v>
      </c>
      <c r="E94" s="2" t="inlineStr">
        <is>
          <t>Mobile App</t>
        </is>
      </c>
      <c r="F94" s="2" t="inlineStr">
        <is>
          <t>CA</t>
        </is>
      </c>
      <c r="G94" s="2" t="inlineStr">
        <is>
          <t>Money Services</t>
        </is>
      </c>
    </row>
    <row r="95">
      <c r="A95" s="4" t="inlineStr">
        <is>
          <t>TXN_001731</t>
        </is>
      </c>
      <c r="B95" s="4" t="inlineStr">
        <is>
          <t>C_00079</t>
        </is>
      </c>
      <c r="C95" s="4" t="inlineStr">
        <is>
          <t>2026-01-08</t>
        </is>
      </c>
      <c r="D95" s="5" t="n">
        <v>543.04</v>
      </c>
      <c r="E95" s="4" t="inlineStr">
        <is>
          <t>Mobile App</t>
        </is>
      </c>
      <c r="F95" s="4" t="inlineStr">
        <is>
          <t>US</t>
        </is>
      </c>
      <c r="G95" s="4" t="inlineStr">
        <is>
          <t>Crypto Exchange</t>
        </is>
      </c>
    </row>
    <row r="96">
      <c r="A96" s="2" t="inlineStr">
        <is>
          <t>TXN_000102</t>
        </is>
      </c>
      <c r="B96" s="2" t="inlineStr">
        <is>
          <t>C_ORPHAN_012</t>
        </is>
      </c>
      <c r="C96" s="2" t="inlineStr">
        <is>
          <t>2026-01-08</t>
        </is>
      </c>
      <c r="D96" s="3" t="n">
        <v>1330.09</v>
      </c>
      <c r="E96" s="2" t="inlineStr">
        <is>
          <t>Mobile App</t>
        </is>
      </c>
      <c r="F96" s="2" t="inlineStr">
        <is>
          <t>US</t>
        </is>
      </c>
      <c r="G96" s="2" t="inlineStr">
        <is>
          <t>Retail</t>
        </is>
      </c>
    </row>
    <row r="97">
      <c r="A97" s="4" t="inlineStr">
        <is>
          <t>TXN_000106</t>
        </is>
      </c>
      <c r="B97" s="4" t="inlineStr">
        <is>
          <t>C_00168</t>
        </is>
      </c>
      <c r="C97" s="4" t="inlineStr">
        <is>
          <t>2026-01-08</t>
        </is>
      </c>
      <c r="D97" s="5" t="n">
        <v>2381.24</v>
      </c>
      <c r="E97" s="4" t="inlineStr">
        <is>
          <t>ACH</t>
        </is>
      </c>
      <c r="F97" s="4" t="inlineStr">
        <is>
          <t>US</t>
        </is>
      </c>
      <c r="G97" s="4" t="inlineStr">
        <is>
          <t>Crypto Exchange</t>
        </is>
      </c>
    </row>
    <row r="98">
      <c r="A98" s="2" t="inlineStr">
        <is>
          <t>TXN_000105</t>
        </is>
      </c>
      <c r="B98" s="2" t="inlineStr">
        <is>
          <t>C_00105</t>
        </is>
      </c>
      <c r="C98" s="2" t="inlineStr">
        <is>
          <t>2026-01-08</t>
        </is>
      </c>
      <c r="D98" s="3" t="n">
        <v>330.23</v>
      </c>
      <c r="E98" s="2" t="inlineStr">
        <is>
          <t>Card</t>
        </is>
      </c>
      <c r="F98" s="2" t="inlineStr">
        <is>
          <t>US</t>
        </is>
      </c>
      <c r="G98" s="2" t="inlineStr">
        <is>
          <t>Jewelry</t>
        </is>
      </c>
    </row>
    <row r="99">
      <c r="A99" s="4" t="inlineStr">
        <is>
          <t>TXN_000104</t>
        </is>
      </c>
      <c r="B99" s="4" t="inlineStr">
        <is>
          <t>C_00063</t>
        </is>
      </c>
      <c r="C99" s="4" t="inlineStr">
        <is>
          <t>2026-01-08</t>
        </is>
      </c>
      <c r="D99" s="5" t="n">
        <v>544.76</v>
      </c>
      <c r="E99" s="4" t="inlineStr">
        <is>
          <t>Mobile App</t>
        </is>
      </c>
      <c r="F99" s="4" t="inlineStr">
        <is>
          <t>MX</t>
        </is>
      </c>
      <c r="G99" s="4" t="inlineStr">
        <is>
          <t>Money Services</t>
        </is>
      </c>
    </row>
    <row r="100">
      <c r="A100" s="2" t="inlineStr">
        <is>
          <t>TXN_000103</t>
        </is>
      </c>
      <c r="B100" s="2" t="inlineStr">
        <is>
          <t>C_00244</t>
        </is>
      </c>
      <c r="C100" s="2" t="inlineStr">
        <is>
          <t>2026-01-08</t>
        </is>
      </c>
      <c r="D100" s="3" t="n">
        <v>1287.74</v>
      </c>
      <c r="E100" s="2" t="inlineStr">
        <is>
          <t>Wire Transfer</t>
        </is>
      </c>
      <c r="F100" s="2" t="inlineStr">
        <is>
          <t>AE</t>
        </is>
      </c>
      <c r="G100" s="2" t="inlineStr">
        <is>
          <t>Crypto Exchange</t>
        </is>
      </c>
    </row>
    <row r="101">
      <c r="A101" s="4" t="inlineStr">
        <is>
          <t>TXN_000101</t>
        </is>
      </c>
      <c r="B101" s="4" t="inlineStr">
        <is>
          <t>C_00079</t>
        </is>
      </c>
      <c r="C101" s="4" t="inlineStr">
        <is>
          <t>2026-01-08</t>
        </is>
      </c>
      <c r="D101" s="5" t="n">
        <v>543.04</v>
      </c>
      <c r="E101" s="4" t="inlineStr">
        <is>
          <t>Mobile App</t>
        </is>
      </c>
      <c r="F101" s="4" t="inlineStr">
        <is>
          <t>US</t>
        </is>
      </c>
      <c r="G101" s="4" t="inlineStr">
        <is>
          <t>Crypto Exchange</t>
        </is>
      </c>
    </row>
    <row r="102">
      <c r="A102" s="2" t="inlineStr">
        <is>
          <t>TXN_000096</t>
        </is>
      </c>
      <c r="B102" s="2" t="inlineStr">
        <is>
          <t>C_00021</t>
        </is>
      </c>
      <c r="C102" s="2" t="inlineStr">
        <is>
          <t>2026-01-08</t>
        </is>
      </c>
      <c r="D102" s="3" t="n">
        <v>3258.17</v>
      </c>
      <c r="E102" s="2" t="inlineStr">
        <is>
          <t>ACH</t>
        </is>
      </c>
      <c r="F102" s="2" t="inlineStr">
        <is>
          <t>US</t>
        </is>
      </c>
      <c r="G102" s="2" t="inlineStr">
        <is>
          <t>Jewelry</t>
        </is>
      </c>
    </row>
    <row r="103">
      <c r="A103" s="4" t="inlineStr">
        <is>
          <t>TXN_000099</t>
        </is>
      </c>
      <c r="B103" s="4" t="inlineStr">
        <is>
          <t>C_00211</t>
        </is>
      </c>
      <c r="C103" s="4" t="inlineStr">
        <is>
          <t>2026-01-08</t>
        </is>
      </c>
      <c r="D103" s="5" t="n">
        <v>769.3</v>
      </c>
      <c r="E103" s="4" t="inlineStr">
        <is>
          <t>ACH</t>
        </is>
      </c>
      <c r="F103" s="4" t="inlineStr">
        <is>
          <t>US</t>
        </is>
      </c>
      <c r="G103" s="4" t="inlineStr">
        <is>
          <t>Real Estate</t>
        </is>
      </c>
    </row>
    <row r="104">
      <c r="A104" s="2" t="inlineStr">
        <is>
          <t>TXN_000098</t>
        </is>
      </c>
      <c r="B104" s="2" t="inlineStr">
        <is>
          <t>C_00249</t>
        </is>
      </c>
      <c r="C104" s="2" t="inlineStr">
        <is>
          <t>2026-01-08</t>
        </is>
      </c>
      <c r="D104" s="3" t="n">
        <v>228.57</v>
      </c>
      <c r="E104" s="2" t="inlineStr">
        <is>
          <t>Card</t>
        </is>
      </c>
      <c r="F104" s="2" t="inlineStr">
        <is>
          <t>US</t>
        </is>
      </c>
      <c r="G104" s="2" t="inlineStr">
        <is>
          <t>Food &amp; Beverage</t>
        </is>
      </c>
    </row>
    <row r="105">
      <c r="A105" s="4" t="inlineStr">
        <is>
          <t>TXN_000097</t>
        </is>
      </c>
      <c r="B105" s="4" t="inlineStr">
        <is>
          <t>C_00169</t>
        </is>
      </c>
      <c r="C105" s="4" t="inlineStr">
        <is>
          <t>2026-01-08</t>
        </is>
      </c>
      <c r="D105" s="5" t="n">
        <v>2705.41</v>
      </c>
      <c r="E105" s="4" t="inlineStr">
        <is>
          <t>Cash Deposit</t>
        </is>
      </c>
      <c r="F105" s="4" t="inlineStr">
        <is>
          <t>US</t>
        </is>
      </c>
      <c r="G105" s="4" t="inlineStr">
        <is>
          <t>Healthcare</t>
        </is>
      </c>
    </row>
    <row r="106">
      <c r="A106" s="2" t="inlineStr">
        <is>
          <t>TXN_000093</t>
        </is>
      </c>
      <c r="B106" s="2" t="inlineStr">
        <is>
          <t>C_00122</t>
        </is>
      </c>
      <c r="C106" s="2" t="inlineStr">
        <is>
          <t>2026-01-08</t>
        </is>
      </c>
      <c r="D106" s="3" t="n">
        <v>1821.14</v>
      </c>
      <c r="E106" s="2" t="inlineStr">
        <is>
          <t>Wire Transfer</t>
        </is>
      </c>
      <c r="F106" s="2" t="inlineStr">
        <is>
          <t>US</t>
        </is>
      </c>
      <c r="G106" s="2" t="inlineStr">
        <is>
          <t>Healthcare</t>
        </is>
      </c>
    </row>
    <row r="107">
      <c r="A107" s="4" t="inlineStr">
        <is>
          <t>TXN_000095</t>
        </is>
      </c>
      <c r="B107" s="4" t="inlineStr">
        <is>
          <t>C_00067</t>
        </is>
      </c>
      <c r="C107" s="4" t="inlineStr">
        <is>
          <t>2026-01-08</t>
        </is>
      </c>
      <c r="D107" s="5" t="n">
        <v>5587.84</v>
      </c>
      <c r="E107" s="4" t="inlineStr">
        <is>
          <t>ACH</t>
        </is>
      </c>
      <c r="F107" s="4" t="inlineStr">
        <is>
          <t>US</t>
        </is>
      </c>
      <c r="G107" s="4" t="inlineStr">
        <is>
          <t>Food &amp; Beverage</t>
        </is>
      </c>
    </row>
    <row r="108">
      <c r="A108" s="2" t="inlineStr">
        <is>
          <t>TXN_000100</t>
        </is>
      </c>
      <c r="B108" s="2" t="inlineStr">
        <is>
          <t>C_00205</t>
        </is>
      </c>
      <c r="C108" s="2" t="inlineStr">
        <is>
          <t>2026-01-08</t>
        </is>
      </c>
      <c r="D108" s="3" t="n">
        <v>1803.88</v>
      </c>
      <c r="E108" s="2" t="inlineStr">
        <is>
          <t>Card</t>
        </is>
      </c>
      <c r="F108" s="2" t="inlineStr">
        <is>
          <t>CN</t>
        </is>
      </c>
      <c r="G108" s="2" t="inlineStr">
        <is>
          <t>Money Services</t>
        </is>
      </c>
    </row>
    <row r="109">
      <c r="A109" s="4" t="inlineStr">
        <is>
          <t>TXN_000094</t>
        </is>
      </c>
      <c r="B109" s="4" t="inlineStr">
        <is>
          <t>C_00254</t>
        </is>
      </c>
      <c r="C109" s="4" t="inlineStr">
        <is>
          <t>2026-01-08</t>
        </is>
      </c>
      <c r="D109" s="5" t="n">
        <v>2621.61</v>
      </c>
      <c r="E109" s="4" t="inlineStr">
        <is>
          <t>Mobile App</t>
        </is>
      </c>
      <c r="F109" s="4" t="inlineStr">
        <is>
          <t>US</t>
        </is>
      </c>
      <c r="G109" s="4" t="inlineStr">
        <is>
          <t>Electronics</t>
        </is>
      </c>
    </row>
    <row r="110">
      <c r="A110" s="2" t="inlineStr">
        <is>
          <t>TXN_000124</t>
        </is>
      </c>
      <c r="B110" s="2" t="inlineStr">
        <is>
          <t>C_00216</t>
        </is>
      </c>
      <c r="C110" s="2" t="inlineStr">
        <is>
          <t>2026-01-09</t>
        </is>
      </c>
      <c r="D110" s="3" t="n">
        <v>2164.21</v>
      </c>
      <c r="E110" s="2" t="inlineStr">
        <is>
          <t>ACH</t>
        </is>
      </c>
      <c r="F110" s="2" t="inlineStr">
        <is>
          <t>CN</t>
        </is>
      </c>
      <c r="G110" s="2" t="inlineStr">
        <is>
          <t>Travel</t>
        </is>
      </c>
    </row>
    <row r="111">
      <c r="A111" s="4" t="inlineStr">
        <is>
          <t>TXN_000123</t>
        </is>
      </c>
      <c r="B111" s="4" t="inlineStr">
        <is>
          <t>C_00300</t>
        </is>
      </c>
      <c r="C111" s="4" t="inlineStr">
        <is>
          <t>2026-01-09</t>
        </is>
      </c>
      <c r="D111" s="5" t="n">
        <v>2062.3</v>
      </c>
      <c r="E111" s="4" t="inlineStr">
        <is>
          <t>Card</t>
        </is>
      </c>
      <c r="F111" s="4" t="inlineStr">
        <is>
          <t>US</t>
        </is>
      </c>
      <c r="G111" s="4" t="inlineStr">
        <is>
          <t>Jewelry</t>
        </is>
      </c>
    </row>
    <row r="112">
      <c r="A112" s="2" t="inlineStr">
        <is>
          <t>TXN_000121</t>
        </is>
      </c>
      <c r="B112" s="2" t="inlineStr">
        <is>
          <t>C_00144</t>
        </is>
      </c>
      <c r="C112" s="2" t="inlineStr">
        <is>
          <t>2026-01-09</t>
        </is>
      </c>
      <c r="D112" s="3" t="n">
        <v>724.3</v>
      </c>
      <c r="E112" s="2" t="inlineStr">
        <is>
          <t>Card</t>
        </is>
      </c>
      <c r="F112" s="2" t="inlineStr">
        <is>
          <t>US</t>
        </is>
      </c>
      <c r="G112" s="2" t="inlineStr">
        <is>
          <t>Travel</t>
        </is>
      </c>
    </row>
    <row r="113">
      <c r="A113" s="4" t="inlineStr">
        <is>
          <t>TXN_000120</t>
        </is>
      </c>
      <c r="B113" s="4" t="inlineStr">
        <is>
          <t>C_00258</t>
        </is>
      </c>
      <c r="C113" s="4" t="inlineStr">
        <is>
          <t>2026-01-09</t>
        </is>
      </c>
      <c r="D113" s="5" t="n">
        <v>574.9299999999999</v>
      </c>
      <c r="E113" s="4" t="inlineStr">
        <is>
          <t>Mobile App</t>
        </is>
      </c>
      <c r="F113" s="4" t="inlineStr">
        <is>
          <t>US</t>
        </is>
      </c>
      <c r="G113" s="4" t="inlineStr">
        <is>
          <t>Electronics</t>
        </is>
      </c>
    </row>
    <row r="114">
      <c r="A114" s="2" t="inlineStr">
        <is>
          <t>TXN_000119</t>
        </is>
      </c>
      <c r="B114" s="2" t="inlineStr">
        <is>
          <t>C_00217</t>
        </is>
      </c>
      <c r="C114" s="2" t="inlineStr">
        <is>
          <t>2026-01-09</t>
        </is>
      </c>
      <c r="D114" s="3" t="n">
        <v>5903.87</v>
      </c>
      <c r="E114" s="2" t="inlineStr">
        <is>
          <t>Mobile App</t>
        </is>
      </c>
      <c r="F114" s="2" t="inlineStr">
        <is>
          <t>US</t>
        </is>
      </c>
      <c r="G114" s="2" t="inlineStr">
        <is>
          <t>Jewelry</t>
        </is>
      </c>
    </row>
    <row r="115">
      <c r="A115" s="4" t="inlineStr">
        <is>
          <t>TXN_000118</t>
        </is>
      </c>
      <c r="B115" s="4" t="inlineStr">
        <is>
          <t>C_00166</t>
        </is>
      </c>
      <c r="C115" s="4" t="inlineStr">
        <is>
          <t>2026-01-09</t>
        </is>
      </c>
      <c r="D115" s="5" t="n">
        <v>991.84</v>
      </c>
      <c r="E115" s="4" t="inlineStr">
        <is>
          <t>ACH</t>
        </is>
      </c>
      <c r="F115" s="4" t="inlineStr">
        <is>
          <t>NG</t>
        </is>
      </c>
      <c r="G115" s="4" t="inlineStr">
        <is>
          <t>Retail</t>
        </is>
      </c>
    </row>
    <row r="116">
      <c r="A116" s="2" t="inlineStr">
        <is>
          <t>TXN_000117</t>
        </is>
      </c>
      <c r="B116" s="2" t="inlineStr">
        <is>
          <t>C_00229</t>
        </is>
      </c>
      <c r="C116" s="2" t="inlineStr">
        <is>
          <t>2026-01-09</t>
        </is>
      </c>
      <c r="D116" s="3" t="n">
        <v>1798.02</v>
      </c>
      <c r="E116" s="2" t="inlineStr">
        <is>
          <t>ACH</t>
        </is>
      </c>
      <c r="F116" s="2" t="inlineStr">
        <is>
          <t>US</t>
        </is>
      </c>
      <c r="G116" s="2" t="inlineStr">
        <is>
          <t>Real Estate</t>
        </is>
      </c>
    </row>
    <row r="117">
      <c r="A117" s="4" t="inlineStr">
        <is>
          <t>TXN_000122</t>
        </is>
      </c>
      <c r="B117" s="4" t="inlineStr">
        <is>
          <t>C_00288</t>
        </is>
      </c>
      <c r="C117" s="4" t="inlineStr">
        <is>
          <t>2026-01-09</t>
        </is>
      </c>
      <c r="D117" s="5" t="n">
        <v>574.36</v>
      </c>
      <c r="E117" s="4" t="inlineStr">
        <is>
          <t>Mobile App</t>
        </is>
      </c>
      <c r="F117" s="4" t="inlineStr">
        <is>
          <t>US</t>
        </is>
      </c>
      <c r="G117" s="4" t="inlineStr">
        <is>
          <t>Healthcare</t>
        </is>
      </c>
    </row>
    <row r="118">
      <c r="A118" s="2" t="inlineStr">
        <is>
          <t>TXN_000115</t>
        </is>
      </c>
      <c r="B118" s="2" t="inlineStr">
        <is>
          <t>C_00099</t>
        </is>
      </c>
      <c r="C118" s="2" t="inlineStr">
        <is>
          <t>2026-01-09</t>
        </is>
      </c>
      <c r="D118" s="3" t="n">
        <v>2718.54</v>
      </c>
      <c r="E118" s="2" t="inlineStr">
        <is>
          <t>ACH</t>
        </is>
      </c>
      <c r="F118" s="2" t="inlineStr">
        <is>
          <t>US</t>
        </is>
      </c>
      <c r="G118" s="2" t="inlineStr">
        <is>
          <t>Healthcare</t>
        </is>
      </c>
    </row>
    <row r="119">
      <c r="A119" s="4" t="inlineStr">
        <is>
          <t>TXN_000114</t>
        </is>
      </c>
      <c r="B119" s="4" t="inlineStr">
        <is>
          <t>C_00276</t>
        </is>
      </c>
      <c r="C119" s="4" t="inlineStr">
        <is>
          <t>2026-01-09</t>
        </is>
      </c>
      <c r="D119" s="5" t="n">
        <v>1924.86</v>
      </c>
      <c r="E119" s="4" t="inlineStr">
        <is>
          <t>Card</t>
        </is>
      </c>
      <c r="F119" s="4" t="inlineStr">
        <is>
          <t>US</t>
        </is>
      </c>
      <c r="G119" s="4" t="inlineStr">
        <is>
          <t>Travel</t>
        </is>
      </c>
    </row>
    <row r="120">
      <c r="A120" s="2" t="inlineStr">
        <is>
          <t>TXN_000113</t>
        </is>
      </c>
      <c r="B120" s="2" t="inlineStr">
        <is>
          <t>C_00246</t>
        </is>
      </c>
      <c r="C120" s="2" t="inlineStr">
        <is>
          <t>2026-01-09</t>
        </is>
      </c>
      <c r="D120" s="3" t="n">
        <v>991.39</v>
      </c>
      <c r="E120" s="2" t="inlineStr">
        <is>
          <t>Wire Transfer</t>
        </is>
      </c>
      <c r="F120" s="2" t="inlineStr">
        <is>
          <t>US</t>
        </is>
      </c>
      <c r="G120" s="2" t="inlineStr">
        <is>
          <t>Auto</t>
        </is>
      </c>
    </row>
    <row r="121">
      <c r="A121" s="4" t="inlineStr">
        <is>
          <t>TXN_000112</t>
        </is>
      </c>
      <c r="B121" s="4" t="inlineStr">
        <is>
          <t>C_00057</t>
        </is>
      </c>
      <c r="C121" s="4" t="inlineStr">
        <is>
          <t>2026-01-09</t>
        </is>
      </c>
      <c r="D121" s="5" t="n">
        <v>4480.54</v>
      </c>
      <c r="E121" s="4" t="inlineStr">
        <is>
          <t>Card</t>
        </is>
      </c>
      <c r="F121" s="4" t="inlineStr">
        <is>
          <t>US</t>
        </is>
      </c>
      <c r="G121" s="4" t="inlineStr">
        <is>
          <t>Retail</t>
        </is>
      </c>
    </row>
    <row r="122">
      <c r="A122" s="2" t="inlineStr">
        <is>
          <t>TXN_000111</t>
        </is>
      </c>
      <c r="B122" s="2" t="inlineStr">
        <is>
          <t>C_00151</t>
        </is>
      </c>
      <c r="C122" s="2" t="inlineStr">
        <is>
          <t>2026-01-09</t>
        </is>
      </c>
      <c r="D122" s="3" t="n">
        <v>1814.55</v>
      </c>
      <c r="E122" s="2" t="inlineStr">
        <is>
          <t>Cash Deposit</t>
        </is>
      </c>
      <c r="F122" s="2" t="inlineStr">
        <is>
          <t>US</t>
        </is>
      </c>
      <c r="G122" s="2" t="inlineStr">
        <is>
          <t>Retail</t>
        </is>
      </c>
    </row>
    <row r="123">
      <c r="A123" s="4" t="inlineStr">
        <is>
          <t>TXN_000107</t>
        </is>
      </c>
      <c r="B123" s="4" t="inlineStr">
        <is>
          <t>C_00102</t>
        </is>
      </c>
      <c r="C123" s="4" t="inlineStr">
        <is>
          <t>2026-01-09</t>
        </is>
      </c>
      <c r="D123" s="5" t="n">
        <v>1257.47</v>
      </c>
      <c r="E123" s="4" t="inlineStr">
        <is>
          <t>Mobile App</t>
        </is>
      </c>
      <c r="F123" s="4" t="inlineStr">
        <is>
          <t>AE</t>
        </is>
      </c>
      <c r="G123" s="4" t="inlineStr">
        <is>
          <t>Crypto Exchange</t>
        </is>
      </c>
    </row>
    <row r="124">
      <c r="A124" s="2" t="inlineStr">
        <is>
          <t>TXN_000110</t>
        </is>
      </c>
      <c r="B124" s="2" t="inlineStr">
        <is>
          <t>C_00113</t>
        </is>
      </c>
      <c r="C124" s="2" t="inlineStr">
        <is>
          <t>2026-01-09</t>
        </is>
      </c>
      <c r="D124" s="3" t="n">
        <v>1683.89</v>
      </c>
      <c r="E124" s="2" t="inlineStr">
        <is>
          <t>Cash Deposit</t>
        </is>
      </c>
      <c r="F124" s="2" t="inlineStr">
        <is>
          <t>MX</t>
        </is>
      </c>
      <c r="G124" s="2" t="inlineStr">
        <is>
          <t>Real Estate</t>
        </is>
      </c>
    </row>
    <row r="125">
      <c r="A125" s="4" t="inlineStr">
        <is>
          <t>TXN_000109</t>
        </is>
      </c>
      <c r="B125" s="4" t="inlineStr">
        <is>
          <t>C_00271</t>
        </is>
      </c>
      <c r="C125" s="4" t="inlineStr">
        <is>
          <t>2026-01-09</t>
        </is>
      </c>
      <c r="D125" s="5" t="n">
        <v>4537.75</v>
      </c>
      <c r="E125" s="4" t="inlineStr">
        <is>
          <t>Cash Deposit</t>
        </is>
      </c>
      <c r="F125" s="4" t="inlineStr">
        <is>
          <t>NG</t>
        </is>
      </c>
      <c r="G125" s="4" t="inlineStr">
        <is>
          <t>Electronics</t>
        </is>
      </c>
    </row>
    <row r="126">
      <c r="A126" s="2" t="inlineStr">
        <is>
          <t>TXN_000108</t>
        </is>
      </c>
      <c r="B126" s="2" t="inlineStr">
        <is>
          <t>C_00122</t>
        </is>
      </c>
      <c r="C126" s="2" t="inlineStr">
        <is>
          <t>2026-01-09</t>
        </is>
      </c>
      <c r="D126" s="3" t="n">
        <v>15572.22</v>
      </c>
      <c r="E126" s="2" t="inlineStr">
        <is>
          <t>Mobile App</t>
        </is>
      </c>
      <c r="F126" s="2" t="inlineStr">
        <is>
          <t>AE</t>
        </is>
      </c>
      <c r="G126" s="2" t="inlineStr">
        <is>
          <t>Money Services</t>
        </is>
      </c>
    </row>
    <row r="127">
      <c r="A127" s="4" t="inlineStr">
        <is>
          <t>TXN_000116</t>
        </is>
      </c>
      <c r="B127" s="4" t="inlineStr">
        <is>
          <t>C_00289</t>
        </is>
      </c>
      <c r="C127" s="4" t="inlineStr">
        <is>
          <t>2026-01-09</t>
        </is>
      </c>
      <c r="D127" s="5" t="n">
        <v>144.09</v>
      </c>
      <c r="E127" s="4" t="inlineStr">
        <is>
          <t>Cash Deposit</t>
        </is>
      </c>
      <c r="F127" s="4" t="inlineStr">
        <is>
          <t>AE</t>
        </is>
      </c>
      <c r="G127" s="4" t="inlineStr">
        <is>
          <t>Healthcare</t>
        </is>
      </c>
    </row>
    <row r="128">
      <c r="A128" s="2" t="inlineStr">
        <is>
          <t>TXN_000135</t>
        </is>
      </c>
      <c r="B128" s="2" t="inlineStr">
        <is>
          <t>C_00104</t>
        </is>
      </c>
      <c r="C128" s="2" t="inlineStr">
        <is>
          <t>2026-01-10</t>
        </is>
      </c>
      <c r="D128" s="3" t="n">
        <v>3777.88</v>
      </c>
      <c r="E128" s="2" t="inlineStr">
        <is>
          <t>Cash Deposit</t>
        </is>
      </c>
      <c r="F128" s="2" t="inlineStr">
        <is>
          <t>US</t>
        </is>
      </c>
      <c r="G128" s="2" t="inlineStr">
        <is>
          <t>Retail</t>
        </is>
      </c>
    </row>
    <row r="129">
      <c r="A129" s="4" t="inlineStr">
        <is>
          <t>TXN_000134</t>
        </is>
      </c>
      <c r="B129" s="4" t="inlineStr">
        <is>
          <t>C_00050</t>
        </is>
      </c>
      <c r="C129" s="4" t="inlineStr">
        <is>
          <t>2026-01-10</t>
        </is>
      </c>
      <c r="D129" s="5" t="n">
        <v>3273.02</v>
      </c>
      <c r="E129" s="4" t="inlineStr">
        <is>
          <t>Wire Transfer</t>
        </is>
      </c>
      <c r="F129" s="4" t="inlineStr">
        <is>
          <t>US</t>
        </is>
      </c>
      <c r="G129" s="4" t="inlineStr">
        <is>
          <t>Healthcare</t>
        </is>
      </c>
    </row>
    <row r="130">
      <c r="A130" s="2" t="inlineStr">
        <is>
          <t>TXN_000133</t>
        </is>
      </c>
      <c r="B130" s="2" t="inlineStr">
        <is>
          <t>C_00244</t>
        </is>
      </c>
      <c r="C130" s="2" t="inlineStr">
        <is>
          <t>2026-01-10</t>
        </is>
      </c>
      <c r="D130" s="3" t="n">
        <v>822.8200000000001</v>
      </c>
      <c r="E130" s="2" t="inlineStr">
        <is>
          <t>Card</t>
        </is>
      </c>
      <c r="F130" s="2" t="inlineStr">
        <is>
          <t>US</t>
        </is>
      </c>
      <c r="G130" s="2" t="inlineStr">
        <is>
          <t>Healthcare</t>
        </is>
      </c>
    </row>
    <row r="131">
      <c r="A131" s="4" t="inlineStr">
        <is>
          <t>TXN_000132</t>
        </is>
      </c>
      <c r="B131" s="4" t="inlineStr">
        <is>
          <t>C_00064</t>
        </is>
      </c>
      <c r="C131" s="4" t="inlineStr">
        <is>
          <t>2026-01-10</t>
        </is>
      </c>
      <c r="D131" s="5" t="n">
        <v>884.21</v>
      </c>
      <c r="E131" s="4" t="inlineStr">
        <is>
          <t>Cash Deposit</t>
        </is>
      </c>
      <c r="F131" s="4" t="inlineStr">
        <is>
          <t>US</t>
        </is>
      </c>
      <c r="G131" s="4" t="inlineStr">
        <is>
          <t>Electronics</t>
        </is>
      </c>
    </row>
    <row r="132">
      <c r="A132" s="2" t="inlineStr">
        <is>
          <t>TXN_000130</t>
        </is>
      </c>
      <c r="B132" s="2" t="inlineStr">
        <is>
          <t>C_00283</t>
        </is>
      </c>
      <c r="C132" s="2" t="inlineStr">
        <is>
          <t>2026-01-10</t>
        </is>
      </c>
      <c r="D132" s="3" t="n">
        <v>3038.48</v>
      </c>
      <c r="E132" s="2" t="inlineStr">
        <is>
          <t>Wire Transfer</t>
        </is>
      </c>
      <c r="F132" s="2" t="inlineStr">
        <is>
          <t>US</t>
        </is>
      </c>
      <c r="G132" s="2" t="inlineStr">
        <is>
          <t>Travel</t>
        </is>
      </c>
    </row>
    <row r="133">
      <c r="A133" s="4" t="inlineStr">
        <is>
          <t>TXN_000129</t>
        </is>
      </c>
      <c r="B133" s="4" t="inlineStr">
        <is>
          <t>C_00133</t>
        </is>
      </c>
      <c r="C133" s="4" t="inlineStr">
        <is>
          <t>2026-01-10</t>
        </is>
      </c>
      <c r="D133" s="5" t="n">
        <v>894.35</v>
      </c>
      <c r="E133" s="4" t="inlineStr">
        <is>
          <t>Card</t>
        </is>
      </c>
      <c r="F133" s="4" t="inlineStr">
        <is>
          <t>US</t>
        </is>
      </c>
      <c r="G133" s="4" t="inlineStr">
        <is>
          <t>Healthcare</t>
        </is>
      </c>
    </row>
    <row r="134">
      <c r="A134" s="2" t="inlineStr">
        <is>
          <t>TXN_000128</t>
        </is>
      </c>
      <c r="B134" s="2" t="inlineStr">
        <is>
          <t>C_00147</t>
        </is>
      </c>
      <c r="C134" s="2" t="inlineStr">
        <is>
          <t>2026-01-10</t>
        </is>
      </c>
      <c r="D134" s="3" t="n">
        <v>604.59</v>
      </c>
      <c r="E134" s="2" t="inlineStr">
        <is>
          <t>Mobile App</t>
        </is>
      </c>
      <c r="F134" s="2" t="inlineStr">
        <is>
          <t>US</t>
        </is>
      </c>
      <c r="G134" s="2" t="inlineStr">
        <is>
          <t>Food &amp; Beverage</t>
        </is>
      </c>
    </row>
    <row r="135">
      <c r="A135" s="4" t="inlineStr">
        <is>
          <t>TXN_000127</t>
        </is>
      </c>
      <c r="B135" s="4" t="inlineStr">
        <is>
          <t>C_00086</t>
        </is>
      </c>
      <c r="C135" s="4" t="inlineStr">
        <is>
          <t>2026-01-10</t>
        </is>
      </c>
      <c r="D135" s="5" t="n">
        <v>1427.58</v>
      </c>
      <c r="E135" s="4" t="inlineStr">
        <is>
          <t>Wire Transfer</t>
        </is>
      </c>
      <c r="F135" s="4" t="inlineStr">
        <is>
          <t>CN</t>
        </is>
      </c>
      <c r="G135" s="4" t="inlineStr">
        <is>
          <t>Food &amp; Beverage</t>
        </is>
      </c>
    </row>
    <row r="136">
      <c r="A136" s="2" t="inlineStr">
        <is>
          <t>TXN_000126</t>
        </is>
      </c>
      <c r="B136" s="2" t="inlineStr">
        <is>
          <t>C_00123</t>
        </is>
      </c>
      <c r="C136" s="2" t="inlineStr">
        <is>
          <t>2026-01-10</t>
        </is>
      </c>
      <c r="D136" s="3" t="n">
        <v>499.52</v>
      </c>
      <c r="E136" s="2" t="inlineStr">
        <is>
          <t>Wire Transfer</t>
        </is>
      </c>
      <c r="F136" s="2" t="inlineStr">
        <is>
          <t>MX</t>
        </is>
      </c>
      <c r="G136" s="2" t="inlineStr">
        <is>
          <t>Money Services</t>
        </is>
      </c>
    </row>
    <row r="137">
      <c r="A137" s="4" t="inlineStr">
        <is>
          <t>TXN_000125</t>
        </is>
      </c>
      <c r="B137" s="4" t="inlineStr">
        <is>
          <t>C_00101</t>
        </is>
      </c>
      <c r="C137" s="4" t="inlineStr">
        <is>
          <t>2026-01-10</t>
        </is>
      </c>
      <c r="D137" s="5" t="n">
        <v>1045.48</v>
      </c>
      <c r="E137" s="4" t="inlineStr">
        <is>
          <t>ACH</t>
        </is>
      </c>
      <c r="F137" s="4" t="inlineStr">
        <is>
          <t>US</t>
        </is>
      </c>
      <c r="G137" s="4" t="inlineStr">
        <is>
          <t>Auto</t>
        </is>
      </c>
    </row>
    <row r="138">
      <c r="A138" s="2" t="inlineStr">
        <is>
          <t>TXN_000131</t>
        </is>
      </c>
      <c r="B138" s="2" t="inlineStr">
        <is>
          <t>C_00083</t>
        </is>
      </c>
      <c r="C138" s="2" t="inlineStr">
        <is>
          <t>2026-01-10</t>
        </is>
      </c>
      <c r="D138" s="3" t="n">
        <v>337.74</v>
      </c>
      <c r="E138" s="2" t="inlineStr">
        <is>
          <t>Card</t>
        </is>
      </c>
      <c r="F138" s="2" t="inlineStr">
        <is>
          <t>RU</t>
        </is>
      </c>
      <c r="G138" s="2" t="inlineStr">
        <is>
          <t>Auto</t>
        </is>
      </c>
    </row>
    <row r="139">
      <c r="A139" s="4" t="inlineStr">
        <is>
          <t>TXN_000151</t>
        </is>
      </c>
      <c r="B139" s="4" t="inlineStr">
        <is>
          <t>C_00128</t>
        </is>
      </c>
      <c r="C139" s="4" t="inlineStr">
        <is>
          <t>2026-01-11</t>
        </is>
      </c>
      <c r="D139" s="5" t="n">
        <v>15710.59</v>
      </c>
      <c r="E139" s="4" t="inlineStr">
        <is>
          <t>Mobile App</t>
        </is>
      </c>
      <c r="F139" s="4" t="inlineStr">
        <is>
          <t>MX</t>
        </is>
      </c>
      <c r="G139" s="4" t="inlineStr">
        <is>
          <t>Retail</t>
        </is>
      </c>
    </row>
    <row r="140">
      <c r="A140" s="2" t="inlineStr">
        <is>
          <t>TXN_000150</t>
        </is>
      </c>
      <c r="B140" s="2" t="inlineStr">
        <is>
          <t>C_00286</t>
        </is>
      </c>
      <c r="C140" s="2" t="inlineStr">
        <is>
          <t>2026-01-11</t>
        </is>
      </c>
      <c r="D140" s="3" t="n">
        <v>296.25</v>
      </c>
      <c r="E140" s="2" t="inlineStr">
        <is>
          <t>ACH</t>
        </is>
      </c>
      <c r="F140" s="2" t="inlineStr">
        <is>
          <t>US</t>
        </is>
      </c>
      <c r="G140" s="2" t="inlineStr">
        <is>
          <t>Electronics</t>
        </is>
      </c>
    </row>
    <row r="141">
      <c r="A141" s="4" t="inlineStr">
        <is>
          <t>TXN_000149</t>
        </is>
      </c>
      <c r="B141" s="4" t="inlineStr">
        <is>
          <t>C_00288</t>
        </is>
      </c>
      <c r="C141" s="4" t="inlineStr">
        <is>
          <t>2026-01-11</t>
        </is>
      </c>
      <c r="D141" s="5" t="n">
        <v>329.9</v>
      </c>
      <c r="E141" s="4" t="inlineStr">
        <is>
          <t>Mobile App</t>
        </is>
      </c>
      <c r="F141" s="4" t="inlineStr">
        <is>
          <t>CN</t>
        </is>
      </c>
      <c r="G141" s="4" t="inlineStr">
        <is>
          <t>Travel</t>
        </is>
      </c>
    </row>
    <row r="142">
      <c r="A142" s="2" t="inlineStr">
        <is>
          <t>TXN_000148</t>
        </is>
      </c>
      <c r="B142" s="2" t="inlineStr">
        <is>
          <t>C_00071</t>
        </is>
      </c>
      <c r="C142" s="2" t="inlineStr">
        <is>
          <t>2026-01-11</t>
        </is>
      </c>
      <c r="D142" s="3" t="n">
        <v>2064.69</v>
      </c>
      <c r="E142" s="2" t="inlineStr">
        <is>
          <t>Cash Deposit</t>
        </is>
      </c>
      <c r="F142" s="2" t="inlineStr">
        <is>
          <t>US</t>
        </is>
      </c>
      <c r="G142" s="2" t="inlineStr">
        <is>
          <t>Auto</t>
        </is>
      </c>
    </row>
    <row r="143">
      <c r="A143" s="4" t="inlineStr">
        <is>
          <t>TXN_000146</t>
        </is>
      </c>
      <c r="B143" s="4" t="inlineStr">
        <is>
          <t>C_00233</t>
        </is>
      </c>
      <c r="C143" s="4" t="inlineStr">
        <is>
          <t>2026-01-11</t>
        </is>
      </c>
      <c r="D143" s="5" t="n">
        <v>1140.14</v>
      </c>
      <c r="E143" s="4" t="inlineStr">
        <is>
          <t>Wire Transfer</t>
        </is>
      </c>
      <c r="F143" s="4" t="inlineStr">
        <is>
          <t>US</t>
        </is>
      </c>
      <c r="G143" s="4" t="inlineStr">
        <is>
          <t>Food &amp; Beverage</t>
        </is>
      </c>
    </row>
    <row r="144">
      <c r="A144" s="2" t="inlineStr">
        <is>
          <t>TXN_000145</t>
        </is>
      </c>
      <c r="B144" s="2" t="inlineStr">
        <is>
          <t>C_00136</t>
        </is>
      </c>
      <c r="C144" s="2" t="inlineStr">
        <is>
          <t>2026-01-11</t>
        </is>
      </c>
      <c r="D144" s="3" t="n">
        <v>942.1799999999999</v>
      </c>
      <c r="E144" s="2" t="inlineStr">
        <is>
          <t>ACH</t>
        </is>
      </c>
      <c r="F144" s="2" t="inlineStr">
        <is>
          <t>CN</t>
        </is>
      </c>
      <c r="G144" s="2" t="inlineStr">
        <is>
          <t>Money Services</t>
        </is>
      </c>
    </row>
    <row r="145">
      <c r="A145" s="4" t="inlineStr">
        <is>
          <t>TXN_000147</t>
        </is>
      </c>
      <c r="B145" s="4" t="inlineStr">
        <is>
          <t>C_00038</t>
        </is>
      </c>
      <c r="C145" s="4" t="inlineStr">
        <is>
          <t>2026-01-11</t>
        </is>
      </c>
      <c r="D145" s="5" t="n">
        <v>5739.85</v>
      </c>
      <c r="E145" s="4" t="inlineStr">
        <is>
          <t>ACH</t>
        </is>
      </c>
      <c r="F145" s="4" t="inlineStr">
        <is>
          <t>US</t>
        </is>
      </c>
      <c r="G145" s="4" t="inlineStr">
        <is>
          <t>Food &amp; Beverage</t>
        </is>
      </c>
    </row>
    <row r="146">
      <c r="A146" s="2" t="inlineStr">
        <is>
          <t>TXN_000143</t>
        </is>
      </c>
      <c r="B146" s="2" t="inlineStr">
        <is>
          <t>C_00139</t>
        </is>
      </c>
      <c r="C146" s="2" t="inlineStr">
        <is>
          <t>2026-01-11</t>
        </is>
      </c>
      <c r="D146" s="3" t="n">
        <v>8485.66</v>
      </c>
      <c r="E146" s="2" t="inlineStr">
        <is>
          <t>ACH</t>
        </is>
      </c>
      <c r="F146" s="2" t="inlineStr">
        <is>
          <t>NG</t>
        </is>
      </c>
      <c r="G146" s="2" t="inlineStr">
        <is>
          <t>Travel</t>
        </is>
      </c>
    </row>
    <row r="147">
      <c r="A147" s="4" t="inlineStr">
        <is>
          <t>TXN_000142</t>
        </is>
      </c>
      <c r="B147" s="4" t="inlineStr">
        <is>
          <t>C_00096</t>
        </is>
      </c>
      <c r="C147" s="4" t="inlineStr">
        <is>
          <t>2026-01-11</t>
        </is>
      </c>
      <c r="D147" s="5" t="n">
        <v>1318.58</v>
      </c>
      <c r="E147" s="4" t="inlineStr">
        <is>
          <t>Mobile App</t>
        </is>
      </c>
      <c r="F147" s="4" t="inlineStr">
        <is>
          <t>MX</t>
        </is>
      </c>
      <c r="G147" s="4" t="inlineStr">
        <is>
          <t>Auto</t>
        </is>
      </c>
    </row>
    <row r="148">
      <c r="A148" s="2" t="inlineStr">
        <is>
          <t>TXN_000141</t>
        </is>
      </c>
      <c r="B148" s="2" t="inlineStr">
        <is>
          <t>C_00230</t>
        </is>
      </c>
      <c r="C148" s="2" t="inlineStr">
        <is>
          <t>2026-01-11</t>
        </is>
      </c>
      <c r="D148" s="3" t="n">
        <v>1606.58</v>
      </c>
      <c r="E148" s="2" t="inlineStr">
        <is>
          <t>Mobile App</t>
        </is>
      </c>
      <c r="F148" s="2" t="inlineStr">
        <is>
          <t>US</t>
        </is>
      </c>
      <c r="G148" s="2" t="inlineStr">
        <is>
          <t>Food &amp; Beverage</t>
        </is>
      </c>
    </row>
    <row r="149">
      <c r="A149" s="4" t="inlineStr">
        <is>
          <t>TXN_000140</t>
        </is>
      </c>
      <c r="B149" s="4" t="inlineStr">
        <is>
          <t>C_ORPHAN_002</t>
        </is>
      </c>
      <c r="C149" s="4" t="inlineStr">
        <is>
          <t>2026-01-11</t>
        </is>
      </c>
      <c r="D149" s="5" t="n">
        <v>1362.4</v>
      </c>
      <c r="E149" s="4" t="inlineStr">
        <is>
          <t>Cash Deposit</t>
        </is>
      </c>
      <c r="F149" s="4" t="inlineStr">
        <is>
          <t>US</t>
        </is>
      </c>
      <c r="G149" s="4" t="inlineStr">
        <is>
          <t>Retail</t>
        </is>
      </c>
    </row>
    <row r="150">
      <c r="A150" s="2" t="inlineStr">
        <is>
          <t>TXN_000139</t>
        </is>
      </c>
      <c r="B150" s="2" t="inlineStr">
        <is>
          <t>C_00107</t>
        </is>
      </c>
      <c r="C150" s="2" t="inlineStr">
        <is>
          <t>2026-01-11</t>
        </is>
      </c>
      <c r="D150" s="3" t="n">
        <v>552.05</v>
      </c>
      <c r="E150" s="2" t="inlineStr">
        <is>
          <t>Cash Deposit</t>
        </is>
      </c>
      <c r="F150" s="2" t="inlineStr">
        <is>
          <t>CA</t>
        </is>
      </c>
      <c r="G150" s="2" t="inlineStr">
        <is>
          <t>Retail</t>
        </is>
      </c>
    </row>
    <row r="151">
      <c r="A151" s="4" t="inlineStr">
        <is>
          <t>TXN_000138</t>
        </is>
      </c>
      <c r="B151" s="4" t="inlineStr">
        <is>
          <t>C_00095</t>
        </is>
      </c>
      <c r="C151" s="4" t="inlineStr">
        <is>
          <t>2026-01-11</t>
        </is>
      </c>
      <c r="D151" s="5" t="n">
        <v>1987.81</v>
      </c>
      <c r="E151" s="4" t="inlineStr">
        <is>
          <t>Wire Transfer</t>
        </is>
      </c>
      <c r="F151" s="4" t="inlineStr">
        <is>
          <t>US</t>
        </is>
      </c>
      <c r="G151" s="4" t="inlineStr">
        <is>
          <t>Retail</t>
        </is>
      </c>
    </row>
    <row r="152">
      <c r="A152" s="2" t="inlineStr">
        <is>
          <t>TXN_000137</t>
        </is>
      </c>
      <c r="B152" s="2" t="inlineStr">
        <is>
          <t>C_00086</t>
        </is>
      </c>
      <c r="C152" s="2" t="inlineStr">
        <is>
          <t>2026-01-11</t>
        </is>
      </c>
      <c r="D152" s="3" t="n">
        <v>1305.04</v>
      </c>
      <c r="E152" s="2" t="inlineStr">
        <is>
          <t>Card</t>
        </is>
      </c>
      <c r="F152" s="2" t="inlineStr">
        <is>
          <t>US</t>
        </is>
      </c>
      <c r="G152" s="2" t="inlineStr">
        <is>
          <t>Jewelry</t>
        </is>
      </c>
    </row>
    <row r="153">
      <c r="A153" s="4" t="inlineStr">
        <is>
          <t>TXN_000144</t>
        </is>
      </c>
      <c r="B153" s="4" t="inlineStr">
        <is>
          <t>C_00077</t>
        </is>
      </c>
      <c r="C153" s="4" t="inlineStr">
        <is>
          <t>2026-01-11</t>
        </is>
      </c>
      <c r="D153" s="5" t="n">
        <v>1816.3</v>
      </c>
      <c r="E153" s="4" t="inlineStr">
        <is>
          <t>Cash Deposit</t>
        </is>
      </c>
      <c r="F153" s="4" t="inlineStr">
        <is>
          <t>RU</t>
        </is>
      </c>
      <c r="G153" s="4" t="inlineStr">
        <is>
          <t>Jewelry</t>
        </is>
      </c>
    </row>
    <row r="154">
      <c r="A154" s="2" t="inlineStr">
        <is>
          <t>TXN_000136</t>
        </is>
      </c>
      <c r="B154" s="2" t="inlineStr">
        <is>
          <t>C_00211</t>
        </is>
      </c>
      <c r="C154" s="2" t="inlineStr">
        <is>
          <t>2026-01-11</t>
        </is>
      </c>
      <c r="D154" s="3" t="n">
        <v>696.79</v>
      </c>
      <c r="E154" s="2" t="inlineStr">
        <is>
          <t>Mobile App</t>
        </is>
      </c>
      <c r="F154" s="2" t="inlineStr">
        <is>
          <t>US</t>
        </is>
      </c>
      <c r="G154" s="2" t="inlineStr">
        <is>
          <t>Jewelry</t>
        </is>
      </c>
    </row>
    <row r="155">
      <c r="A155" s="4" t="inlineStr">
        <is>
          <t>TXN_000157</t>
        </is>
      </c>
      <c r="B155" s="4" t="inlineStr">
        <is>
          <t>C_00256</t>
        </is>
      </c>
      <c r="C155" s="4" t="inlineStr">
        <is>
          <t>2026-01-12</t>
        </is>
      </c>
      <c r="D155" s="5" t="n">
        <v>4447.72</v>
      </c>
      <c r="E155" s="4" t="inlineStr">
        <is>
          <t>Mobile App</t>
        </is>
      </c>
      <c r="F155" s="4" t="inlineStr">
        <is>
          <t>US</t>
        </is>
      </c>
      <c r="G155" s="4" t="inlineStr">
        <is>
          <t>Travel</t>
        </is>
      </c>
    </row>
    <row r="156">
      <c r="A156" s="2" t="inlineStr">
        <is>
          <t>TXN_000156</t>
        </is>
      </c>
      <c r="B156" s="2" t="inlineStr">
        <is>
          <t>C_00238</t>
        </is>
      </c>
      <c r="C156" s="2" t="inlineStr">
        <is>
          <t>2026-01-12</t>
        </is>
      </c>
      <c r="D156" s="3" t="n">
        <v>1526.62</v>
      </c>
      <c r="E156" s="2" t="inlineStr">
        <is>
          <t>Wire Transfer</t>
        </is>
      </c>
      <c r="F156" s="2" t="inlineStr">
        <is>
          <t>US</t>
        </is>
      </c>
      <c r="G156" s="2" t="inlineStr">
        <is>
          <t>Jewelry</t>
        </is>
      </c>
    </row>
    <row r="157">
      <c r="A157" s="4" t="inlineStr">
        <is>
          <t>TXN_000155</t>
        </is>
      </c>
      <c r="B157" s="4" t="inlineStr">
        <is>
          <t>C_00122</t>
        </is>
      </c>
      <c r="C157" s="4" t="inlineStr">
        <is>
          <t>2026-01-12</t>
        </is>
      </c>
      <c r="D157" s="5" t="n">
        <v>346.66</v>
      </c>
      <c r="E157" s="4" t="inlineStr">
        <is>
          <t>Wire Transfer</t>
        </is>
      </c>
      <c r="F157" s="4" t="inlineStr">
        <is>
          <t>NG</t>
        </is>
      </c>
      <c r="G157" s="4" t="inlineStr">
        <is>
          <t>Auto</t>
        </is>
      </c>
    </row>
    <row r="158">
      <c r="A158" s="2" t="inlineStr">
        <is>
          <t>TXN_000154</t>
        </is>
      </c>
      <c r="B158" s="2" t="inlineStr">
        <is>
          <t>C_00066</t>
        </is>
      </c>
      <c r="C158" s="2" t="inlineStr">
        <is>
          <t>2026-01-12</t>
        </is>
      </c>
      <c r="D158" s="3" t="n">
        <v>5042.33</v>
      </c>
      <c r="E158" s="2" t="inlineStr">
        <is>
          <t>ACH</t>
        </is>
      </c>
      <c r="F158" s="2" t="inlineStr">
        <is>
          <t>CN</t>
        </is>
      </c>
      <c r="G158" s="2" t="inlineStr">
        <is>
          <t>Crypto Exchange</t>
        </is>
      </c>
    </row>
    <row r="159">
      <c r="A159" s="4" t="inlineStr">
        <is>
          <t>TXN_000153</t>
        </is>
      </c>
      <c r="B159" s="4" t="inlineStr">
        <is>
          <t>C_00118</t>
        </is>
      </c>
      <c r="C159" s="4" t="inlineStr">
        <is>
          <t>2026-01-12</t>
        </is>
      </c>
      <c r="D159" s="5" t="n">
        <v>2161.06</v>
      </c>
      <c r="E159" s="4" t="inlineStr">
        <is>
          <t>Cash Deposit</t>
        </is>
      </c>
      <c r="F159" s="4" t="inlineStr">
        <is>
          <t>AE</t>
        </is>
      </c>
      <c r="G159" s="4" t="inlineStr">
        <is>
          <t>Travel</t>
        </is>
      </c>
    </row>
    <row r="160">
      <c r="A160" s="2" t="inlineStr">
        <is>
          <t>TXN_000152</t>
        </is>
      </c>
      <c r="B160" s="2" t="inlineStr">
        <is>
          <t>C_00194</t>
        </is>
      </c>
      <c r="C160" s="2" t="inlineStr">
        <is>
          <t>2026-01-12</t>
        </is>
      </c>
      <c r="D160" s="3" t="n">
        <v>545.98</v>
      </c>
      <c r="E160" s="2" t="inlineStr">
        <is>
          <t>ACH</t>
        </is>
      </c>
      <c r="F160" s="2" t="inlineStr">
        <is>
          <t>US</t>
        </is>
      </c>
      <c r="G160" s="2" t="inlineStr">
        <is>
          <t>Money Services</t>
        </is>
      </c>
    </row>
    <row r="161">
      <c r="A161" s="4" t="inlineStr">
        <is>
          <t>TXN_000172</t>
        </is>
      </c>
      <c r="B161" s="4" t="inlineStr">
        <is>
          <t>C_00128</t>
        </is>
      </c>
      <c r="C161" s="4" t="inlineStr">
        <is>
          <t>2026-01-13</t>
        </is>
      </c>
      <c r="D161" s="5" t="n">
        <v>2597.66</v>
      </c>
      <c r="E161" s="4" t="inlineStr">
        <is>
          <t>Cash Deposit</t>
        </is>
      </c>
      <c r="F161" s="4" t="inlineStr">
        <is>
          <t>US</t>
        </is>
      </c>
      <c r="G161" s="4" t="inlineStr">
        <is>
          <t>Electronics</t>
        </is>
      </c>
    </row>
    <row r="162">
      <c r="A162" s="2" t="inlineStr">
        <is>
          <t>TXN_000171</t>
        </is>
      </c>
      <c r="B162" s="2" t="inlineStr">
        <is>
          <t>C_00225</t>
        </is>
      </c>
      <c r="C162" s="2" t="inlineStr">
        <is>
          <t>2026-01-13</t>
        </is>
      </c>
      <c r="D162" s="3" t="n">
        <v>278.31</v>
      </c>
      <c r="E162" s="2" t="inlineStr">
        <is>
          <t>ACH</t>
        </is>
      </c>
      <c r="F162" s="2" t="inlineStr">
        <is>
          <t>US</t>
        </is>
      </c>
      <c r="G162" s="2" t="inlineStr">
        <is>
          <t>Jewelry</t>
        </is>
      </c>
    </row>
    <row r="163">
      <c r="A163" s="4" t="inlineStr">
        <is>
          <t>TXN_000170</t>
        </is>
      </c>
      <c r="B163" s="4" t="inlineStr">
        <is>
          <t>C_00144</t>
        </is>
      </c>
      <c r="C163" s="4" t="inlineStr">
        <is>
          <t>2026-01-13</t>
        </is>
      </c>
      <c r="D163" s="5" t="n">
        <v>1961.73</v>
      </c>
      <c r="E163" s="4" t="inlineStr">
        <is>
          <t>Cash Deposit</t>
        </is>
      </c>
      <c r="F163" s="4" t="inlineStr">
        <is>
          <t>US</t>
        </is>
      </c>
      <c r="G163" s="4" t="inlineStr">
        <is>
          <t>Healthcare</t>
        </is>
      </c>
    </row>
    <row r="164">
      <c r="A164" s="2" t="inlineStr">
        <is>
          <t>TXN_000169</t>
        </is>
      </c>
      <c r="B164" s="2" t="inlineStr">
        <is>
          <t>C_00244</t>
        </is>
      </c>
      <c r="C164" s="2" t="inlineStr">
        <is>
          <t>2026-01-13</t>
        </is>
      </c>
      <c r="D164" s="3" t="n">
        <v>543.73</v>
      </c>
      <c r="E164" s="2" t="inlineStr">
        <is>
          <t>Mobile App</t>
        </is>
      </c>
      <c r="F164" s="2" t="inlineStr">
        <is>
          <t>NG</t>
        </is>
      </c>
      <c r="G164" s="2" t="inlineStr">
        <is>
          <t>Real Estate</t>
        </is>
      </c>
    </row>
    <row r="165">
      <c r="A165" s="4" t="inlineStr">
        <is>
          <t>TXN_000167</t>
        </is>
      </c>
      <c r="B165" s="4" t="inlineStr">
        <is>
          <t>C_00102</t>
        </is>
      </c>
      <c r="C165" s="4" t="inlineStr">
        <is>
          <t>2026-01-13</t>
        </is>
      </c>
      <c r="D165" s="5" t="n">
        <v>2005.82</v>
      </c>
      <c r="E165" s="4" t="inlineStr">
        <is>
          <t>Mobile App</t>
        </is>
      </c>
      <c r="F165" s="4" t="inlineStr">
        <is>
          <t>US</t>
        </is>
      </c>
      <c r="G165" s="4" t="inlineStr">
        <is>
          <t>Real Estate</t>
        </is>
      </c>
    </row>
    <row r="166">
      <c r="A166" s="2" t="inlineStr">
        <is>
          <t>TXN_000166</t>
        </is>
      </c>
      <c r="B166" s="2" t="inlineStr">
        <is>
          <t>C_00279</t>
        </is>
      </c>
      <c r="C166" s="2" t="inlineStr">
        <is>
          <t>2026-01-13</t>
        </is>
      </c>
      <c r="D166" s="3" t="n">
        <v>469.97</v>
      </c>
      <c r="E166" s="2" t="inlineStr">
        <is>
          <t>Wire Transfer</t>
        </is>
      </c>
      <c r="F166" s="2" t="inlineStr">
        <is>
          <t>US</t>
        </is>
      </c>
      <c r="G166" s="2" t="inlineStr">
        <is>
          <t>Jewelry</t>
        </is>
      </c>
    </row>
    <row r="167">
      <c r="A167" s="4" t="inlineStr">
        <is>
          <t>TXN_000168</t>
        </is>
      </c>
      <c r="B167" s="4" t="inlineStr">
        <is>
          <t>C_00152</t>
        </is>
      </c>
      <c r="C167" s="4" t="inlineStr">
        <is>
          <t>2026-01-13</t>
        </is>
      </c>
      <c r="D167" s="5" t="n">
        <v>3585.47</v>
      </c>
      <c r="E167" s="4" t="inlineStr">
        <is>
          <t>Wire Transfer</t>
        </is>
      </c>
      <c r="F167" s="4" t="inlineStr">
        <is>
          <t>US</t>
        </is>
      </c>
      <c r="G167" s="4" t="inlineStr">
        <is>
          <t>Food &amp; Beverage</t>
        </is>
      </c>
    </row>
    <row r="168">
      <c r="A168" s="2" t="inlineStr">
        <is>
          <t>TXN_000164</t>
        </is>
      </c>
      <c r="B168" s="2" t="inlineStr">
        <is>
          <t>C_00214</t>
        </is>
      </c>
      <c r="C168" s="2" t="inlineStr">
        <is>
          <t>2026-01-13</t>
        </is>
      </c>
      <c r="D168" s="3" t="n">
        <v>4624.26</v>
      </c>
      <c r="E168" s="2" t="inlineStr">
        <is>
          <t>Cash Deposit</t>
        </is>
      </c>
      <c r="F168" s="2" t="inlineStr">
        <is>
          <t>MX</t>
        </is>
      </c>
      <c r="G168" s="2" t="inlineStr">
        <is>
          <t>Retail</t>
        </is>
      </c>
    </row>
    <row r="169">
      <c r="A169" s="4" t="inlineStr">
        <is>
          <t>TXN_000163</t>
        </is>
      </c>
      <c r="B169" s="4" t="inlineStr">
        <is>
          <t>C_00135</t>
        </is>
      </c>
      <c r="C169" s="4" t="inlineStr">
        <is>
          <t>2026-01-13</t>
        </is>
      </c>
      <c r="D169" s="5" t="n">
        <v>8865.709999999999</v>
      </c>
      <c r="E169" s="4" t="inlineStr">
        <is>
          <t>Wire Transfer</t>
        </is>
      </c>
      <c r="F169" s="4" t="inlineStr">
        <is>
          <t>US</t>
        </is>
      </c>
      <c r="G169" s="4" t="inlineStr">
        <is>
          <t>Money Services</t>
        </is>
      </c>
    </row>
    <row r="170">
      <c r="A170" s="2" t="inlineStr">
        <is>
          <t>TXN_000162</t>
        </is>
      </c>
      <c r="B170" s="2" t="inlineStr">
        <is>
          <t>C_00216</t>
        </is>
      </c>
      <c r="C170" s="2" t="inlineStr">
        <is>
          <t>2026-01-13</t>
        </is>
      </c>
      <c r="D170" s="3" t="n">
        <v>345.98</v>
      </c>
      <c r="E170" s="2" t="inlineStr">
        <is>
          <t>Wire Transfer</t>
        </is>
      </c>
      <c r="F170" s="2" t="inlineStr">
        <is>
          <t>US</t>
        </is>
      </c>
      <c r="G170" s="2" t="inlineStr">
        <is>
          <t>Food &amp; Beverage</t>
        </is>
      </c>
    </row>
    <row r="171">
      <c r="A171" s="4" t="inlineStr">
        <is>
          <t>TXN_000161</t>
        </is>
      </c>
      <c r="B171" s="4" t="inlineStr">
        <is>
          <t>C_00281</t>
        </is>
      </c>
      <c r="C171" s="4" t="inlineStr">
        <is>
          <t>2026-01-13</t>
        </is>
      </c>
      <c r="D171" s="5" t="n">
        <v>1005.37</v>
      </c>
      <c r="E171" s="4" t="inlineStr">
        <is>
          <t>Card</t>
        </is>
      </c>
      <c r="F171" s="4" t="inlineStr">
        <is>
          <t>US</t>
        </is>
      </c>
      <c r="G171" s="4" t="inlineStr">
        <is>
          <t>Auto</t>
        </is>
      </c>
    </row>
    <row r="172">
      <c r="A172" s="2" t="inlineStr">
        <is>
          <t>TXN_000160</t>
        </is>
      </c>
      <c r="B172" s="2" t="inlineStr">
        <is>
          <t>C_00117</t>
        </is>
      </c>
      <c r="C172" s="2" t="inlineStr">
        <is>
          <t>2026-01-13</t>
        </is>
      </c>
      <c r="D172" s="3" t="n">
        <v>629.29</v>
      </c>
      <c r="E172" s="2" t="inlineStr">
        <is>
          <t>ACH</t>
        </is>
      </c>
      <c r="F172" s="2" t="inlineStr">
        <is>
          <t>CA</t>
        </is>
      </c>
      <c r="G172" s="2" t="inlineStr">
        <is>
          <t>Real Estate</t>
        </is>
      </c>
    </row>
    <row r="173">
      <c r="A173" s="4" t="inlineStr">
        <is>
          <t>TXN_000159</t>
        </is>
      </c>
      <c r="B173" s="4" t="inlineStr">
        <is>
          <t>C_00167</t>
        </is>
      </c>
      <c r="C173" s="4" t="inlineStr">
        <is>
          <t>2026-01-13</t>
        </is>
      </c>
      <c r="D173" s="5" t="n">
        <v>1598.98</v>
      </c>
      <c r="E173" s="4" t="inlineStr">
        <is>
          <t>Wire Transfer</t>
        </is>
      </c>
      <c r="F173" s="4" t="inlineStr">
        <is>
          <t>CN</t>
        </is>
      </c>
      <c r="G173" s="4" t="inlineStr">
        <is>
          <t>Auto</t>
        </is>
      </c>
    </row>
    <row r="174">
      <c r="A174" s="2" t="inlineStr">
        <is>
          <t>TXN_000158</t>
        </is>
      </c>
      <c r="B174" s="2" t="inlineStr">
        <is>
          <t>C_00028</t>
        </is>
      </c>
      <c r="C174" s="2" t="inlineStr">
        <is>
          <t>2026-01-13</t>
        </is>
      </c>
      <c r="D174" s="3" t="n">
        <v>507.79</v>
      </c>
      <c r="E174" s="2" t="inlineStr">
        <is>
          <t>ACH</t>
        </is>
      </c>
      <c r="F174" s="2" t="inlineStr">
        <is>
          <t>MX</t>
        </is>
      </c>
      <c r="G174" s="2" t="inlineStr">
        <is>
          <t>Travel</t>
        </is>
      </c>
    </row>
    <row r="175">
      <c r="A175" s="4" t="inlineStr">
        <is>
          <t>TXN_000165</t>
        </is>
      </c>
      <c r="B175" s="4" t="inlineStr">
        <is>
          <t>C_00038</t>
        </is>
      </c>
      <c r="C175" s="4" t="inlineStr">
        <is>
          <t>2026-01-13</t>
        </is>
      </c>
      <c r="D175" s="5" t="n">
        <v>905.08</v>
      </c>
      <c r="E175" s="4" t="inlineStr">
        <is>
          <t>ACH</t>
        </is>
      </c>
      <c r="F175" s="4" t="inlineStr">
        <is>
          <t>US</t>
        </is>
      </c>
      <c r="G175" s="4" t="inlineStr">
        <is>
          <t>Electronics</t>
        </is>
      </c>
    </row>
    <row r="176">
      <c r="A176" s="2" t="inlineStr">
        <is>
          <t>TXN_000184</t>
        </is>
      </c>
      <c r="B176" s="2" t="inlineStr">
        <is>
          <t>C_00053</t>
        </is>
      </c>
      <c r="C176" s="2" t="inlineStr">
        <is>
          <t>2026-01-14</t>
        </is>
      </c>
      <c r="D176" s="3" t="n">
        <v>3778.66</v>
      </c>
      <c r="E176" s="2" t="inlineStr">
        <is>
          <t>Wire Transfer</t>
        </is>
      </c>
      <c r="F176" s="2" t="inlineStr">
        <is>
          <t>CA</t>
        </is>
      </c>
      <c r="G176" s="2" t="inlineStr">
        <is>
          <t>Jewelry</t>
        </is>
      </c>
    </row>
    <row r="177">
      <c r="A177" s="4" t="inlineStr">
        <is>
          <t>TXN_000183</t>
        </is>
      </c>
      <c r="B177" s="4" t="inlineStr">
        <is>
          <t>C_00259</t>
        </is>
      </c>
      <c r="C177" s="4" t="inlineStr">
        <is>
          <t>2026-01-14</t>
        </is>
      </c>
      <c r="D177" s="5" t="n">
        <v>567.6900000000001</v>
      </c>
      <c r="E177" s="4" t="inlineStr">
        <is>
          <t>Wire Transfer</t>
        </is>
      </c>
      <c r="F177" s="4" t="inlineStr">
        <is>
          <t>US</t>
        </is>
      </c>
      <c r="G177" s="4" t="inlineStr">
        <is>
          <t>Auto</t>
        </is>
      </c>
    </row>
    <row r="178">
      <c r="A178" s="2" t="inlineStr">
        <is>
          <t>TXN_000182</t>
        </is>
      </c>
      <c r="B178" s="2" t="inlineStr">
        <is>
          <t>C_00081</t>
        </is>
      </c>
      <c r="C178" s="2" t="inlineStr">
        <is>
          <t>2026-01-14</t>
        </is>
      </c>
      <c r="D178" s="3" t="n">
        <v>4986.95</v>
      </c>
      <c r="E178" s="2" t="inlineStr">
        <is>
          <t>Cash Deposit</t>
        </is>
      </c>
      <c r="F178" s="2" t="inlineStr">
        <is>
          <t>US</t>
        </is>
      </c>
      <c r="G178" s="2" t="inlineStr">
        <is>
          <t>Healthcare</t>
        </is>
      </c>
    </row>
    <row r="179">
      <c r="A179" s="4" t="inlineStr">
        <is>
          <t>TXN_000181</t>
        </is>
      </c>
      <c r="B179" s="4" t="inlineStr">
        <is>
          <t>C_00037</t>
        </is>
      </c>
      <c r="C179" s="4" t="inlineStr">
        <is>
          <t>2026-01-14</t>
        </is>
      </c>
      <c r="D179" s="5" t="n">
        <v>1067.56</v>
      </c>
      <c r="E179" s="4" t="inlineStr">
        <is>
          <t>ACH</t>
        </is>
      </c>
      <c r="F179" s="4" t="inlineStr">
        <is>
          <t>MX</t>
        </is>
      </c>
      <c r="G179" s="4" t="inlineStr">
        <is>
          <t>Money Services</t>
        </is>
      </c>
    </row>
    <row r="180">
      <c r="A180" s="2" t="inlineStr">
        <is>
          <t>TXN_000180</t>
        </is>
      </c>
      <c r="B180" s="2" t="inlineStr">
        <is>
          <t>C_00283</t>
        </is>
      </c>
      <c r="C180" s="2" t="inlineStr">
        <is>
          <t>2026-01-14</t>
        </is>
      </c>
      <c r="D180" s="3" t="n">
        <v>1758.33</v>
      </c>
      <c r="E180" s="2" t="inlineStr">
        <is>
          <t>ACH</t>
        </is>
      </c>
      <c r="F180" s="2" t="inlineStr">
        <is>
          <t>US</t>
        </is>
      </c>
      <c r="G180" s="2" t="inlineStr">
        <is>
          <t>Real Estate</t>
        </is>
      </c>
    </row>
    <row r="181">
      <c r="A181" s="4" t="inlineStr">
        <is>
          <t>TXN_000179</t>
        </is>
      </c>
      <c r="B181" s="4" t="inlineStr">
        <is>
          <t>C_00088</t>
        </is>
      </c>
      <c r="C181" s="4" t="inlineStr">
        <is>
          <t>2026-01-14</t>
        </is>
      </c>
      <c r="D181" s="5" t="n">
        <v>4698.54</v>
      </c>
      <c r="E181" s="4" t="inlineStr">
        <is>
          <t>Cash Deposit</t>
        </is>
      </c>
      <c r="F181" s="4" t="inlineStr">
        <is>
          <t>MX</t>
        </is>
      </c>
      <c r="G181" s="4" t="inlineStr">
        <is>
          <t>Retail</t>
        </is>
      </c>
    </row>
    <row r="182">
      <c r="A182" s="2" t="inlineStr">
        <is>
          <t>TXN_000177</t>
        </is>
      </c>
      <c r="B182" s="2" t="inlineStr">
        <is>
          <t>C_00278</t>
        </is>
      </c>
      <c r="C182" s="2" t="inlineStr">
        <is>
          <t>2026-01-14</t>
        </is>
      </c>
      <c r="D182" s="3" t="n">
        <v>1859.43</v>
      </c>
      <c r="E182" s="2" t="inlineStr">
        <is>
          <t>Cash Deposit</t>
        </is>
      </c>
      <c r="F182" s="2" t="inlineStr">
        <is>
          <t>CN</t>
        </is>
      </c>
      <c r="G182" s="2" t="inlineStr">
        <is>
          <t>Retail</t>
        </is>
      </c>
    </row>
    <row r="183">
      <c r="A183" s="4" t="inlineStr">
        <is>
          <t>TXN_000176</t>
        </is>
      </c>
      <c r="B183" s="4" t="inlineStr">
        <is>
          <t>C_00298</t>
        </is>
      </c>
      <c r="C183" s="4" t="inlineStr">
        <is>
          <t>2026-01-14</t>
        </is>
      </c>
      <c r="D183" s="5" t="n">
        <v>10292.94</v>
      </c>
      <c r="E183" s="4" t="inlineStr">
        <is>
          <t>Wire Transfer</t>
        </is>
      </c>
      <c r="F183" s="4" t="inlineStr">
        <is>
          <t>US</t>
        </is>
      </c>
      <c r="G183" s="4" t="inlineStr">
        <is>
          <t>Real Estate</t>
        </is>
      </c>
    </row>
    <row r="184">
      <c r="A184" s="2" t="inlineStr">
        <is>
          <t>TXN_000175</t>
        </is>
      </c>
      <c r="B184" s="2" t="inlineStr">
        <is>
          <t>C_00168</t>
        </is>
      </c>
      <c r="C184" s="2" t="inlineStr">
        <is>
          <t>2026-01-14</t>
        </is>
      </c>
      <c r="D184" s="3" t="n">
        <v>4001.79</v>
      </c>
      <c r="E184" s="2" t="inlineStr">
        <is>
          <t>Mobile App</t>
        </is>
      </c>
      <c r="F184" s="2" t="inlineStr">
        <is>
          <t>US</t>
        </is>
      </c>
      <c r="G184" s="2" t="inlineStr">
        <is>
          <t>Electronics</t>
        </is>
      </c>
    </row>
    <row r="185">
      <c r="A185" s="4" t="inlineStr">
        <is>
          <t>TXN_000174</t>
        </is>
      </c>
      <c r="B185" s="4" t="inlineStr">
        <is>
          <t>C_00262</t>
        </is>
      </c>
      <c r="C185" s="4" t="inlineStr">
        <is>
          <t>2026-01-14</t>
        </is>
      </c>
      <c r="D185" s="5" t="n">
        <v>1057.23</v>
      </c>
      <c r="E185" s="4" t="inlineStr">
        <is>
          <t>ACH</t>
        </is>
      </c>
      <c r="F185" s="4" t="inlineStr">
        <is>
          <t>AE</t>
        </is>
      </c>
      <c r="G185" s="4" t="inlineStr">
        <is>
          <t>Money Services</t>
        </is>
      </c>
    </row>
    <row r="186">
      <c r="A186" s="2" t="inlineStr">
        <is>
          <t>TXN_000173</t>
        </is>
      </c>
      <c r="B186" s="2" t="inlineStr">
        <is>
          <t>C_00170</t>
        </is>
      </c>
      <c r="C186" s="2" t="inlineStr">
        <is>
          <t>2026-01-14</t>
        </is>
      </c>
      <c r="D186" s="3" t="n">
        <v>1013.66</v>
      </c>
      <c r="E186" s="2" t="inlineStr">
        <is>
          <t>Wire Transfer</t>
        </is>
      </c>
      <c r="F186" s="2" t="inlineStr">
        <is>
          <t>CA</t>
        </is>
      </c>
      <c r="G186" s="2" t="inlineStr">
        <is>
          <t>Money Services</t>
        </is>
      </c>
    </row>
    <row r="187">
      <c r="A187" s="4" t="inlineStr">
        <is>
          <t>TXN_000178</t>
        </is>
      </c>
      <c r="B187" s="4" t="inlineStr">
        <is>
          <t>C_00276</t>
        </is>
      </c>
      <c r="C187" s="4" t="inlineStr">
        <is>
          <t>2026-01-14</t>
        </is>
      </c>
      <c r="D187" s="5" t="n">
        <v>1391.82</v>
      </c>
      <c r="E187" s="4" t="inlineStr">
        <is>
          <t>Cash Deposit</t>
        </is>
      </c>
      <c r="F187" s="4" t="inlineStr">
        <is>
          <t>US</t>
        </is>
      </c>
      <c r="G187" s="4" t="inlineStr">
        <is>
          <t>Money Services</t>
        </is>
      </c>
    </row>
    <row r="188">
      <c r="A188" s="2" t="inlineStr">
        <is>
          <t>TXN_000194</t>
        </is>
      </c>
      <c r="B188" s="2" t="inlineStr">
        <is>
          <t>C_00154</t>
        </is>
      </c>
      <c r="C188" s="2" t="inlineStr">
        <is>
          <t>2026-01-15</t>
        </is>
      </c>
      <c r="D188" s="3" t="n">
        <v>2676.36</v>
      </c>
      <c r="E188" s="2" t="inlineStr">
        <is>
          <t>Mobile App</t>
        </is>
      </c>
      <c r="F188" s="2" t="inlineStr">
        <is>
          <t>US</t>
        </is>
      </c>
      <c r="G188" s="2" t="inlineStr">
        <is>
          <t>Money Services</t>
        </is>
      </c>
    </row>
    <row r="189">
      <c r="A189" s="4" t="inlineStr">
        <is>
          <t>TXN_000199</t>
        </is>
      </c>
      <c r="B189" s="4" t="inlineStr">
        <is>
          <t>C_00242</t>
        </is>
      </c>
      <c r="C189" s="4" t="inlineStr">
        <is>
          <t>2026-01-15</t>
        </is>
      </c>
      <c r="D189" s="5" t="n">
        <v>2842.21</v>
      </c>
      <c r="E189" s="4" t="inlineStr">
        <is>
          <t>Wire Transfer</t>
        </is>
      </c>
      <c r="F189" s="4" t="inlineStr">
        <is>
          <t>US</t>
        </is>
      </c>
      <c r="G189" s="4" t="inlineStr">
        <is>
          <t>Healthcare</t>
        </is>
      </c>
    </row>
    <row r="190">
      <c r="A190" s="2" t="inlineStr">
        <is>
          <t>TXN_000197</t>
        </is>
      </c>
      <c r="B190" s="2" t="inlineStr">
        <is>
          <t>C_00223</t>
        </is>
      </c>
      <c r="C190" s="2" t="inlineStr">
        <is>
          <t>2026-01-15</t>
        </is>
      </c>
      <c r="D190" s="3" t="n">
        <v>983.85</v>
      </c>
      <c r="E190" s="2" t="inlineStr">
        <is>
          <t>Cash Deposit</t>
        </is>
      </c>
      <c r="F190" s="2" t="inlineStr">
        <is>
          <t>US</t>
        </is>
      </c>
      <c r="G190" s="2" t="inlineStr">
        <is>
          <t>Electronics</t>
        </is>
      </c>
    </row>
    <row r="191">
      <c r="A191" s="4" t="inlineStr">
        <is>
          <t>TXN_000196</t>
        </is>
      </c>
      <c r="B191" s="4" t="inlineStr">
        <is>
          <t>C_00276</t>
        </is>
      </c>
      <c r="C191" s="4" t="inlineStr">
        <is>
          <t>2026-01-15</t>
        </is>
      </c>
      <c r="D191" s="5" t="n">
        <v>4299.43</v>
      </c>
      <c r="E191" s="4" t="inlineStr">
        <is>
          <t>Wire Transfer</t>
        </is>
      </c>
      <c r="F191" s="4" t="inlineStr">
        <is>
          <t>US</t>
        </is>
      </c>
      <c r="G191" s="4" t="inlineStr">
        <is>
          <t>Auto</t>
        </is>
      </c>
    </row>
    <row r="192">
      <c r="A192" s="2" t="inlineStr">
        <is>
          <t>TXN_000195</t>
        </is>
      </c>
      <c r="B192" s="2" t="inlineStr">
        <is>
          <t>C_00167</t>
        </is>
      </c>
      <c r="C192" s="2" t="inlineStr">
        <is>
          <t>2026-01-15</t>
        </is>
      </c>
      <c r="D192" s="3" t="n">
        <v>1334.81</v>
      </c>
      <c r="E192" s="2" t="inlineStr">
        <is>
          <t>Mobile App</t>
        </is>
      </c>
      <c r="F192" s="2" t="inlineStr">
        <is>
          <t>US</t>
        </is>
      </c>
      <c r="G192" s="2" t="inlineStr">
        <is>
          <t>Healthcare</t>
        </is>
      </c>
    </row>
    <row r="193">
      <c r="A193" s="4" t="inlineStr">
        <is>
          <t>TXN_000193</t>
        </is>
      </c>
      <c r="B193" s="4" t="inlineStr">
        <is>
          <t>C_00058</t>
        </is>
      </c>
      <c r="C193" s="4" t="inlineStr">
        <is>
          <t>2026-01-15</t>
        </is>
      </c>
      <c r="D193" s="5" t="n">
        <v>3061.89</v>
      </c>
      <c r="E193" s="4" t="inlineStr">
        <is>
          <t>Cash Deposit</t>
        </is>
      </c>
      <c r="F193" s="4" t="inlineStr">
        <is>
          <t>US</t>
        </is>
      </c>
      <c r="G193" s="4" t="inlineStr">
        <is>
          <t>Electronics</t>
        </is>
      </c>
    </row>
    <row r="194">
      <c r="A194" s="2" t="inlineStr">
        <is>
          <t>TXN_000198</t>
        </is>
      </c>
      <c r="B194" s="2" t="inlineStr">
        <is>
          <t>C_00242</t>
        </is>
      </c>
      <c r="C194" s="2" t="inlineStr">
        <is>
          <t>2026-01-15</t>
        </is>
      </c>
      <c r="D194" s="3" t="n">
        <v>5429.34</v>
      </c>
      <c r="E194" s="2" t="inlineStr">
        <is>
          <t>Cash Deposit</t>
        </is>
      </c>
      <c r="F194" s="2" t="inlineStr">
        <is>
          <t>US</t>
        </is>
      </c>
      <c r="G194" s="2" t="inlineStr">
        <is>
          <t>Healthcare</t>
        </is>
      </c>
    </row>
    <row r="195">
      <c r="A195" s="4" t="inlineStr">
        <is>
          <t>TXN_000191</t>
        </is>
      </c>
      <c r="B195" s="4" t="inlineStr">
        <is>
          <t>C_00076</t>
        </is>
      </c>
      <c r="C195" s="4" t="inlineStr">
        <is>
          <t>2026-01-15</t>
        </is>
      </c>
      <c r="D195" s="5" t="n">
        <v>2964.21</v>
      </c>
      <c r="E195" s="4" t="inlineStr">
        <is>
          <t>Cash Deposit</t>
        </is>
      </c>
      <c r="F195" s="4" t="inlineStr">
        <is>
          <t>MX</t>
        </is>
      </c>
      <c r="G195" s="4" t="inlineStr">
        <is>
          <t>Healthcare</t>
        </is>
      </c>
    </row>
    <row r="196">
      <c r="A196" s="2" t="inlineStr">
        <is>
          <t>TXN_000190</t>
        </is>
      </c>
      <c r="B196" s="2" t="inlineStr">
        <is>
          <t>C_00181</t>
        </is>
      </c>
      <c r="C196" s="2" t="inlineStr">
        <is>
          <t>2026-01-15</t>
        </is>
      </c>
      <c r="D196" s="3" t="n">
        <v>189.88</v>
      </c>
      <c r="E196" s="2" t="inlineStr">
        <is>
          <t>Wire Transfer</t>
        </is>
      </c>
      <c r="F196" s="2" t="inlineStr">
        <is>
          <t>US</t>
        </is>
      </c>
      <c r="G196" s="2" t="inlineStr">
        <is>
          <t>Retail</t>
        </is>
      </c>
    </row>
    <row r="197">
      <c r="A197" s="4" t="inlineStr">
        <is>
          <t>TXN_000189</t>
        </is>
      </c>
      <c r="B197" s="4" t="inlineStr">
        <is>
          <t>C_00183</t>
        </is>
      </c>
      <c r="C197" s="4" t="inlineStr">
        <is>
          <t>2026-01-15</t>
        </is>
      </c>
      <c r="D197" s="5" t="n">
        <v>2569.64</v>
      </c>
      <c r="E197" s="4" t="inlineStr">
        <is>
          <t>Cash Deposit</t>
        </is>
      </c>
      <c r="F197" s="4" t="inlineStr">
        <is>
          <t>US</t>
        </is>
      </c>
      <c r="G197" s="4" t="inlineStr">
        <is>
          <t>Travel</t>
        </is>
      </c>
    </row>
    <row r="198">
      <c r="A198" s="2" t="inlineStr">
        <is>
          <t>TXN_000188</t>
        </is>
      </c>
      <c r="B198" s="2" t="inlineStr">
        <is>
          <t>C_00196</t>
        </is>
      </c>
      <c r="C198" s="2" t="inlineStr">
        <is>
          <t>2026-01-15</t>
        </is>
      </c>
      <c r="D198" s="3" t="n">
        <v>1760.41</v>
      </c>
      <c r="E198" s="2" t="inlineStr">
        <is>
          <t>Card</t>
        </is>
      </c>
      <c r="F198" s="2" t="inlineStr">
        <is>
          <t>AE</t>
        </is>
      </c>
      <c r="G198" s="2" t="inlineStr">
        <is>
          <t>Crypto Exchange</t>
        </is>
      </c>
    </row>
    <row r="199">
      <c r="A199" s="4" t="inlineStr">
        <is>
          <t>TXN_000186</t>
        </is>
      </c>
      <c r="B199" s="4" t="inlineStr">
        <is>
          <t>C_00040</t>
        </is>
      </c>
      <c r="C199" s="4" t="inlineStr">
        <is>
          <t>2026-01-15</t>
        </is>
      </c>
      <c r="D199" s="5" t="n">
        <v>3563.69</v>
      </c>
      <c r="E199" s="4" t="inlineStr">
        <is>
          <t>ACH</t>
        </is>
      </c>
      <c r="F199" s="4" t="inlineStr">
        <is>
          <t>RU</t>
        </is>
      </c>
      <c r="G199" s="4" t="inlineStr">
        <is>
          <t>Auto</t>
        </is>
      </c>
    </row>
    <row r="200">
      <c r="A200" s="2" t="inlineStr">
        <is>
          <t>TXN_000187</t>
        </is>
      </c>
      <c r="B200" s="2" t="inlineStr">
        <is>
          <t>C_ORPHAN_019</t>
        </is>
      </c>
      <c r="C200" s="2" t="inlineStr">
        <is>
          <t>2026-01-15</t>
        </is>
      </c>
      <c r="D200" s="3" t="n">
        <v>304.28</v>
      </c>
      <c r="E200" s="2" t="inlineStr">
        <is>
          <t>Cash Deposit</t>
        </is>
      </c>
      <c r="F200" s="2" t="inlineStr">
        <is>
          <t>MX</t>
        </is>
      </c>
      <c r="G200" s="2" t="inlineStr">
        <is>
          <t>Crypto Exchange</t>
        </is>
      </c>
    </row>
    <row r="201">
      <c r="A201" s="4" t="inlineStr">
        <is>
          <t>TXN_000192</t>
        </is>
      </c>
      <c r="B201" s="4" t="inlineStr">
        <is>
          <t>C_00184</t>
        </is>
      </c>
      <c r="C201" s="4" t="inlineStr">
        <is>
          <t>2026-01-15</t>
        </is>
      </c>
      <c r="D201" s="5" t="n">
        <v>46765.2</v>
      </c>
      <c r="E201" s="4" t="inlineStr">
        <is>
          <t>Card</t>
        </is>
      </c>
      <c r="F201" s="4" t="inlineStr">
        <is>
          <t>US</t>
        </is>
      </c>
      <c r="G201" s="4" t="inlineStr">
        <is>
          <t>Crypto Exchange</t>
        </is>
      </c>
    </row>
    <row r="202">
      <c r="A202" s="2" t="inlineStr">
        <is>
          <t>TXN_000185</t>
        </is>
      </c>
      <c r="B202" s="2" t="inlineStr">
        <is>
          <t>C_00056</t>
        </is>
      </c>
      <c r="C202" s="2" t="inlineStr">
        <is>
          <t>2026-01-15</t>
        </is>
      </c>
      <c r="D202" s="3" t="n">
        <v>438.78</v>
      </c>
      <c r="E202" s="2" t="inlineStr">
        <is>
          <t>Cash Deposit</t>
        </is>
      </c>
      <c r="F202" s="2" t="inlineStr">
        <is>
          <t>US</t>
        </is>
      </c>
      <c r="G202" s="2" t="inlineStr">
        <is>
          <t>Money Services</t>
        </is>
      </c>
    </row>
    <row r="203">
      <c r="A203" s="4" t="inlineStr">
        <is>
          <t>TXN_000215</t>
        </is>
      </c>
      <c r="B203" s="4" t="inlineStr">
        <is>
          <t>C_00251</t>
        </is>
      </c>
      <c r="C203" s="4" t="inlineStr">
        <is>
          <t>2026-01-16</t>
        </is>
      </c>
      <c r="D203" s="5" t="n">
        <v>254.03</v>
      </c>
      <c r="E203" s="4" t="inlineStr">
        <is>
          <t>Wire Transfer</t>
        </is>
      </c>
      <c r="F203" s="4" t="inlineStr">
        <is>
          <t>CA</t>
        </is>
      </c>
      <c r="G203" s="4" t="inlineStr">
        <is>
          <t>Electronics</t>
        </is>
      </c>
    </row>
    <row r="204">
      <c r="A204" s="2" t="inlineStr">
        <is>
          <t>TXN_000214</t>
        </is>
      </c>
      <c r="B204" s="2" t="inlineStr">
        <is>
          <t>C_00235</t>
        </is>
      </c>
      <c r="C204" s="2" t="inlineStr">
        <is>
          <t>2026-01-16</t>
        </is>
      </c>
      <c r="D204" s="3" t="n">
        <v>4423.11</v>
      </c>
      <c r="E204" s="2" t="inlineStr">
        <is>
          <t>Card</t>
        </is>
      </c>
      <c r="F204" s="2" t="inlineStr">
        <is>
          <t>RU</t>
        </is>
      </c>
      <c r="G204" s="2" t="inlineStr">
        <is>
          <t>Healthcare</t>
        </is>
      </c>
    </row>
    <row r="205">
      <c r="A205" s="4" t="inlineStr">
        <is>
          <t>TXN_000213</t>
        </is>
      </c>
      <c r="B205" s="4" t="inlineStr">
        <is>
          <t>C_00072</t>
        </is>
      </c>
      <c r="C205" s="4" t="inlineStr">
        <is>
          <t>2026-01-16</t>
        </is>
      </c>
      <c r="D205" s="5" t="n">
        <v>605.63</v>
      </c>
      <c r="E205" s="4" t="inlineStr">
        <is>
          <t>Card</t>
        </is>
      </c>
      <c r="F205" s="4" t="inlineStr">
        <is>
          <t>US</t>
        </is>
      </c>
      <c r="G205" s="4" t="inlineStr">
        <is>
          <t>Jewelry</t>
        </is>
      </c>
    </row>
    <row r="206">
      <c r="A206" s="2" t="inlineStr">
        <is>
          <t>TXN_000212</t>
        </is>
      </c>
      <c r="B206" s="2" t="inlineStr">
        <is>
          <t>C_00112</t>
        </is>
      </c>
      <c r="C206" s="2" t="inlineStr">
        <is>
          <t>2026-01-16</t>
        </is>
      </c>
      <c r="D206" s="3" t="n">
        <v>1406.29</v>
      </c>
      <c r="E206" s="2" t="inlineStr">
        <is>
          <t>Card</t>
        </is>
      </c>
      <c r="F206" s="2" t="inlineStr">
        <is>
          <t>MX</t>
        </is>
      </c>
      <c r="G206" s="2" t="inlineStr">
        <is>
          <t>Food &amp; Beverage</t>
        </is>
      </c>
    </row>
    <row r="207">
      <c r="A207" s="4" t="inlineStr">
        <is>
          <t>TXN_000211</t>
        </is>
      </c>
      <c r="B207" s="4" t="inlineStr">
        <is>
          <t>C_00153</t>
        </is>
      </c>
      <c r="C207" s="4" t="inlineStr">
        <is>
          <t>2026-01-16</t>
        </is>
      </c>
      <c r="D207" s="5" t="n">
        <v>5970.51</v>
      </c>
      <c r="E207" s="4" t="inlineStr">
        <is>
          <t>ACH</t>
        </is>
      </c>
      <c r="F207" s="4" t="inlineStr">
        <is>
          <t>CN</t>
        </is>
      </c>
      <c r="G207" s="4" t="inlineStr">
        <is>
          <t>Healthcare</t>
        </is>
      </c>
    </row>
    <row r="208">
      <c r="A208" s="2" t="inlineStr">
        <is>
          <t>TXN_000210</t>
        </is>
      </c>
      <c r="B208" s="2" t="inlineStr">
        <is>
          <t>C_00203</t>
        </is>
      </c>
      <c r="C208" s="2" t="inlineStr">
        <is>
          <t>2026-01-16</t>
        </is>
      </c>
      <c r="D208" s="3" t="n">
        <v>8210.139999999999</v>
      </c>
      <c r="E208" s="2" t="inlineStr">
        <is>
          <t>Mobile App</t>
        </is>
      </c>
      <c r="F208" s="2" t="inlineStr">
        <is>
          <t>US</t>
        </is>
      </c>
      <c r="G208" s="2" t="inlineStr">
        <is>
          <t>Real Estate</t>
        </is>
      </c>
    </row>
    <row r="209">
      <c r="A209" s="4" t="inlineStr">
        <is>
          <t>TXN_000209</t>
        </is>
      </c>
      <c r="B209" s="4" t="inlineStr">
        <is>
          <t>C_00205</t>
        </is>
      </c>
      <c r="C209" s="4" t="inlineStr">
        <is>
          <t>2026-01-16</t>
        </is>
      </c>
      <c r="D209" s="5" t="n">
        <v>3347.07</v>
      </c>
      <c r="E209" s="4" t="inlineStr">
        <is>
          <t>Card</t>
        </is>
      </c>
      <c r="F209" s="4" t="inlineStr">
        <is>
          <t>CA</t>
        </is>
      </c>
      <c r="G209" s="4" t="inlineStr">
        <is>
          <t>Auto</t>
        </is>
      </c>
    </row>
    <row r="210">
      <c r="A210" s="2" t="inlineStr">
        <is>
          <t>TXN_000208</t>
        </is>
      </c>
      <c r="B210" s="2" t="inlineStr">
        <is>
          <t>C_00062</t>
        </is>
      </c>
      <c r="C210" s="2" t="inlineStr">
        <is>
          <t>2026-01-16</t>
        </is>
      </c>
      <c r="D210" s="3" t="n">
        <v>4161.39</v>
      </c>
      <c r="E210" s="2" t="inlineStr">
        <is>
          <t>Wire Transfer</t>
        </is>
      </c>
      <c r="F210" s="2" t="inlineStr">
        <is>
          <t>US</t>
        </is>
      </c>
      <c r="G210" s="2" t="inlineStr">
        <is>
          <t>Healthcare</t>
        </is>
      </c>
    </row>
    <row r="211">
      <c r="A211" s="4" t="inlineStr">
        <is>
          <t>TXN_000207</t>
        </is>
      </c>
      <c r="B211" s="4" t="inlineStr">
        <is>
          <t>C_00032</t>
        </is>
      </c>
      <c r="C211" s="4" t="inlineStr">
        <is>
          <t>2026-01-16</t>
        </is>
      </c>
      <c r="D211" s="5" t="n">
        <v>1225.64</v>
      </c>
      <c r="E211" s="4" t="inlineStr">
        <is>
          <t>ACH</t>
        </is>
      </c>
      <c r="F211" s="4" t="inlineStr">
        <is>
          <t>US</t>
        </is>
      </c>
      <c r="G211" s="4" t="inlineStr">
        <is>
          <t>Food &amp; Beverage</t>
        </is>
      </c>
    </row>
    <row r="212">
      <c r="A212" s="2" t="inlineStr">
        <is>
          <t>TXN_000206</t>
        </is>
      </c>
      <c r="B212" s="2" t="inlineStr">
        <is>
          <t>C_00250</t>
        </is>
      </c>
      <c r="C212" s="2" t="inlineStr">
        <is>
          <t>2026-01-16</t>
        </is>
      </c>
      <c r="D212" s="3" t="n">
        <v>1452.44</v>
      </c>
      <c r="E212" s="2" t="inlineStr">
        <is>
          <t>ACH</t>
        </is>
      </c>
      <c r="F212" s="2" t="inlineStr">
        <is>
          <t>CN</t>
        </is>
      </c>
      <c r="G212" s="2" t="inlineStr">
        <is>
          <t>Healthcare</t>
        </is>
      </c>
    </row>
    <row r="213">
      <c r="A213" s="4" t="inlineStr">
        <is>
          <t>TXN_000205</t>
        </is>
      </c>
      <c r="B213" s="4" t="inlineStr">
        <is>
          <t>C_00045</t>
        </is>
      </c>
      <c r="C213" s="4" t="inlineStr">
        <is>
          <t>2026-01-16</t>
        </is>
      </c>
      <c r="D213" s="5" t="n">
        <v>3148.42</v>
      </c>
      <c r="E213" s="4" t="inlineStr">
        <is>
          <t>Wire Transfer</t>
        </is>
      </c>
      <c r="F213" s="4" t="inlineStr">
        <is>
          <t>US</t>
        </is>
      </c>
      <c r="G213" s="4" t="inlineStr">
        <is>
          <t>Travel</t>
        </is>
      </c>
    </row>
    <row r="214">
      <c r="A214" s="2" t="inlineStr">
        <is>
          <t>TXN_000204</t>
        </is>
      </c>
      <c r="B214" s="2" t="inlineStr">
        <is>
          <t>C_00180</t>
        </is>
      </c>
      <c r="C214" s="2" t="inlineStr">
        <is>
          <t>2026-01-16</t>
        </is>
      </c>
      <c r="D214" s="3" t="n">
        <v>602.45</v>
      </c>
      <c r="E214" s="2" t="inlineStr">
        <is>
          <t>Card</t>
        </is>
      </c>
      <c r="F214" s="2" t="inlineStr">
        <is>
          <t>US</t>
        </is>
      </c>
      <c r="G214" s="2" t="inlineStr">
        <is>
          <t>Healthcare</t>
        </is>
      </c>
    </row>
    <row r="215">
      <c r="A215" s="4" t="inlineStr">
        <is>
          <t>TXN_000203</t>
        </is>
      </c>
      <c r="B215" s="4" t="inlineStr">
        <is>
          <t>C_00099</t>
        </is>
      </c>
      <c r="C215" s="4" t="inlineStr">
        <is>
          <t>2026-01-16</t>
        </is>
      </c>
      <c r="D215" s="5" t="n">
        <v>2024.38</v>
      </c>
      <c r="E215" s="4" t="inlineStr">
        <is>
          <t>ACH</t>
        </is>
      </c>
      <c r="F215" s="4" t="inlineStr">
        <is>
          <t>US</t>
        </is>
      </c>
      <c r="G215" s="4" t="inlineStr">
        <is>
          <t>Retail</t>
        </is>
      </c>
    </row>
    <row r="216">
      <c r="A216" s="2" t="inlineStr">
        <is>
          <t>TXN_000202</t>
        </is>
      </c>
      <c r="B216" s="2" t="inlineStr">
        <is>
          <t>C_00143</t>
        </is>
      </c>
      <c r="C216" s="2" t="inlineStr">
        <is>
          <t>2026-01-16</t>
        </is>
      </c>
      <c r="D216" s="3" t="n">
        <v>57.95</v>
      </c>
      <c r="E216" s="2" t="inlineStr">
        <is>
          <t>Card</t>
        </is>
      </c>
      <c r="F216" s="2" t="inlineStr">
        <is>
          <t>MX</t>
        </is>
      </c>
      <c r="G216" s="2" t="inlineStr">
        <is>
          <t>Jewelry</t>
        </is>
      </c>
    </row>
    <row r="217">
      <c r="A217" s="4" t="inlineStr">
        <is>
          <t>TXN_000201</t>
        </is>
      </c>
      <c r="B217" s="4" t="inlineStr">
        <is>
          <t>C_00105</t>
        </is>
      </c>
      <c r="C217" s="4" t="inlineStr">
        <is>
          <t>2026-01-16</t>
        </is>
      </c>
      <c r="D217" s="5" t="n">
        <v>2236.6</v>
      </c>
      <c r="E217" s="4" t="inlineStr">
        <is>
          <t>Cash Deposit</t>
        </is>
      </c>
      <c r="F217" s="4" t="inlineStr">
        <is>
          <t>US</t>
        </is>
      </c>
      <c r="G217" s="4" t="inlineStr">
        <is>
          <t>Auto</t>
        </is>
      </c>
    </row>
    <row r="218">
      <c r="A218" s="2" t="inlineStr">
        <is>
          <t>TXN_000200</t>
        </is>
      </c>
      <c r="B218" s="2" t="inlineStr">
        <is>
          <t>C_00194</t>
        </is>
      </c>
      <c r="C218" s="2" t="inlineStr">
        <is>
          <t>2026-01-16</t>
        </is>
      </c>
      <c r="D218" s="3" t="n">
        <v>263.4</v>
      </c>
      <c r="E218" s="2" t="inlineStr">
        <is>
          <t>Mobile App</t>
        </is>
      </c>
      <c r="F218" s="2" t="inlineStr">
        <is>
          <t>CN</t>
        </is>
      </c>
      <c r="G218" s="2" t="inlineStr">
        <is>
          <t>Food &amp; Beverage</t>
        </is>
      </c>
    </row>
    <row r="219">
      <c r="A219" s="4" t="inlineStr">
        <is>
          <t>TXN_001732</t>
        </is>
      </c>
      <c r="B219" s="4" t="inlineStr">
        <is>
          <t>C_00105</t>
        </is>
      </c>
      <c r="C219" s="4" t="inlineStr">
        <is>
          <t>2026-01-16</t>
        </is>
      </c>
      <c r="D219" s="5" t="n">
        <v>2236.6</v>
      </c>
      <c r="E219" s="4" t="inlineStr">
        <is>
          <t>Cash Deposit</t>
        </is>
      </c>
      <c r="F219" s="4" t="inlineStr">
        <is>
          <t>US</t>
        </is>
      </c>
      <c r="G219" s="4" t="inlineStr">
        <is>
          <t>Auto</t>
        </is>
      </c>
    </row>
    <row r="220">
      <c r="A220" s="2" t="inlineStr">
        <is>
          <t>TXN_000229</t>
        </is>
      </c>
      <c r="B220" s="2" t="inlineStr">
        <is>
          <t>C_00090</t>
        </is>
      </c>
      <c r="C220" s="2" t="inlineStr">
        <is>
          <t>2026-01-17</t>
        </is>
      </c>
      <c r="D220" s="3" t="n">
        <v>1759.49</v>
      </c>
      <c r="E220" s="2" t="inlineStr">
        <is>
          <t>ACH</t>
        </is>
      </c>
      <c r="F220" s="2" t="inlineStr">
        <is>
          <t>RU</t>
        </is>
      </c>
      <c r="G220" s="2" t="inlineStr">
        <is>
          <t>Electronics</t>
        </is>
      </c>
    </row>
    <row r="221">
      <c r="A221" s="4" t="inlineStr">
        <is>
          <t>TXN_000228</t>
        </is>
      </c>
      <c r="B221" s="4" t="inlineStr">
        <is>
          <t>C_00231</t>
        </is>
      </c>
      <c r="C221" s="4" t="inlineStr">
        <is>
          <t>2026-01-17</t>
        </is>
      </c>
      <c r="D221" s="5" t="n">
        <v>348.07</v>
      </c>
      <c r="E221" s="4" t="inlineStr">
        <is>
          <t>ACH</t>
        </is>
      </c>
      <c r="F221" s="4" t="inlineStr">
        <is>
          <t>US</t>
        </is>
      </c>
      <c r="G221" s="4" t="inlineStr">
        <is>
          <t>Food &amp; Beverage</t>
        </is>
      </c>
    </row>
    <row r="222">
      <c r="A222" s="2" t="inlineStr">
        <is>
          <t>TXN_000227</t>
        </is>
      </c>
      <c r="B222" s="2" t="inlineStr">
        <is>
          <t>C_00073</t>
        </is>
      </c>
      <c r="C222" s="2" t="inlineStr">
        <is>
          <t>2026-01-17</t>
        </is>
      </c>
      <c r="D222" s="3" t="n">
        <v>2686.33</v>
      </c>
      <c r="E222" s="2" t="inlineStr">
        <is>
          <t>Mobile App</t>
        </is>
      </c>
      <c r="F222" s="2" t="inlineStr">
        <is>
          <t>US</t>
        </is>
      </c>
      <c r="G222" s="2" t="inlineStr">
        <is>
          <t>Money Services</t>
        </is>
      </c>
    </row>
    <row r="223">
      <c r="A223" s="4" t="inlineStr">
        <is>
          <t>TXN_000226</t>
        </is>
      </c>
      <c r="B223" s="4" t="inlineStr">
        <is>
          <t>C_00245</t>
        </is>
      </c>
      <c r="C223" s="4" t="inlineStr">
        <is>
          <t>2026-01-17</t>
        </is>
      </c>
      <c r="D223" s="5" t="n">
        <v>14002.95</v>
      </c>
      <c r="E223" s="4" t="inlineStr">
        <is>
          <t>Wire Transfer</t>
        </is>
      </c>
      <c r="F223" s="4" t="inlineStr">
        <is>
          <t>US</t>
        </is>
      </c>
      <c r="G223" s="4" t="inlineStr">
        <is>
          <t>Travel</t>
        </is>
      </c>
    </row>
    <row r="224">
      <c r="A224" s="2" t="inlineStr">
        <is>
          <t>TXN_000225</t>
        </is>
      </c>
      <c r="B224" s="2" t="inlineStr">
        <is>
          <t>C_00083</t>
        </is>
      </c>
      <c r="C224" s="2" t="inlineStr">
        <is>
          <t>2026-01-17</t>
        </is>
      </c>
      <c r="D224" s="3" t="n">
        <v>1487.19</v>
      </c>
      <c r="E224" s="2" t="inlineStr">
        <is>
          <t>Mobile App</t>
        </is>
      </c>
      <c r="F224" s="2" t="inlineStr">
        <is>
          <t>NG</t>
        </is>
      </c>
      <c r="G224" s="2" t="inlineStr">
        <is>
          <t>Food &amp; Beverage</t>
        </is>
      </c>
    </row>
    <row r="225">
      <c r="A225" s="4" t="inlineStr">
        <is>
          <t>TXN_000222</t>
        </is>
      </c>
      <c r="B225" s="4" t="inlineStr">
        <is>
          <t>C_00218</t>
        </is>
      </c>
      <c r="C225" s="4" t="inlineStr">
        <is>
          <t>2026-01-17</t>
        </is>
      </c>
      <c r="D225" s="5" t="n">
        <v>3138.96</v>
      </c>
      <c r="E225" s="4" t="inlineStr">
        <is>
          <t>ACH</t>
        </is>
      </c>
      <c r="F225" s="4" t="inlineStr">
        <is>
          <t>CN</t>
        </is>
      </c>
      <c r="G225" s="4" t="inlineStr">
        <is>
          <t>Auto</t>
        </is>
      </c>
    </row>
    <row r="226">
      <c r="A226" s="2" t="inlineStr">
        <is>
          <t>TXN_000223</t>
        </is>
      </c>
      <c r="B226" s="2" t="inlineStr">
        <is>
          <t>C_00033</t>
        </is>
      </c>
      <c r="C226" s="2" t="inlineStr">
        <is>
          <t>2026-01-17</t>
        </is>
      </c>
      <c r="D226" s="3" t="n">
        <v>353.43</v>
      </c>
      <c r="E226" s="2" t="inlineStr">
        <is>
          <t>Card</t>
        </is>
      </c>
      <c r="F226" s="2" t="inlineStr">
        <is>
          <t>CA</t>
        </is>
      </c>
      <c r="G226" s="2" t="inlineStr">
        <is>
          <t>Travel</t>
        </is>
      </c>
    </row>
    <row r="227">
      <c r="A227" s="4" t="inlineStr">
        <is>
          <t>TXN_000216</t>
        </is>
      </c>
      <c r="B227" s="4" t="inlineStr">
        <is>
          <t>C_00048</t>
        </is>
      </c>
      <c r="C227" s="4" t="inlineStr">
        <is>
          <t>2026-01-17</t>
        </is>
      </c>
      <c r="D227" s="5" t="n">
        <v>6939.67</v>
      </c>
      <c r="E227" s="4" t="inlineStr">
        <is>
          <t>Cash Deposit</t>
        </is>
      </c>
      <c r="F227" s="4" t="inlineStr">
        <is>
          <t>US</t>
        </is>
      </c>
      <c r="G227" s="4" t="inlineStr">
        <is>
          <t>Jewelry</t>
        </is>
      </c>
    </row>
    <row r="228">
      <c r="A228" s="2" t="inlineStr">
        <is>
          <t>TXN_000221</t>
        </is>
      </c>
      <c r="B228" s="2" t="inlineStr">
        <is>
          <t>C_00105</t>
        </is>
      </c>
      <c r="C228" s="2" t="inlineStr">
        <is>
          <t>2026-01-17</t>
        </is>
      </c>
      <c r="D228" s="3" t="n">
        <v>2776.05</v>
      </c>
      <c r="E228" s="2" t="inlineStr">
        <is>
          <t>ACH</t>
        </is>
      </c>
      <c r="F228" s="2" t="inlineStr">
        <is>
          <t>AE</t>
        </is>
      </c>
      <c r="G228" s="2" t="inlineStr">
        <is>
          <t>Crypto Exchange</t>
        </is>
      </c>
    </row>
    <row r="229">
      <c r="A229" s="4" t="inlineStr">
        <is>
          <t>TXN_000220</t>
        </is>
      </c>
      <c r="B229" s="4" t="inlineStr">
        <is>
          <t>C_00273</t>
        </is>
      </c>
      <c r="C229" s="4" t="inlineStr">
        <is>
          <t>2026-01-17</t>
        </is>
      </c>
      <c r="D229" s="5" t="n">
        <v>1576.48</v>
      </c>
      <c r="E229" s="4" t="inlineStr">
        <is>
          <t>Cash Deposit</t>
        </is>
      </c>
      <c r="F229" s="4" t="inlineStr">
        <is>
          <t>US</t>
        </is>
      </c>
      <c r="G229" s="4" t="inlineStr">
        <is>
          <t>Auto</t>
        </is>
      </c>
    </row>
    <row r="230">
      <c r="A230" s="2" t="inlineStr">
        <is>
          <t>TXN_000219</t>
        </is>
      </c>
      <c r="B230" s="2" t="inlineStr">
        <is>
          <t>C_00221</t>
        </is>
      </c>
      <c r="C230" s="2" t="inlineStr">
        <is>
          <t>2026-01-17</t>
        </is>
      </c>
      <c r="D230" s="3" t="n">
        <v>3333.83</v>
      </c>
      <c r="E230" s="2" t="inlineStr">
        <is>
          <t>Wire Transfer</t>
        </is>
      </c>
      <c r="F230" s="2" t="inlineStr">
        <is>
          <t>RU</t>
        </is>
      </c>
      <c r="G230" s="2" t="inlineStr">
        <is>
          <t>Crypto Exchange</t>
        </is>
      </c>
    </row>
    <row r="231">
      <c r="A231" s="4" t="inlineStr">
        <is>
          <t>TXN_000217</t>
        </is>
      </c>
      <c r="B231" s="4" t="inlineStr">
        <is>
          <t>C_00226</t>
        </is>
      </c>
      <c r="C231" s="4" t="inlineStr">
        <is>
          <t>2026-01-17</t>
        </is>
      </c>
      <c r="D231" s="5" t="n">
        <v>10162.37</v>
      </c>
      <c r="E231" s="4" t="inlineStr">
        <is>
          <t>Cash Deposit</t>
        </is>
      </c>
      <c r="F231" s="4" t="inlineStr">
        <is>
          <t>RU</t>
        </is>
      </c>
      <c r="G231" s="4" t="inlineStr">
        <is>
          <t>Crypto Exchange</t>
        </is>
      </c>
    </row>
    <row r="232">
      <c r="A232" s="2" t="inlineStr">
        <is>
          <t>TXN_000218</t>
        </is>
      </c>
      <c r="B232" s="2" t="inlineStr">
        <is>
          <t>C_00188</t>
        </is>
      </c>
      <c r="C232" s="2" t="inlineStr">
        <is>
          <t>2026-01-17</t>
        </is>
      </c>
      <c r="D232" s="3" t="n">
        <v>11155.95</v>
      </c>
      <c r="E232" s="2" t="inlineStr">
        <is>
          <t>Mobile App</t>
        </is>
      </c>
      <c r="F232" s="2" t="inlineStr">
        <is>
          <t>CA</t>
        </is>
      </c>
      <c r="G232" s="2" t="inlineStr">
        <is>
          <t>Auto</t>
        </is>
      </c>
    </row>
    <row r="233">
      <c r="A233" s="4" t="inlineStr">
        <is>
          <t>TXN_000224</t>
        </is>
      </c>
      <c r="B233" s="4" t="inlineStr">
        <is>
          <t>C_00118</t>
        </is>
      </c>
      <c r="C233" s="4" t="inlineStr">
        <is>
          <t>2026-01-17</t>
        </is>
      </c>
      <c r="D233" s="5" t="n">
        <v>6974.76</v>
      </c>
      <c r="E233" s="4" t="inlineStr">
        <is>
          <t>Wire Transfer</t>
        </is>
      </c>
      <c r="F233" s="4" t="inlineStr">
        <is>
          <t>US</t>
        </is>
      </c>
      <c r="G233" s="4" t="inlineStr">
        <is>
          <t>Crypto Exchange</t>
        </is>
      </c>
    </row>
    <row r="234">
      <c r="A234" s="2" t="inlineStr">
        <is>
          <t>TXN_000245</t>
        </is>
      </c>
      <c r="B234" s="2" t="inlineStr">
        <is>
          <t>C_00208</t>
        </is>
      </c>
      <c r="C234" s="2" t="inlineStr">
        <is>
          <t>2026-01-18</t>
        </is>
      </c>
      <c r="D234" s="3" t="n">
        <v>4563.48</v>
      </c>
      <c r="E234" s="2" t="inlineStr">
        <is>
          <t>Wire Transfer</t>
        </is>
      </c>
      <c r="F234" s="2" t="inlineStr">
        <is>
          <t>US</t>
        </is>
      </c>
      <c r="G234" s="2" t="inlineStr">
        <is>
          <t>Auto</t>
        </is>
      </c>
    </row>
    <row r="235">
      <c r="A235" s="4" t="inlineStr">
        <is>
          <t>TXN_000244</t>
        </is>
      </c>
      <c r="B235" s="4" t="inlineStr">
        <is>
          <t>C_00197</t>
        </is>
      </c>
      <c r="C235" s="4" t="inlineStr">
        <is>
          <t>2026-01-18</t>
        </is>
      </c>
      <c r="D235" s="5" t="n">
        <v>1166.12</v>
      </c>
      <c r="E235" s="4" t="inlineStr">
        <is>
          <t>Mobile App</t>
        </is>
      </c>
      <c r="F235" s="4" t="inlineStr">
        <is>
          <t>US</t>
        </is>
      </c>
      <c r="G235" s="4" t="inlineStr">
        <is>
          <t>Auto</t>
        </is>
      </c>
    </row>
    <row r="236">
      <c r="A236" s="2" t="inlineStr">
        <is>
          <t>TXN_000243</t>
        </is>
      </c>
      <c r="B236" s="2" t="inlineStr">
        <is>
          <t>C_00193</t>
        </is>
      </c>
      <c r="C236" s="2" t="inlineStr">
        <is>
          <t>2026-01-18</t>
        </is>
      </c>
      <c r="D236" s="3" t="n">
        <v>2906.23</v>
      </c>
      <c r="E236" s="2" t="inlineStr">
        <is>
          <t>ACH</t>
        </is>
      </c>
      <c r="F236" s="2" t="inlineStr">
        <is>
          <t>US</t>
        </is>
      </c>
      <c r="G236" s="2" t="inlineStr">
        <is>
          <t>Food &amp; Beverage</t>
        </is>
      </c>
    </row>
    <row r="237">
      <c r="A237" s="4" t="inlineStr">
        <is>
          <t>TXN_000242</t>
        </is>
      </c>
      <c r="B237" s="4" t="inlineStr">
        <is>
          <t>C_00251</t>
        </is>
      </c>
      <c r="C237" s="4" t="inlineStr">
        <is>
          <t>2026-01-18</t>
        </is>
      </c>
      <c r="D237" s="5" t="n">
        <v>1361.05</v>
      </c>
      <c r="E237" s="4" t="inlineStr">
        <is>
          <t>Card</t>
        </is>
      </c>
      <c r="F237" s="4" t="inlineStr">
        <is>
          <t>MX</t>
        </is>
      </c>
      <c r="G237" s="4" t="inlineStr">
        <is>
          <t>Real Estate</t>
        </is>
      </c>
    </row>
    <row r="238">
      <c r="A238" s="2" t="inlineStr">
        <is>
          <t>TXN_000241</t>
        </is>
      </c>
      <c r="B238" s="2" t="inlineStr">
        <is>
          <t>C_00054</t>
        </is>
      </c>
      <c r="C238" s="2" t="inlineStr">
        <is>
          <t>2026-01-18</t>
        </is>
      </c>
      <c r="D238" s="3" t="n">
        <v>4953.78</v>
      </c>
      <c r="E238" s="2" t="inlineStr">
        <is>
          <t>Mobile App</t>
        </is>
      </c>
      <c r="F238" s="2" t="inlineStr">
        <is>
          <t>US</t>
        </is>
      </c>
      <c r="G238" s="2" t="inlineStr">
        <is>
          <t>Jewelry</t>
        </is>
      </c>
    </row>
    <row r="239">
      <c r="A239" s="4" t="inlineStr">
        <is>
          <t>TXN_000240</t>
        </is>
      </c>
      <c r="B239" s="4" t="inlineStr">
        <is>
          <t>C_00076</t>
        </is>
      </c>
      <c r="C239" s="4" t="inlineStr">
        <is>
          <t>2026-01-18</t>
        </is>
      </c>
      <c r="D239" s="5" t="n">
        <v>238.69</v>
      </c>
      <c r="E239" s="4" t="inlineStr">
        <is>
          <t>Card</t>
        </is>
      </c>
      <c r="F239" s="4" t="inlineStr">
        <is>
          <t>AE</t>
        </is>
      </c>
      <c r="G239" s="4" t="inlineStr">
        <is>
          <t>Healthcare</t>
        </is>
      </c>
    </row>
    <row r="240">
      <c r="A240" s="2" t="inlineStr">
        <is>
          <t>TXN_000238</t>
        </is>
      </c>
      <c r="B240" s="2" t="inlineStr">
        <is>
          <t>C_ORPHAN_012</t>
        </is>
      </c>
      <c r="C240" s="2" t="inlineStr">
        <is>
          <t>2026-01-18</t>
        </is>
      </c>
      <c r="D240" s="3" t="n">
        <v>3792.34</v>
      </c>
      <c r="E240" s="2" t="inlineStr">
        <is>
          <t>Cash Deposit</t>
        </is>
      </c>
      <c r="F240" s="2" t="inlineStr">
        <is>
          <t>CA</t>
        </is>
      </c>
      <c r="G240" s="2" t="inlineStr">
        <is>
          <t>Jewelry</t>
        </is>
      </c>
    </row>
    <row r="241">
      <c r="A241" s="4" t="inlineStr">
        <is>
          <t>TXN_000237</t>
        </is>
      </c>
      <c r="B241" s="4" t="inlineStr">
        <is>
          <t>C_00162</t>
        </is>
      </c>
      <c r="C241" s="4" t="inlineStr">
        <is>
          <t>2026-01-18</t>
        </is>
      </c>
      <c r="D241" s="5" t="n">
        <v>6598.88</v>
      </c>
      <c r="E241" s="4" t="inlineStr">
        <is>
          <t>Card</t>
        </is>
      </c>
      <c r="F241" s="4" t="inlineStr">
        <is>
          <t>AE</t>
        </is>
      </c>
      <c r="G241" s="4" t="inlineStr">
        <is>
          <t>Retail</t>
        </is>
      </c>
    </row>
    <row r="242">
      <c r="A242" s="2" t="inlineStr">
        <is>
          <t>TXN_000236</t>
        </is>
      </c>
      <c r="B242" s="2" t="inlineStr">
        <is>
          <t>C_00195</t>
        </is>
      </c>
      <c r="C242" s="2" t="inlineStr">
        <is>
          <t>2026-01-18</t>
        </is>
      </c>
      <c r="D242" s="3" t="n">
        <v>66.70999999999999</v>
      </c>
      <c r="E242" s="2" t="inlineStr">
        <is>
          <t>Mobile App</t>
        </is>
      </c>
      <c r="F242" s="2" t="inlineStr">
        <is>
          <t>MX</t>
        </is>
      </c>
      <c r="G242" s="2" t="inlineStr">
        <is>
          <t>Auto</t>
        </is>
      </c>
    </row>
    <row r="243">
      <c r="A243" s="4" t="inlineStr">
        <is>
          <t>TXN_000235</t>
        </is>
      </c>
      <c r="B243" s="4" t="inlineStr">
        <is>
          <t>C_00037</t>
        </is>
      </c>
      <c r="C243" s="4" t="inlineStr">
        <is>
          <t>2026-01-18</t>
        </is>
      </c>
      <c r="D243" s="5" t="n">
        <v>8729.209999999999</v>
      </c>
      <c r="E243" s="4" t="inlineStr">
        <is>
          <t>Mobile App</t>
        </is>
      </c>
      <c r="F243" s="4" t="inlineStr">
        <is>
          <t>CN</t>
        </is>
      </c>
      <c r="G243" s="4" t="inlineStr">
        <is>
          <t>Crypto Exchange</t>
        </is>
      </c>
    </row>
    <row r="244">
      <c r="A244" s="2" t="inlineStr">
        <is>
          <t>TXN_000234</t>
        </is>
      </c>
      <c r="B244" s="2" t="inlineStr">
        <is>
          <t>C_00217</t>
        </is>
      </c>
      <c r="C244" s="2" t="inlineStr">
        <is>
          <t>2026-01-18</t>
        </is>
      </c>
      <c r="D244" s="3" t="n">
        <v>164.52</v>
      </c>
      <c r="E244" s="2" t="inlineStr">
        <is>
          <t>ACH</t>
        </is>
      </c>
      <c r="F244" s="2" t="inlineStr">
        <is>
          <t>US</t>
        </is>
      </c>
      <c r="G244" s="2" t="inlineStr">
        <is>
          <t>Travel</t>
        </is>
      </c>
    </row>
    <row r="245">
      <c r="A245" s="4" t="inlineStr">
        <is>
          <t>TXN_000233</t>
        </is>
      </c>
      <c r="B245" s="4" t="inlineStr">
        <is>
          <t>C_00069</t>
        </is>
      </c>
      <c r="C245" s="4" t="inlineStr">
        <is>
          <t>2026-01-18</t>
        </is>
      </c>
      <c r="D245" s="5" t="n">
        <v>2119.25</v>
      </c>
      <c r="E245" s="4" t="inlineStr">
        <is>
          <t>ACH</t>
        </is>
      </c>
      <c r="F245" s="4" t="inlineStr">
        <is>
          <t>US</t>
        </is>
      </c>
      <c r="G245" s="4" t="inlineStr">
        <is>
          <t>Food &amp; Beverage</t>
        </is>
      </c>
    </row>
    <row r="246">
      <c r="A246" s="2" t="inlineStr">
        <is>
          <t>TXN_000232</t>
        </is>
      </c>
      <c r="B246" s="2" t="inlineStr">
        <is>
          <t>C_00085</t>
        </is>
      </c>
      <c r="C246" s="2" t="inlineStr">
        <is>
          <t>2026-01-18</t>
        </is>
      </c>
      <c r="D246" s="3" t="n">
        <v>3289.41</v>
      </c>
      <c r="E246" s="2" t="inlineStr">
        <is>
          <t>Cash Deposit</t>
        </is>
      </c>
      <c r="F246" s="2" t="inlineStr">
        <is>
          <t>RU</t>
        </is>
      </c>
      <c r="G246" s="2" t="inlineStr">
        <is>
          <t>Travel</t>
        </is>
      </c>
    </row>
    <row r="247">
      <c r="A247" s="4" t="inlineStr">
        <is>
          <t>TXN_000231</t>
        </is>
      </c>
      <c r="B247" s="4" t="inlineStr">
        <is>
          <t>C_00144</t>
        </is>
      </c>
      <c r="C247" s="4" t="inlineStr">
        <is>
          <t>2026-01-18</t>
        </is>
      </c>
      <c r="D247" s="5" t="n">
        <v>854.47</v>
      </c>
      <c r="E247" s="4" t="inlineStr">
        <is>
          <t>Mobile App</t>
        </is>
      </c>
      <c r="F247" s="4" t="inlineStr">
        <is>
          <t>US</t>
        </is>
      </c>
      <c r="G247" s="4" t="inlineStr">
        <is>
          <t>Real Estate</t>
        </is>
      </c>
    </row>
    <row r="248">
      <c r="A248" s="2" t="inlineStr">
        <is>
          <t>TXN_000230</t>
        </is>
      </c>
      <c r="B248" s="2" t="inlineStr">
        <is>
          <t>C_00088</t>
        </is>
      </c>
      <c r="C248" s="2" t="inlineStr">
        <is>
          <t>2026-01-18</t>
        </is>
      </c>
      <c r="D248" s="3" t="n">
        <v>454.82</v>
      </c>
      <c r="E248" s="2" t="inlineStr">
        <is>
          <t>Card</t>
        </is>
      </c>
      <c r="F248" s="2" t="inlineStr">
        <is>
          <t>US</t>
        </is>
      </c>
      <c r="G248" s="2" t="inlineStr">
        <is>
          <t>Auto</t>
        </is>
      </c>
    </row>
    <row r="249">
      <c r="A249" s="4" t="inlineStr">
        <is>
          <t>TXN_000239</t>
        </is>
      </c>
      <c r="B249" s="4" t="inlineStr">
        <is>
          <t>C_00234</t>
        </is>
      </c>
      <c r="C249" s="4" t="inlineStr">
        <is>
          <t>2026-01-18</t>
        </is>
      </c>
      <c r="D249" s="5" t="n">
        <v>446.84</v>
      </c>
      <c r="E249" s="4" t="inlineStr">
        <is>
          <t>Cash Deposit</t>
        </is>
      </c>
      <c r="F249" s="4" t="inlineStr">
        <is>
          <t>US</t>
        </is>
      </c>
      <c r="G249" s="4" t="inlineStr">
        <is>
          <t>Food &amp; Beverage</t>
        </is>
      </c>
    </row>
    <row r="250">
      <c r="A250" s="2" t="inlineStr">
        <is>
          <t>TXN_000253</t>
        </is>
      </c>
      <c r="B250" s="2" t="inlineStr">
        <is>
          <t>C_00168</t>
        </is>
      </c>
      <c r="C250" s="2" t="inlineStr">
        <is>
          <t>2026-01-19</t>
        </is>
      </c>
      <c r="D250" s="3" t="n">
        <v>753.33</v>
      </c>
      <c r="E250" s="2" t="inlineStr">
        <is>
          <t>Card</t>
        </is>
      </c>
      <c r="F250" s="2" t="inlineStr">
        <is>
          <t>US</t>
        </is>
      </c>
      <c r="G250" s="2" t="inlineStr">
        <is>
          <t>Healthcare</t>
        </is>
      </c>
    </row>
    <row r="251">
      <c r="A251" s="4" t="inlineStr">
        <is>
          <t>TXN_000254</t>
        </is>
      </c>
      <c r="B251" s="4" t="inlineStr">
        <is>
          <t>C_00203</t>
        </is>
      </c>
      <c r="C251" s="4" t="inlineStr">
        <is>
          <t>2026-01-19</t>
        </is>
      </c>
      <c r="D251" s="5" t="n">
        <v>2407.44</v>
      </c>
      <c r="E251" s="4" t="inlineStr">
        <is>
          <t>Cash Deposit</t>
        </is>
      </c>
      <c r="F251" s="4" t="inlineStr">
        <is>
          <t>US</t>
        </is>
      </c>
      <c r="G251" s="4" t="inlineStr">
        <is>
          <t>Travel</t>
        </is>
      </c>
    </row>
    <row r="252">
      <c r="A252" s="2" t="inlineStr">
        <is>
          <t>TXN_000252</t>
        </is>
      </c>
      <c r="B252" s="2" t="inlineStr">
        <is>
          <t>C_00069</t>
        </is>
      </c>
      <c r="C252" s="2" t="inlineStr">
        <is>
          <t>2026-01-19</t>
        </is>
      </c>
      <c r="D252" s="3" t="n">
        <v>1046.67</v>
      </c>
      <c r="E252" s="2" t="inlineStr">
        <is>
          <t>Wire Transfer</t>
        </is>
      </c>
      <c r="F252" s="2" t="inlineStr">
        <is>
          <t>MX</t>
        </is>
      </c>
      <c r="G252" s="2" t="inlineStr">
        <is>
          <t>Jewelry</t>
        </is>
      </c>
    </row>
    <row r="253">
      <c r="A253" s="4" t="inlineStr">
        <is>
          <t>TXN_000248</t>
        </is>
      </c>
      <c r="B253" s="4" t="inlineStr">
        <is>
          <t>C_00191</t>
        </is>
      </c>
      <c r="C253" s="4" t="inlineStr">
        <is>
          <t>2026-01-19</t>
        </is>
      </c>
      <c r="D253" s="5" t="n">
        <v>1780.19</v>
      </c>
      <c r="E253" s="4" t="inlineStr">
        <is>
          <t>Card</t>
        </is>
      </c>
      <c r="F253" s="4" t="inlineStr">
        <is>
          <t>AE</t>
        </is>
      </c>
      <c r="G253" s="4" t="inlineStr">
        <is>
          <t>Auto</t>
        </is>
      </c>
    </row>
    <row r="254">
      <c r="A254" s="2" t="inlineStr">
        <is>
          <t>TXN_000250</t>
        </is>
      </c>
      <c r="B254" s="2" t="inlineStr">
        <is>
          <t>C_00079</t>
        </is>
      </c>
      <c r="C254" s="2" t="inlineStr">
        <is>
          <t>2026-01-19</t>
        </is>
      </c>
      <c r="D254" s="3" t="n">
        <v>1504.73</v>
      </c>
      <c r="E254" s="2" t="inlineStr">
        <is>
          <t>ACH</t>
        </is>
      </c>
      <c r="F254" s="2" t="inlineStr">
        <is>
          <t>RU</t>
        </is>
      </c>
      <c r="G254" s="2" t="inlineStr">
        <is>
          <t>Auto</t>
        </is>
      </c>
    </row>
    <row r="255">
      <c r="A255" s="4" t="inlineStr">
        <is>
          <t>TXN_000251</t>
        </is>
      </c>
      <c r="B255" s="4" t="inlineStr">
        <is>
          <t>C_00060</t>
        </is>
      </c>
      <c r="C255" s="4" t="inlineStr">
        <is>
          <t>2026-01-19</t>
        </is>
      </c>
      <c r="D255" s="5" t="n">
        <v>258.5</v>
      </c>
      <c r="E255" s="4" t="inlineStr">
        <is>
          <t>ACH</t>
        </is>
      </c>
      <c r="F255" s="4" t="inlineStr">
        <is>
          <t>US</t>
        </is>
      </c>
      <c r="G255" s="4" t="inlineStr">
        <is>
          <t>Real Estate</t>
        </is>
      </c>
    </row>
    <row r="256">
      <c r="A256" s="2" t="inlineStr">
        <is>
          <t>TXN_000247</t>
        </is>
      </c>
      <c r="B256" s="2" t="inlineStr">
        <is>
          <t>C_00022</t>
        </is>
      </c>
      <c r="C256" s="2" t="inlineStr">
        <is>
          <t>2026-01-19</t>
        </is>
      </c>
      <c r="D256" s="3" t="n">
        <v>269.21</v>
      </c>
      <c r="E256" s="2" t="inlineStr">
        <is>
          <t>Cash Deposit</t>
        </is>
      </c>
      <c r="F256" s="2" t="inlineStr">
        <is>
          <t>RU</t>
        </is>
      </c>
      <c r="G256" s="2" t="inlineStr">
        <is>
          <t>Travel</t>
        </is>
      </c>
    </row>
    <row r="257">
      <c r="A257" s="4" t="inlineStr">
        <is>
          <t>TXN_000246</t>
        </is>
      </c>
      <c r="B257" s="4" t="inlineStr">
        <is>
          <t>C_00138</t>
        </is>
      </c>
      <c r="C257" s="4" t="inlineStr">
        <is>
          <t>2026-01-19</t>
        </is>
      </c>
      <c r="D257" s="5" t="n">
        <v>844.0599999999999</v>
      </c>
      <c r="E257" s="4" t="inlineStr">
        <is>
          <t>ACH</t>
        </is>
      </c>
      <c r="F257" s="4" t="inlineStr">
        <is>
          <t>US</t>
        </is>
      </c>
      <c r="G257" s="4" t="inlineStr">
        <is>
          <t>Healthcare</t>
        </is>
      </c>
    </row>
    <row r="258">
      <c r="A258" s="2" t="inlineStr">
        <is>
          <t>TXN_000249</t>
        </is>
      </c>
      <c r="B258" s="2" t="inlineStr">
        <is>
          <t>C_00210</t>
        </is>
      </c>
      <c r="C258" s="2" t="inlineStr">
        <is>
          <t>2026-01-19</t>
        </is>
      </c>
      <c r="D258" s="3" t="n">
        <v>6213.86</v>
      </c>
      <c r="E258" s="2" t="inlineStr">
        <is>
          <t>Wire Transfer</t>
        </is>
      </c>
      <c r="F258" s="2" t="inlineStr">
        <is>
          <t>US</t>
        </is>
      </c>
      <c r="G258" s="2" t="inlineStr">
        <is>
          <t>Healthcare</t>
        </is>
      </c>
    </row>
    <row r="259">
      <c r="A259" s="4" t="inlineStr">
        <is>
          <t>TXN_000257</t>
        </is>
      </c>
      <c r="B259" s="4" t="inlineStr">
        <is>
          <t>C_00054</t>
        </is>
      </c>
      <c r="C259" s="4" t="inlineStr">
        <is>
          <t>2026-01-20</t>
        </is>
      </c>
      <c r="D259" s="5" t="n">
        <v>1986.88</v>
      </c>
      <c r="E259" s="4" t="inlineStr">
        <is>
          <t>ACH</t>
        </is>
      </c>
      <c r="F259" s="4" t="inlineStr">
        <is>
          <t>US</t>
        </is>
      </c>
      <c r="G259" s="4" t="inlineStr">
        <is>
          <t>Healthcare</t>
        </is>
      </c>
    </row>
    <row r="260">
      <c r="A260" s="2" t="inlineStr">
        <is>
          <t>TXN_000258</t>
        </is>
      </c>
      <c r="B260" s="2" t="inlineStr">
        <is>
          <t>C_00281</t>
        </is>
      </c>
      <c r="C260" s="2" t="inlineStr">
        <is>
          <t>2026-01-20</t>
        </is>
      </c>
      <c r="D260" s="3" t="n">
        <v>214.35</v>
      </c>
      <c r="E260" s="2" t="inlineStr">
        <is>
          <t>ACH</t>
        </is>
      </c>
      <c r="F260" s="2" t="inlineStr">
        <is>
          <t>CN</t>
        </is>
      </c>
      <c r="G260" s="2" t="inlineStr">
        <is>
          <t>Real Estate</t>
        </is>
      </c>
    </row>
    <row r="261">
      <c r="A261" s="4" t="inlineStr">
        <is>
          <t>TXN_000259</t>
        </is>
      </c>
      <c r="B261" s="4" t="inlineStr">
        <is>
          <t>C_00044</t>
        </is>
      </c>
      <c r="C261" s="4" t="inlineStr">
        <is>
          <t>2026-01-20</t>
        </is>
      </c>
      <c r="D261" s="5" t="n">
        <v>1911.93</v>
      </c>
      <c r="E261" s="4" t="inlineStr">
        <is>
          <t>Wire Transfer</t>
        </is>
      </c>
      <c r="F261" s="4" t="inlineStr">
        <is>
          <t>MX</t>
        </is>
      </c>
      <c r="G261" s="4" t="inlineStr">
        <is>
          <t>Money Services</t>
        </is>
      </c>
    </row>
    <row r="262">
      <c r="A262" s="2" t="inlineStr">
        <is>
          <t>TXN_000260</t>
        </is>
      </c>
      <c r="B262" s="2" t="inlineStr">
        <is>
          <t>C_00130</t>
        </is>
      </c>
      <c r="C262" s="2" t="inlineStr">
        <is>
          <t>2026-01-20</t>
        </is>
      </c>
      <c r="D262" s="3" t="n">
        <v>7033.66</v>
      </c>
      <c r="E262" s="2" t="inlineStr">
        <is>
          <t>Mobile App</t>
        </is>
      </c>
      <c r="F262" s="2" t="inlineStr">
        <is>
          <t>US</t>
        </is>
      </c>
      <c r="G262" s="2" t="inlineStr">
        <is>
          <t>Auto</t>
        </is>
      </c>
    </row>
    <row r="263">
      <c r="A263" s="4" t="inlineStr">
        <is>
          <t>TXN_000261</t>
        </is>
      </c>
      <c r="B263" s="4" t="inlineStr">
        <is>
          <t>C_00167</t>
        </is>
      </c>
      <c r="C263" s="4" t="inlineStr">
        <is>
          <t>2026-01-20</t>
        </is>
      </c>
      <c r="D263" s="5" t="n">
        <v>6590.68</v>
      </c>
      <c r="E263" s="4" t="inlineStr">
        <is>
          <t>Wire Transfer</t>
        </is>
      </c>
      <c r="F263" s="4" t="inlineStr">
        <is>
          <t>NG</t>
        </is>
      </c>
      <c r="G263" s="4" t="inlineStr">
        <is>
          <t>Real Estate</t>
        </is>
      </c>
    </row>
    <row r="264">
      <c r="A264" s="2" t="inlineStr">
        <is>
          <t>TXN_000262</t>
        </is>
      </c>
      <c r="B264" s="2" t="inlineStr">
        <is>
          <t>C_00171</t>
        </is>
      </c>
      <c r="C264" s="2" t="inlineStr">
        <is>
          <t>2026-01-20</t>
        </is>
      </c>
      <c r="D264" s="3" t="n">
        <v>1771.45</v>
      </c>
      <c r="E264" s="2" t="inlineStr">
        <is>
          <t>Card</t>
        </is>
      </c>
      <c r="F264" s="2" t="inlineStr">
        <is>
          <t>US</t>
        </is>
      </c>
      <c r="G264" s="2" t="inlineStr">
        <is>
          <t>Money Services</t>
        </is>
      </c>
    </row>
    <row r="265">
      <c r="A265" s="4" t="inlineStr">
        <is>
          <t>TXN_000255</t>
        </is>
      </c>
      <c r="B265" s="4" t="inlineStr">
        <is>
          <t>C_00069</t>
        </is>
      </c>
      <c r="C265" s="4" t="inlineStr">
        <is>
          <t>2026-01-20</t>
        </is>
      </c>
      <c r="D265" s="5" t="n">
        <v>9225.67</v>
      </c>
      <c r="E265" s="4" t="inlineStr">
        <is>
          <t>Wire Transfer</t>
        </is>
      </c>
      <c r="F265" s="4" t="inlineStr">
        <is>
          <t>US</t>
        </is>
      </c>
      <c r="G265" s="4" t="inlineStr">
        <is>
          <t>Travel</t>
        </is>
      </c>
    </row>
    <row r="266">
      <c r="A266" s="2" t="inlineStr">
        <is>
          <t>TXN_000256</t>
        </is>
      </c>
      <c r="B266" s="2" t="inlineStr">
        <is>
          <t>C_00080</t>
        </is>
      </c>
      <c r="C266" s="2" t="inlineStr">
        <is>
          <t>2026-01-20</t>
        </is>
      </c>
      <c r="D266" s="3" t="n">
        <v>1140.75</v>
      </c>
      <c r="E266" s="2" t="inlineStr">
        <is>
          <t>Mobile App</t>
        </is>
      </c>
      <c r="F266" s="2" t="inlineStr">
        <is>
          <t>CN</t>
        </is>
      </c>
      <c r="G266" s="2" t="inlineStr">
        <is>
          <t>Travel</t>
        </is>
      </c>
    </row>
    <row r="267">
      <c r="A267" s="4" t="inlineStr">
        <is>
          <t>TXN_000277</t>
        </is>
      </c>
      <c r="B267" s="4" t="inlineStr">
        <is>
          <t>C_00167</t>
        </is>
      </c>
      <c r="C267" s="4" t="inlineStr">
        <is>
          <t>2026-01-21</t>
        </is>
      </c>
      <c r="D267" s="5" t="n">
        <v>955.03</v>
      </c>
      <c r="E267" s="4" t="inlineStr">
        <is>
          <t>Mobile App</t>
        </is>
      </c>
      <c r="F267" s="4" t="inlineStr">
        <is>
          <t>US</t>
        </is>
      </c>
      <c r="G267" s="4" t="inlineStr">
        <is>
          <t>Travel</t>
        </is>
      </c>
    </row>
    <row r="268">
      <c r="A268" s="2" t="inlineStr">
        <is>
          <t>TXN_000279</t>
        </is>
      </c>
      <c r="B268" s="2" t="inlineStr">
        <is>
          <t>C_ORPHAN_007</t>
        </is>
      </c>
      <c r="C268" s="2" t="inlineStr">
        <is>
          <t>2026-01-21</t>
        </is>
      </c>
      <c r="D268" s="3" t="n">
        <v>1000.16</v>
      </c>
      <c r="E268" s="2" t="inlineStr">
        <is>
          <t>Mobile App</t>
        </is>
      </c>
      <c r="F268" s="2" t="inlineStr">
        <is>
          <t>US</t>
        </is>
      </c>
      <c r="G268" s="2" t="inlineStr">
        <is>
          <t>Crypto Exchange</t>
        </is>
      </c>
    </row>
    <row r="269">
      <c r="A269" s="4" t="inlineStr">
        <is>
          <t>TXN_000283</t>
        </is>
      </c>
      <c r="B269" s="4" t="inlineStr">
        <is>
          <t>C_00210</t>
        </is>
      </c>
      <c r="C269" s="4" t="inlineStr">
        <is>
          <t>2026-01-21</t>
        </is>
      </c>
      <c r="D269" s="5" t="n">
        <v>959</v>
      </c>
      <c r="E269" s="4" t="inlineStr">
        <is>
          <t>Mobile App</t>
        </is>
      </c>
      <c r="F269" s="4" t="inlineStr">
        <is>
          <t>US</t>
        </is>
      </c>
      <c r="G269" s="4" t="inlineStr">
        <is>
          <t>Food &amp; Beverage</t>
        </is>
      </c>
    </row>
    <row r="270">
      <c r="A270" s="2" t="inlineStr">
        <is>
          <t>TXN_000281</t>
        </is>
      </c>
      <c r="B270" s="2" t="inlineStr">
        <is>
          <t>C_00107</t>
        </is>
      </c>
      <c r="C270" s="2" t="inlineStr">
        <is>
          <t>2026-01-21</t>
        </is>
      </c>
      <c r="D270" s="3" t="n">
        <v>1485.13</v>
      </c>
      <c r="E270" s="2" t="inlineStr">
        <is>
          <t>ACH</t>
        </is>
      </c>
      <c r="F270" s="2" t="inlineStr">
        <is>
          <t>US</t>
        </is>
      </c>
      <c r="G270" s="2" t="inlineStr">
        <is>
          <t>Auto</t>
        </is>
      </c>
    </row>
    <row r="271">
      <c r="A271" s="4" t="inlineStr">
        <is>
          <t>TXN_000282</t>
        </is>
      </c>
      <c r="B271" s="4" t="inlineStr">
        <is>
          <t>C_00292</t>
        </is>
      </c>
      <c r="C271" s="4" t="inlineStr">
        <is>
          <t>2026-01-21</t>
        </is>
      </c>
      <c r="D271" s="5" t="n">
        <v>1578.45</v>
      </c>
      <c r="E271" s="4" t="inlineStr">
        <is>
          <t>Cash Deposit</t>
        </is>
      </c>
      <c r="F271" s="4" t="inlineStr">
        <is>
          <t>US</t>
        </is>
      </c>
      <c r="G271" s="4" t="inlineStr">
        <is>
          <t>Healthcare</t>
        </is>
      </c>
    </row>
    <row r="272">
      <c r="A272" s="2" t="inlineStr">
        <is>
          <t>TXN_000276</t>
        </is>
      </c>
      <c r="B272" s="2" t="inlineStr">
        <is>
          <t>C_00137</t>
        </is>
      </c>
      <c r="C272" s="2" t="inlineStr">
        <is>
          <t>2026-01-21</t>
        </is>
      </c>
      <c r="D272" s="3" t="n">
        <v>951.6799999999999</v>
      </c>
      <c r="E272" s="2" t="inlineStr">
        <is>
          <t>Mobile App</t>
        </is>
      </c>
      <c r="F272" s="2" t="inlineStr">
        <is>
          <t>US</t>
        </is>
      </c>
      <c r="G272" s="2" t="inlineStr">
        <is>
          <t>Money Services</t>
        </is>
      </c>
    </row>
    <row r="273">
      <c r="A273" s="4" t="inlineStr">
        <is>
          <t>TXN_000280</t>
        </is>
      </c>
      <c r="B273" s="4" t="inlineStr">
        <is>
          <t>C_00280</t>
        </is>
      </c>
      <c r="C273" s="4" t="inlineStr">
        <is>
          <t>2026-01-21</t>
        </is>
      </c>
      <c r="D273" s="5" t="n">
        <v>17738.43</v>
      </c>
      <c r="E273" s="4" t="inlineStr">
        <is>
          <t>Cash Deposit</t>
        </is>
      </c>
      <c r="F273" s="4" t="inlineStr">
        <is>
          <t>US</t>
        </is>
      </c>
      <c r="G273" s="4" t="inlineStr">
        <is>
          <t>Jewelry</t>
        </is>
      </c>
    </row>
    <row r="274">
      <c r="A274" s="2" t="inlineStr">
        <is>
          <t>TXN_000275</t>
        </is>
      </c>
      <c r="B274" s="2" t="inlineStr">
        <is>
          <t>C_00147</t>
        </is>
      </c>
      <c r="C274" s="2" t="inlineStr">
        <is>
          <t>2026-01-21</t>
        </is>
      </c>
      <c r="D274" s="3" t="n">
        <v>947.6799999999999</v>
      </c>
      <c r="E274" s="2" t="inlineStr">
        <is>
          <t>ACH</t>
        </is>
      </c>
      <c r="F274" s="2" t="inlineStr">
        <is>
          <t>AE</t>
        </is>
      </c>
      <c r="G274" s="2" t="inlineStr">
        <is>
          <t>Retail</t>
        </is>
      </c>
    </row>
    <row r="275">
      <c r="A275" s="4" t="inlineStr">
        <is>
          <t>TXN_000278</t>
        </is>
      </c>
      <c r="B275" s="4" t="inlineStr">
        <is>
          <t>C_00135</t>
        </is>
      </c>
      <c r="C275" s="4" t="inlineStr">
        <is>
          <t>2026-01-21</t>
        </is>
      </c>
      <c r="D275" s="5" t="n">
        <v>31242.29</v>
      </c>
      <c r="E275" s="4" t="inlineStr">
        <is>
          <t>Card</t>
        </is>
      </c>
      <c r="F275" s="4" t="inlineStr">
        <is>
          <t>AE</t>
        </is>
      </c>
      <c r="G275" s="4" t="inlineStr">
        <is>
          <t>Travel</t>
        </is>
      </c>
    </row>
    <row r="276">
      <c r="A276" s="2" t="inlineStr">
        <is>
          <t>TXN_000273</t>
        </is>
      </c>
      <c r="B276" s="2" t="inlineStr">
        <is>
          <t>C_00103</t>
        </is>
      </c>
      <c r="C276" s="2" t="inlineStr">
        <is>
          <t>2026-01-21</t>
        </is>
      </c>
      <c r="D276" s="3" t="n">
        <v>756.5599999999999</v>
      </c>
      <c r="E276" s="2" t="inlineStr">
        <is>
          <t>Card</t>
        </is>
      </c>
      <c r="F276" s="2" t="inlineStr">
        <is>
          <t>US</t>
        </is>
      </c>
      <c r="G276" s="2" t="inlineStr">
        <is>
          <t>Retail</t>
        </is>
      </c>
    </row>
    <row r="277">
      <c r="A277" s="4" t="inlineStr">
        <is>
          <t>TXN_000272</t>
        </is>
      </c>
      <c r="B277" s="4" t="inlineStr">
        <is>
          <t>C_00239</t>
        </is>
      </c>
      <c r="C277" s="4" t="inlineStr">
        <is>
          <t>2026-01-21</t>
        </is>
      </c>
      <c r="D277" s="5" t="n">
        <v>1376.22</v>
      </c>
      <c r="E277" s="4" t="inlineStr">
        <is>
          <t>ACH</t>
        </is>
      </c>
      <c r="F277" s="4" t="inlineStr">
        <is>
          <t>US</t>
        </is>
      </c>
      <c r="G277" s="4" t="inlineStr">
        <is>
          <t>Real Estate</t>
        </is>
      </c>
    </row>
    <row r="278">
      <c r="A278" s="2" t="inlineStr">
        <is>
          <t>TXN_000271</t>
        </is>
      </c>
      <c r="B278" s="2" t="inlineStr">
        <is>
          <t>C_00165</t>
        </is>
      </c>
      <c r="C278" s="2" t="inlineStr">
        <is>
          <t>2026-01-21</t>
        </is>
      </c>
      <c r="D278" s="3" t="n">
        <v>1624.27</v>
      </c>
      <c r="E278" s="2" t="inlineStr">
        <is>
          <t>Card</t>
        </is>
      </c>
      <c r="F278" s="2" t="inlineStr">
        <is>
          <t>CN</t>
        </is>
      </c>
      <c r="G278" s="2" t="inlineStr">
        <is>
          <t>Healthcare</t>
        </is>
      </c>
    </row>
    <row r="279">
      <c r="A279" s="4" t="inlineStr">
        <is>
          <t>TXN_000270</t>
        </is>
      </c>
      <c r="B279" s="4" t="inlineStr">
        <is>
          <t>C_00083</t>
        </is>
      </c>
      <c r="C279" s="4" t="inlineStr">
        <is>
          <t>2026-01-21</t>
        </is>
      </c>
      <c r="D279" s="5" t="n">
        <v>2365.54</v>
      </c>
      <c r="E279" s="4" t="inlineStr">
        <is>
          <t>Wire Transfer</t>
        </is>
      </c>
      <c r="F279" s="4" t="inlineStr">
        <is>
          <t>CN</t>
        </is>
      </c>
      <c r="G279" s="4" t="inlineStr">
        <is>
          <t>Auto</t>
        </is>
      </c>
    </row>
    <row r="280">
      <c r="A280" s="2" t="inlineStr">
        <is>
          <t>TXN_000269</t>
        </is>
      </c>
      <c r="B280" s="2" t="inlineStr">
        <is>
          <t>C_00130</t>
        </is>
      </c>
      <c r="C280" s="2" t="inlineStr">
        <is>
          <t>2026-01-21</t>
        </is>
      </c>
      <c r="D280" s="3" t="n">
        <v>1598.48</v>
      </c>
      <c r="E280" s="2" t="inlineStr">
        <is>
          <t>ACH</t>
        </is>
      </c>
      <c r="F280" s="2" t="inlineStr">
        <is>
          <t>CN</t>
        </is>
      </c>
      <c r="G280" s="2" t="inlineStr">
        <is>
          <t>Jewelry</t>
        </is>
      </c>
    </row>
    <row r="281">
      <c r="A281" s="4" t="inlineStr">
        <is>
          <t>TXN_000268</t>
        </is>
      </c>
      <c r="B281" s="4" t="inlineStr">
        <is>
          <t>C_00148</t>
        </is>
      </c>
      <c r="C281" s="4" t="inlineStr">
        <is>
          <t>2026-01-21</t>
        </is>
      </c>
      <c r="D281" s="5" t="n">
        <v>4456.66</v>
      </c>
      <c r="E281" s="4" t="inlineStr">
        <is>
          <t>Mobile App</t>
        </is>
      </c>
      <c r="F281" s="4" t="inlineStr">
        <is>
          <t>US</t>
        </is>
      </c>
      <c r="G281" s="4" t="inlineStr">
        <is>
          <t>Healthcare</t>
        </is>
      </c>
    </row>
    <row r="282">
      <c r="A282" s="2" t="inlineStr">
        <is>
          <t>TXN_000267</t>
        </is>
      </c>
      <c r="B282" s="2" t="inlineStr">
        <is>
          <t>C_00102</t>
        </is>
      </c>
      <c r="C282" s="2" t="inlineStr">
        <is>
          <t>2026-01-21</t>
        </is>
      </c>
      <c r="D282" s="3" t="n">
        <v>1361.39</v>
      </c>
      <c r="E282" s="2" t="inlineStr">
        <is>
          <t>Card</t>
        </is>
      </c>
      <c r="F282" s="2" t="inlineStr">
        <is>
          <t>AE</t>
        </is>
      </c>
      <c r="G282" s="2" t="inlineStr">
        <is>
          <t>Food &amp; Beverage</t>
        </is>
      </c>
    </row>
    <row r="283">
      <c r="A283" s="4" t="inlineStr">
        <is>
          <t>TXN_000266</t>
        </is>
      </c>
      <c r="B283" s="4" t="inlineStr">
        <is>
          <t>C_00253</t>
        </is>
      </c>
      <c r="C283" s="4" t="inlineStr">
        <is>
          <t>2026-01-21</t>
        </is>
      </c>
      <c r="D283" s="5" t="n">
        <v>984.4400000000001</v>
      </c>
      <c r="E283" s="4" t="inlineStr">
        <is>
          <t>Card</t>
        </is>
      </c>
      <c r="F283" s="4" t="inlineStr">
        <is>
          <t>AE</t>
        </is>
      </c>
      <c r="G283" s="4" t="inlineStr">
        <is>
          <t>Travel</t>
        </is>
      </c>
    </row>
    <row r="284">
      <c r="A284" s="2" t="inlineStr">
        <is>
          <t>TXN_000265</t>
        </is>
      </c>
      <c r="B284" s="2" t="inlineStr">
        <is>
          <t>C_00107</t>
        </is>
      </c>
      <c r="C284" s="2" t="inlineStr">
        <is>
          <t>2026-01-21</t>
        </is>
      </c>
      <c r="D284" s="3" t="n">
        <v>1567.12</v>
      </c>
      <c r="E284" s="2" t="inlineStr">
        <is>
          <t>Cash Deposit</t>
        </is>
      </c>
      <c r="F284" s="2" t="inlineStr">
        <is>
          <t>CA</t>
        </is>
      </c>
      <c r="G284" s="2" t="inlineStr">
        <is>
          <t>Electronics</t>
        </is>
      </c>
    </row>
    <row r="285">
      <c r="A285" s="4" t="inlineStr">
        <is>
          <t>TXN_000263</t>
        </is>
      </c>
      <c r="B285" s="4" t="inlineStr">
        <is>
          <t>C_00036</t>
        </is>
      </c>
      <c r="C285" s="4" t="inlineStr">
        <is>
          <t>2026-01-21</t>
        </is>
      </c>
      <c r="D285" s="5" t="n">
        <v>1415.82</v>
      </c>
      <c r="E285" s="4" t="inlineStr">
        <is>
          <t>Mobile App</t>
        </is>
      </c>
      <c r="F285" s="4" t="inlineStr">
        <is>
          <t>US</t>
        </is>
      </c>
      <c r="G285" s="4" t="inlineStr">
        <is>
          <t>Money Services</t>
        </is>
      </c>
    </row>
    <row r="286">
      <c r="A286" s="2" t="inlineStr">
        <is>
          <t>TXN_000264</t>
        </is>
      </c>
      <c r="B286" s="2" t="inlineStr">
        <is>
          <t>C_00066</t>
        </is>
      </c>
      <c r="C286" s="2" t="inlineStr">
        <is>
          <t>2026-01-21</t>
        </is>
      </c>
      <c r="D286" s="3" t="n">
        <v>1039.99</v>
      </c>
      <c r="E286" s="2" t="inlineStr">
        <is>
          <t>Card</t>
        </is>
      </c>
      <c r="F286" s="2" t="inlineStr">
        <is>
          <t>MX</t>
        </is>
      </c>
      <c r="G286" s="2" t="inlineStr">
        <is>
          <t>Food &amp; Beverage</t>
        </is>
      </c>
    </row>
    <row r="287">
      <c r="A287" s="4" t="inlineStr">
        <is>
          <t>TXN_000274</t>
        </is>
      </c>
      <c r="B287" s="4" t="inlineStr">
        <is>
          <t>C_00278</t>
        </is>
      </c>
      <c r="C287" s="4" t="inlineStr">
        <is>
          <t>2026-01-21</t>
        </is>
      </c>
      <c r="D287" s="5" t="n">
        <v>948.26</v>
      </c>
      <c r="E287" s="4" t="inlineStr">
        <is>
          <t>Card</t>
        </is>
      </c>
      <c r="F287" s="4" t="inlineStr">
        <is>
          <t>CN</t>
        </is>
      </c>
      <c r="G287" s="4" t="inlineStr">
        <is>
          <t>Jewelry</t>
        </is>
      </c>
    </row>
    <row r="288">
      <c r="A288" s="2" t="inlineStr">
        <is>
          <t>TXN_000293</t>
        </is>
      </c>
      <c r="B288" s="2" t="inlineStr">
        <is>
          <t>C_00064</t>
        </is>
      </c>
      <c r="C288" s="2" t="inlineStr">
        <is>
          <t>2026-01-22</t>
        </is>
      </c>
      <c r="D288" s="3" t="n">
        <v>1967.47</v>
      </c>
      <c r="E288" s="2" t="inlineStr">
        <is>
          <t>Card</t>
        </is>
      </c>
      <c r="F288" s="2" t="inlineStr">
        <is>
          <t>US</t>
        </is>
      </c>
      <c r="G288" s="2" t="inlineStr">
        <is>
          <t>Crypto Exchange</t>
        </is>
      </c>
    </row>
    <row r="289">
      <c r="A289" s="4" t="inlineStr">
        <is>
          <t>TXN_000292</t>
        </is>
      </c>
      <c r="B289" s="4" t="inlineStr">
        <is>
          <t>C_00090</t>
        </is>
      </c>
      <c r="C289" s="4" t="inlineStr">
        <is>
          <t>2026-01-22</t>
        </is>
      </c>
      <c r="D289" s="5" t="n">
        <v>3845.1</v>
      </c>
      <c r="E289" s="4" t="inlineStr">
        <is>
          <t>ACH</t>
        </is>
      </c>
      <c r="F289" s="4" t="inlineStr">
        <is>
          <t>US</t>
        </is>
      </c>
      <c r="G289" s="4" t="inlineStr">
        <is>
          <t>Crypto Exchange</t>
        </is>
      </c>
    </row>
    <row r="290">
      <c r="A290" s="2" t="inlineStr">
        <is>
          <t>TXN_000291</t>
        </is>
      </c>
      <c r="B290" s="2" t="inlineStr">
        <is>
          <t>C_00147</t>
        </is>
      </c>
      <c r="C290" s="2" t="inlineStr">
        <is>
          <t>2026-01-22</t>
        </is>
      </c>
      <c r="D290" s="3" t="n">
        <v>860.29</v>
      </c>
      <c r="E290" s="2" t="inlineStr">
        <is>
          <t>Card</t>
        </is>
      </c>
      <c r="F290" s="2" t="inlineStr">
        <is>
          <t>US</t>
        </is>
      </c>
      <c r="G290" s="2" t="inlineStr">
        <is>
          <t>Travel</t>
        </is>
      </c>
    </row>
    <row r="291">
      <c r="A291" s="4" t="inlineStr">
        <is>
          <t>TXN_000289</t>
        </is>
      </c>
      <c r="B291" s="4" t="inlineStr">
        <is>
          <t>C_00244</t>
        </is>
      </c>
      <c r="C291" s="4" t="inlineStr">
        <is>
          <t>2026-01-22</t>
        </is>
      </c>
      <c r="D291" s="5" t="n">
        <v>374.59</v>
      </c>
      <c r="E291" s="4" t="inlineStr">
        <is>
          <t>Mobile App</t>
        </is>
      </c>
      <c r="F291" s="4" t="inlineStr">
        <is>
          <t>US</t>
        </is>
      </c>
      <c r="G291" s="4" t="inlineStr">
        <is>
          <t>Crypto Exchange</t>
        </is>
      </c>
    </row>
    <row r="292">
      <c r="A292" s="2" t="inlineStr">
        <is>
          <t>TXN_000288</t>
        </is>
      </c>
      <c r="B292" s="2" t="inlineStr">
        <is>
          <t>C_00138</t>
        </is>
      </c>
      <c r="C292" s="2" t="inlineStr">
        <is>
          <t>2026-01-22</t>
        </is>
      </c>
      <c r="D292" s="3" t="n">
        <v>2066.52</v>
      </c>
      <c r="E292" s="2" t="inlineStr">
        <is>
          <t>Card</t>
        </is>
      </c>
      <c r="F292" s="2" t="inlineStr">
        <is>
          <t>MX</t>
        </is>
      </c>
      <c r="G292" s="2" t="inlineStr">
        <is>
          <t>Food &amp; Beverage</t>
        </is>
      </c>
    </row>
    <row r="293">
      <c r="A293" s="4" t="inlineStr">
        <is>
          <t>TXN_000287</t>
        </is>
      </c>
      <c r="B293" s="4" t="inlineStr">
        <is>
          <t>C_00137</t>
        </is>
      </c>
      <c r="C293" s="4" t="inlineStr">
        <is>
          <t>2026-01-22</t>
        </is>
      </c>
      <c r="D293" s="5" t="n">
        <v>5418.36</v>
      </c>
      <c r="E293" s="4" t="inlineStr">
        <is>
          <t>Cash Deposit</t>
        </is>
      </c>
      <c r="F293" s="4" t="inlineStr">
        <is>
          <t>US</t>
        </is>
      </c>
      <c r="G293" s="4" t="inlineStr">
        <is>
          <t>Jewelry</t>
        </is>
      </c>
    </row>
    <row r="294">
      <c r="A294" s="2" t="inlineStr">
        <is>
          <t>TXN_000286</t>
        </is>
      </c>
      <c r="B294" s="2" t="inlineStr">
        <is>
          <t>C_00135</t>
        </is>
      </c>
      <c r="C294" s="2" t="inlineStr">
        <is>
          <t>2026-01-22</t>
        </is>
      </c>
      <c r="D294" s="3" t="n">
        <v>1742.37</v>
      </c>
      <c r="E294" s="2" t="inlineStr">
        <is>
          <t>Mobile App</t>
        </is>
      </c>
      <c r="F294" s="2" t="inlineStr">
        <is>
          <t>MX</t>
        </is>
      </c>
      <c r="G294" s="2" t="inlineStr">
        <is>
          <t>Electronics</t>
        </is>
      </c>
    </row>
    <row r="295">
      <c r="A295" s="4" t="inlineStr">
        <is>
          <t>TXN_000285</t>
        </is>
      </c>
      <c r="B295" s="4" t="inlineStr">
        <is>
          <t>C_00168</t>
        </is>
      </c>
      <c r="C295" s="4" t="inlineStr">
        <is>
          <t>2026-01-22</t>
        </is>
      </c>
      <c r="D295" s="5" t="n">
        <v>958.02</v>
      </c>
      <c r="E295" s="4" t="inlineStr">
        <is>
          <t>Mobile App</t>
        </is>
      </c>
      <c r="F295" s="4" t="inlineStr">
        <is>
          <t>US</t>
        </is>
      </c>
      <c r="G295" s="4" t="inlineStr">
        <is>
          <t>Money Services</t>
        </is>
      </c>
    </row>
    <row r="296">
      <c r="A296" s="2" t="inlineStr">
        <is>
          <t>TXN_000284</t>
        </is>
      </c>
      <c r="B296" s="2" t="inlineStr">
        <is>
          <t>C_00127</t>
        </is>
      </c>
      <c r="C296" s="2" t="inlineStr">
        <is>
          <t>2026-01-22</t>
        </is>
      </c>
      <c r="D296" s="3" t="n">
        <v>18170.15</v>
      </c>
      <c r="E296" s="2" t="inlineStr">
        <is>
          <t>Wire Transfer</t>
        </is>
      </c>
      <c r="F296" s="2" t="inlineStr">
        <is>
          <t>US</t>
        </is>
      </c>
      <c r="G296" s="2" t="inlineStr">
        <is>
          <t>Retail</t>
        </is>
      </c>
    </row>
    <row r="297">
      <c r="A297" s="4" t="inlineStr">
        <is>
          <t>TXN_000290</t>
        </is>
      </c>
      <c r="B297" s="4" t="inlineStr">
        <is>
          <t>C_00267</t>
        </is>
      </c>
      <c r="C297" s="4" t="inlineStr">
        <is>
          <t>2026-01-22</t>
        </is>
      </c>
      <c r="D297" s="5" t="n">
        <v>2634.85</v>
      </c>
      <c r="E297" s="4" t="inlineStr">
        <is>
          <t>Wire Transfer</t>
        </is>
      </c>
      <c r="F297" s="4" t="inlineStr">
        <is>
          <t>US</t>
        </is>
      </c>
      <c r="G297" s="4" t="inlineStr">
        <is>
          <t>Real Estate</t>
        </is>
      </c>
    </row>
    <row r="298">
      <c r="A298" s="2" t="inlineStr">
        <is>
          <t>TXN_000305</t>
        </is>
      </c>
      <c r="B298" s="2" t="inlineStr">
        <is>
          <t>C_00090</t>
        </is>
      </c>
      <c r="C298" s="2" t="inlineStr">
        <is>
          <t>2026-01-23</t>
        </is>
      </c>
      <c r="D298" s="3" t="n">
        <v>1806.82</v>
      </c>
      <c r="E298" s="2" t="inlineStr">
        <is>
          <t>Mobile App</t>
        </is>
      </c>
      <c r="F298" s="2" t="inlineStr">
        <is>
          <t>US</t>
        </is>
      </c>
      <c r="G298" s="2" t="inlineStr">
        <is>
          <t>Money Services</t>
        </is>
      </c>
    </row>
    <row r="299">
      <c r="A299" s="4" t="inlineStr">
        <is>
          <t>TXN_001733</t>
        </is>
      </c>
      <c r="B299" s="4" t="inlineStr">
        <is>
          <t>C_00061</t>
        </is>
      </c>
      <c r="C299" s="4" t="inlineStr">
        <is>
          <t>2026-01-23</t>
        </is>
      </c>
      <c r="D299" s="5" t="n">
        <v>1790.97</v>
      </c>
      <c r="E299" s="4" t="inlineStr">
        <is>
          <t>Wire Transfer</t>
        </is>
      </c>
      <c r="F299" s="4" t="inlineStr">
        <is>
          <t>CN</t>
        </is>
      </c>
      <c r="G299" s="4" t="inlineStr">
        <is>
          <t>Jewelry</t>
        </is>
      </c>
    </row>
    <row r="300">
      <c r="A300" s="2" t="inlineStr">
        <is>
          <t>TXN_000309</t>
        </is>
      </c>
      <c r="B300" s="2" t="inlineStr">
        <is>
          <t>C_00111</t>
        </is>
      </c>
      <c r="C300" s="2" t="inlineStr">
        <is>
          <t>2026-01-23</t>
        </is>
      </c>
      <c r="D300" s="3" t="n">
        <v>3918.52</v>
      </c>
      <c r="E300" s="2" t="inlineStr">
        <is>
          <t>ACH</t>
        </is>
      </c>
      <c r="F300" s="2" t="inlineStr">
        <is>
          <t>RU</t>
        </is>
      </c>
      <c r="G300" s="2" t="inlineStr">
        <is>
          <t>Auto</t>
        </is>
      </c>
    </row>
    <row r="301">
      <c r="A301" s="4" t="inlineStr">
        <is>
          <t>TXN_000308</t>
        </is>
      </c>
      <c r="B301" s="4" t="inlineStr">
        <is>
          <t>C_00051</t>
        </is>
      </c>
      <c r="C301" s="4" t="inlineStr">
        <is>
          <t>2026-01-23</t>
        </is>
      </c>
      <c r="D301" s="5" t="n">
        <v>1322.14</v>
      </c>
      <c r="E301" s="4" t="inlineStr">
        <is>
          <t>Cash Deposit</t>
        </is>
      </c>
      <c r="F301" s="4" t="inlineStr">
        <is>
          <t>RU</t>
        </is>
      </c>
      <c r="G301" s="4" t="inlineStr">
        <is>
          <t>Auto</t>
        </is>
      </c>
    </row>
    <row r="302">
      <c r="A302" s="2" t="inlineStr">
        <is>
          <t>TXN_000307</t>
        </is>
      </c>
      <c r="B302" s="2" t="inlineStr">
        <is>
          <t>C_00212</t>
        </is>
      </c>
      <c r="C302" s="2" t="inlineStr">
        <is>
          <t>2026-01-23</t>
        </is>
      </c>
      <c r="D302" s="3" t="n">
        <v>1038.41</v>
      </c>
      <c r="E302" s="2" t="inlineStr">
        <is>
          <t>ACH</t>
        </is>
      </c>
      <c r="F302" s="2" t="inlineStr">
        <is>
          <t>AE</t>
        </is>
      </c>
      <c r="G302" s="2" t="inlineStr">
        <is>
          <t>Healthcare</t>
        </is>
      </c>
    </row>
    <row r="303">
      <c r="A303" s="4" t="inlineStr">
        <is>
          <t>TXN_000306</t>
        </is>
      </c>
      <c r="B303" s="4" t="inlineStr">
        <is>
          <t>C_00121</t>
        </is>
      </c>
      <c r="C303" s="4" t="inlineStr">
        <is>
          <t>2026-01-23</t>
        </is>
      </c>
      <c r="D303" s="5" t="n">
        <v>169.25</v>
      </c>
      <c r="E303" s="4" t="inlineStr">
        <is>
          <t>Mobile App</t>
        </is>
      </c>
      <c r="F303" s="4" t="inlineStr">
        <is>
          <t>RU</t>
        </is>
      </c>
      <c r="G303" s="4" t="inlineStr">
        <is>
          <t>Travel</t>
        </is>
      </c>
    </row>
    <row r="304">
      <c r="A304" s="2" t="inlineStr">
        <is>
          <t>TXN_000304</t>
        </is>
      </c>
      <c r="B304" s="2" t="inlineStr">
        <is>
          <t>C_00131</t>
        </is>
      </c>
      <c r="C304" s="2" t="inlineStr">
        <is>
          <t>2026-01-23</t>
        </is>
      </c>
      <c r="D304" s="3" t="n">
        <v>1105.91</v>
      </c>
      <c r="E304" s="2" t="inlineStr">
        <is>
          <t>Card</t>
        </is>
      </c>
      <c r="F304" s="2" t="inlineStr">
        <is>
          <t>US</t>
        </is>
      </c>
      <c r="G304" s="2" t="inlineStr">
        <is>
          <t>Money Services</t>
        </is>
      </c>
    </row>
    <row r="305">
      <c r="A305" s="4" t="inlineStr">
        <is>
          <t>TXN_000295</t>
        </is>
      </c>
      <c r="B305" s="4" t="inlineStr">
        <is>
          <t>C_00113</t>
        </is>
      </c>
      <c r="C305" s="4" t="inlineStr">
        <is>
          <t>2026-01-23</t>
        </is>
      </c>
      <c r="D305" s="5" t="n">
        <v>52653.22</v>
      </c>
      <c r="E305" s="4" t="inlineStr">
        <is>
          <t>Cash Deposit</t>
        </is>
      </c>
      <c r="F305" s="4" t="inlineStr">
        <is>
          <t>AE</t>
        </is>
      </c>
      <c r="G305" s="4" t="inlineStr">
        <is>
          <t>Travel</t>
        </is>
      </c>
    </row>
    <row r="306">
      <c r="A306" s="2" t="inlineStr">
        <is>
          <t>TXN_000302</t>
        </is>
      </c>
      <c r="B306" s="2" t="inlineStr">
        <is>
          <t>C_00171</t>
        </is>
      </c>
      <c r="C306" s="2" t="inlineStr">
        <is>
          <t>2026-01-23</t>
        </is>
      </c>
      <c r="D306" s="3" t="n">
        <v>1223.12</v>
      </c>
      <c r="E306" s="2" t="inlineStr">
        <is>
          <t>Card</t>
        </is>
      </c>
      <c r="F306" s="2" t="inlineStr">
        <is>
          <t>US</t>
        </is>
      </c>
      <c r="G306" s="2" t="inlineStr">
        <is>
          <t>Electronics</t>
        </is>
      </c>
    </row>
    <row r="307">
      <c r="A307" s="4" t="inlineStr">
        <is>
          <t>TXN_000301</t>
        </is>
      </c>
      <c r="B307" s="4" t="inlineStr">
        <is>
          <t>C_00061</t>
        </is>
      </c>
      <c r="C307" s="4" t="inlineStr">
        <is>
          <t>2026-01-23</t>
        </is>
      </c>
      <c r="D307" s="5" t="n">
        <v>1790.97</v>
      </c>
      <c r="E307" s="4" t="inlineStr">
        <is>
          <t>Wire Transfer</t>
        </is>
      </c>
      <c r="F307" s="4" t="inlineStr">
        <is>
          <t>CN</t>
        </is>
      </c>
      <c r="G307" s="4" t="inlineStr">
        <is>
          <t>Jewelry</t>
        </is>
      </c>
    </row>
    <row r="308">
      <c r="A308" s="2" t="inlineStr">
        <is>
          <t>TXN_000300</t>
        </is>
      </c>
      <c r="B308" s="2" t="inlineStr">
        <is>
          <t>C_00292</t>
        </is>
      </c>
      <c r="C308" s="2" t="inlineStr">
        <is>
          <t>2026-01-23</t>
        </is>
      </c>
      <c r="D308" s="3" t="n">
        <v>267.62</v>
      </c>
      <c r="E308" s="2" t="inlineStr">
        <is>
          <t>Mobile App</t>
        </is>
      </c>
      <c r="F308" s="2" t="inlineStr">
        <is>
          <t>NG</t>
        </is>
      </c>
      <c r="G308" s="2" t="inlineStr">
        <is>
          <t>Food &amp; Beverage</t>
        </is>
      </c>
    </row>
    <row r="309">
      <c r="A309" s="4" t="inlineStr">
        <is>
          <t>TXN_000299</t>
        </is>
      </c>
      <c r="B309" s="4" t="inlineStr">
        <is>
          <t>C_00208</t>
        </is>
      </c>
      <c r="C309" s="4" t="inlineStr">
        <is>
          <t>2026-01-23</t>
        </is>
      </c>
      <c r="D309" s="5" t="n">
        <v>555.52</v>
      </c>
      <c r="E309" s="4" t="inlineStr">
        <is>
          <t>Cash Deposit</t>
        </is>
      </c>
      <c r="F309" s="4" t="inlineStr">
        <is>
          <t>US</t>
        </is>
      </c>
      <c r="G309" s="4" t="inlineStr">
        <is>
          <t>Jewelry</t>
        </is>
      </c>
    </row>
    <row r="310">
      <c r="A310" s="2" t="inlineStr">
        <is>
          <t>TXN_000298</t>
        </is>
      </c>
      <c r="B310" s="2" t="inlineStr">
        <is>
          <t>C_00200</t>
        </is>
      </c>
      <c r="C310" s="2" t="inlineStr">
        <is>
          <t>2026-01-23</t>
        </is>
      </c>
      <c r="D310" s="3" t="n">
        <v>10454.9</v>
      </c>
      <c r="E310" s="2" t="inlineStr">
        <is>
          <t>Card</t>
        </is>
      </c>
      <c r="F310" s="2" t="inlineStr">
        <is>
          <t>US</t>
        </is>
      </c>
      <c r="G310" s="2" t="inlineStr">
        <is>
          <t>Retail</t>
        </is>
      </c>
    </row>
    <row r="311">
      <c r="A311" s="4" t="inlineStr">
        <is>
          <t>TXN_000294</t>
        </is>
      </c>
      <c r="B311" s="4" t="inlineStr">
        <is>
          <t>C_00231</t>
        </is>
      </c>
      <c r="C311" s="4" t="inlineStr">
        <is>
          <t>2026-01-23</t>
        </is>
      </c>
      <c r="D311" s="5" t="n">
        <v>1520.6</v>
      </c>
      <c r="E311" s="4" t="inlineStr">
        <is>
          <t>Cash Deposit</t>
        </is>
      </c>
      <c r="F311" s="4" t="inlineStr">
        <is>
          <t>MX</t>
        </is>
      </c>
      <c r="G311" s="4" t="inlineStr">
        <is>
          <t>Retail</t>
        </is>
      </c>
    </row>
    <row r="312">
      <c r="A312" s="2" t="inlineStr">
        <is>
          <t>TXN_000296</t>
        </is>
      </c>
      <c r="B312" s="2" t="inlineStr">
        <is>
          <t>C_00150</t>
        </is>
      </c>
      <c r="C312" s="2" t="inlineStr">
        <is>
          <t>2026-01-23</t>
        </is>
      </c>
      <c r="D312" s="3" t="n">
        <v>1971.25</v>
      </c>
      <c r="E312" s="2" t="inlineStr">
        <is>
          <t>Cash Deposit</t>
        </is>
      </c>
      <c r="F312" s="2" t="inlineStr">
        <is>
          <t>US</t>
        </is>
      </c>
      <c r="G312" s="2" t="inlineStr">
        <is>
          <t>Jewelry</t>
        </is>
      </c>
    </row>
    <row r="313">
      <c r="A313" s="4" t="inlineStr">
        <is>
          <t>TXN_000297</t>
        </is>
      </c>
      <c r="B313" s="4" t="inlineStr">
        <is>
          <t>C_00044</t>
        </is>
      </c>
      <c r="C313" s="4" t="inlineStr">
        <is>
          <t>2026-01-23</t>
        </is>
      </c>
      <c r="D313" s="5" t="n">
        <v>2581.95</v>
      </c>
      <c r="E313" s="4" t="inlineStr">
        <is>
          <t>Card</t>
        </is>
      </c>
      <c r="F313" s="4" t="inlineStr">
        <is>
          <t>US</t>
        </is>
      </c>
      <c r="G313" s="4" t="inlineStr">
        <is>
          <t>Jewelry</t>
        </is>
      </c>
    </row>
    <row r="314">
      <c r="A314" s="2" t="inlineStr">
        <is>
          <t>TXN_000303</t>
        </is>
      </c>
      <c r="B314" s="2" t="inlineStr">
        <is>
          <t>C_00050</t>
        </is>
      </c>
      <c r="C314" s="2" t="inlineStr">
        <is>
          <t>2026-01-23</t>
        </is>
      </c>
      <c r="D314" s="3" t="n">
        <v>1062.51</v>
      </c>
      <c r="E314" s="2" t="inlineStr">
        <is>
          <t>Mobile App</t>
        </is>
      </c>
      <c r="F314" s="2" t="inlineStr">
        <is>
          <t>MX</t>
        </is>
      </c>
      <c r="G314" s="2" t="inlineStr">
        <is>
          <t>Crypto Exchange</t>
        </is>
      </c>
    </row>
    <row r="315">
      <c r="A315" s="4" t="inlineStr">
        <is>
          <t>TXN_000321</t>
        </is>
      </c>
      <c r="B315" s="4" t="inlineStr">
        <is>
          <t>C_00060</t>
        </is>
      </c>
      <c r="C315" s="4" t="inlineStr">
        <is>
          <t>2026-01-24</t>
        </is>
      </c>
      <c r="D315" s="5" t="n">
        <v>431.28</v>
      </c>
      <c r="E315" s="4" t="inlineStr">
        <is>
          <t>Card</t>
        </is>
      </c>
      <c r="F315" s="4" t="inlineStr">
        <is>
          <t>US</t>
        </is>
      </c>
      <c r="G315" s="4" t="inlineStr">
        <is>
          <t>Healthcare</t>
        </is>
      </c>
    </row>
    <row r="316">
      <c r="A316" s="2" t="inlineStr">
        <is>
          <t>TXN_000320</t>
        </is>
      </c>
      <c r="B316" s="2" t="inlineStr">
        <is>
          <t>C_00115</t>
        </is>
      </c>
      <c r="C316" s="2" t="inlineStr">
        <is>
          <t>2026-01-24</t>
        </is>
      </c>
      <c r="D316" s="3" t="n">
        <v>2398.7</v>
      </c>
      <c r="E316" s="2" t="inlineStr">
        <is>
          <t>Cash Deposit</t>
        </is>
      </c>
      <c r="F316" s="2" t="inlineStr">
        <is>
          <t>US</t>
        </is>
      </c>
      <c r="G316" s="2" t="inlineStr">
        <is>
          <t>Travel</t>
        </is>
      </c>
    </row>
    <row r="317">
      <c r="A317" s="4" t="inlineStr">
        <is>
          <t>TXN_000319</t>
        </is>
      </c>
      <c r="B317" s="4" t="inlineStr">
        <is>
          <t>C_00196</t>
        </is>
      </c>
      <c r="C317" s="4" t="inlineStr">
        <is>
          <t>2026-01-24</t>
        </is>
      </c>
      <c r="D317" s="5" t="n">
        <v>2183.49</v>
      </c>
      <c r="E317" s="4" t="inlineStr">
        <is>
          <t>Mobile App</t>
        </is>
      </c>
      <c r="F317" s="4" t="inlineStr">
        <is>
          <t>NG</t>
        </is>
      </c>
      <c r="G317" s="4" t="inlineStr">
        <is>
          <t>Food &amp; Beverage</t>
        </is>
      </c>
    </row>
    <row r="318">
      <c r="A318" s="2" t="inlineStr">
        <is>
          <t>TXN_000318</t>
        </is>
      </c>
      <c r="B318" s="2" t="inlineStr">
        <is>
          <t>C_00085</t>
        </is>
      </c>
      <c r="C318" s="2" t="inlineStr">
        <is>
          <t>2026-01-24</t>
        </is>
      </c>
      <c r="D318" s="3" t="n">
        <v>491.99</v>
      </c>
      <c r="E318" s="2" t="inlineStr">
        <is>
          <t>Cash Deposit</t>
        </is>
      </c>
      <c r="F318" s="2" t="inlineStr">
        <is>
          <t>US</t>
        </is>
      </c>
      <c r="G318" s="2" t="inlineStr">
        <is>
          <t>Retail</t>
        </is>
      </c>
    </row>
    <row r="319">
      <c r="A319" s="4" t="inlineStr">
        <is>
          <t>TXN_000317</t>
        </is>
      </c>
      <c r="B319" s="4" t="inlineStr">
        <is>
          <t>C_00246</t>
        </is>
      </c>
      <c r="C319" s="4" t="inlineStr">
        <is>
          <t>2026-01-24</t>
        </is>
      </c>
      <c r="D319" s="5" t="n">
        <v>6326.43</v>
      </c>
      <c r="E319" s="4" t="inlineStr">
        <is>
          <t>Wire Transfer</t>
        </is>
      </c>
      <c r="F319" s="4" t="inlineStr">
        <is>
          <t>US</t>
        </is>
      </c>
      <c r="G319" s="4" t="inlineStr">
        <is>
          <t>Food &amp; Beverage</t>
        </is>
      </c>
    </row>
    <row r="320">
      <c r="A320" s="2" t="inlineStr">
        <is>
          <t>TXN_000316</t>
        </is>
      </c>
      <c r="B320" s="2" t="inlineStr">
        <is>
          <t>C_00270</t>
        </is>
      </c>
      <c r="C320" s="2" t="inlineStr">
        <is>
          <t>2026-01-24</t>
        </is>
      </c>
      <c r="D320" s="3" t="n">
        <v>4050.26</v>
      </c>
      <c r="E320" s="2" t="inlineStr">
        <is>
          <t>ACH</t>
        </is>
      </c>
      <c r="F320" s="2" t="inlineStr">
        <is>
          <t>US</t>
        </is>
      </c>
      <c r="G320" s="2" t="inlineStr">
        <is>
          <t>Retail</t>
        </is>
      </c>
    </row>
    <row r="321">
      <c r="A321" s="4" t="inlineStr">
        <is>
          <t>TXN_000315</t>
        </is>
      </c>
      <c r="B321" s="4" t="inlineStr">
        <is>
          <t>C_00070</t>
        </is>
      </c>
      <c r="C321" s="4" t="inlineStr">
        <is>
          <t>2026-01-24</t>
        </is>
      </c>
      <c r="D321" s="5" t="n">
        <v>3998.42</v>
      </c>
      <c r="E321" s="4" t="inlineStr">
        <is>
          <t>Wire Transfer</t>
        </is>
      </c>
      <c r="F321" s="4" t="inlineStr">
        <is>
          <t>US</t>
        </is>
      </c>
      <c r="G321" s="4" t="inlineStr">
        <is>
          <t>Food &amp; Beverage</t>
        </is>
      </c>
    </row>
    <row r="322">
      <c r="A322" s="2" t="inlineStr">
        <is>
          <t>TXN_000314</t>
        </is>
      </c>
      <c r="B322" s="2" t="inlineStr">
        <is>
          <t>C_00296</t>
        </is>
      </c>
      <c r="C322" s="2" t="inlineStr">
        <is>
          <t>2026-01-24</t>
        </is>
      </c>
      <c r="D322" s="3" t="n">
        <v>156.76</v>
      </c>
      <c r="E322" s="2" t="inlineStr">
        <is>
          <t>Cash Deposit</t>
        </is>
      </c>
      <c r="F322" s="2" t="inlineStr">
        <is>
          <t>US</t>
        </is>
      </c>
      <c r="G322" s="2" t="inlineStr">
        <is>
          <t>Money Services</t>
        </is>
      </c>
    </row>
    <row r="323">
      <c r="A323" s="4" t="inlineStr">
        <is>
          <t>TXN_000313</t>
        </is>
      </c>
      <c r="B323" s="4" t="inlineStr">
        <is>
          <t>C_00139</t>
        </is>
      </c>
      <c r="C323" s="4" t="inlineStr">
        <is>
          <t>2026-01-24</t>
        </is>
      </c>
      <c r="D323" s="5" t="n">
        <v>1832.03</v>
      </c>
      <c r="E323" s="4" t="inlineStr">
        <is>
          <t>ACH</t>
        </is>
      </c>
      <c r="F323" s="4" t="inlineStr">
        <is>
          <t>MX</t>
        </is>
      </c>
      <c r="G323" s="4" t="inlineStr">
        <is>
          <t>Food &amp; Beverage</t>
        </is>
      </c>
    </row>
    <row r="324">
      <c r="A324" s="2" t="inlineStr">
        <is>
          <t>TXN_000312</t>
        </is>
      </c>
      <c r="B324" s="2" t="inlineStr">
        <is>
          <t>C_00182</t>
        </is>
      </c>
      <c r="C324" s="2" t="inlineStr">
        <is>
          <t>2026-01-24</t>
        </is>
      </c>
      <c r="D324" s="3" t="n">
        <v>1325.51</v>
      </c>
      <c r="E324" s="2" t="inlineStr">
        <is>
          <t>Card</t>
        </is>
      </c>
      <c r="F324" s="2" t="inlineStr">
        <is>
          <t>RU</t>
        </is>
      </c>
      <c r="G324" s="2" t="inlineStr">
        <is>
          <t>Money Services</t>
        </is>
      </c>
    </row>
    <row r="325">
      <c r="A325" s="4" t="inlineStr">
        <is>
          <t>TXN_000311</t>
        </is>
      </c>
      <c r="B325" s="4" t="inlineStr">
        <is>
          <t>C_00031</t>
        </is>
      </c>
      <c r="C325" s="4" t="inlineStr">
        <is>
          <t>2026-01-24</t>
        </is>
      </c>
      <c r="D325" s="5" t="n">
        <v>2973.63</v>
      </c>
      <c r="E325" s="4" t="inlineStr">
        <is>
          <t>ACH</t>
        </is>
      </c>
      <c r="F325" s="4" t="inlineStr">
        <is>
          <t>US</t>
        </is>
      </c>
      <c r="G325" s="4" t="inlineStr">
        <is>
          <t>Electronics</t>
        </is>
      </c>
    </row>
    <row r="326">
      <c r="A326" s="2" t="inlineStr">
        <is>
          <t>TXN_000310</t>
        </is>
      </c>
      <c r="B326" s="2" t="inlineStr">
        <is>
          <t>C_00146</t>
        </is>
      </c>
      <c r="C326" s="2" t="inlineStr">
        <is>
          <t>2026-01-24</t>
        </is>
      </c>
      <c r="D326" s="3" t="n">
        <v>1377.82</v>
      </c>
      <c r="E326" s="2" t="inlineStr">
        <is>
          <t>Mobile App</t>
        </is>
      </c>
      <c r="F326" s="2" t="inlineStr">
        <is>
          <t>NG</t>
        </is>
      </c>
      <c r="G326" s="2" t="inlineStr">
        <is>
          <t>Money Services</t>
        </is>
      </c>
    </row>
    <row r="327">
      <c r="A327" s="4" t="inlineStr">
        <is>
          <t>TXN_000335</t>
        </is>
      </c>
      <c r="B327" s="4" t="inlineStr">
        <is>
          <t>C_00126</t>
        </is>
      </c>
      <c r="C327" s="4" t="inlineStr">
        <is>
          <t>2026-01-25</t>
        </is>
      </c>
      <c r="D327" s="5" t="n">
        <v>1113.97</v>
      </c>
      <c r="E327" s="4" t="inlineStr">
        <is>
          <t>ACH</t>
        </is>
      </c>
      <c r="F327" s="4" t="inlineStr">
        <is>
          <t>NG</t>
        </is>
      </c>
      <c r="G327" s="4" t="inlineStr">
        <is>
          <t>Healthcare</t>
        </is>
      </c>
    </row>
    <row r="328">
      <c r="A328" s="2" t="inlineStr">
        <is>
          <t>TXN_000334</t>
        </is>
      </c>
      <c r="B328" s="2" t="inlineStr">
        <is>
          <t>C_00280</t>
        </is>
      </c>
      <c r="C328" s="2" t="inlineStr">
        <is>
          <t>2026-01-25</t>
        </is>
      </c>
      <c r="D328" s="3" t="n">
        <v>533.4299999999999</v>
      </c>
      <c r="E328" s="2" t="inlineStr">
        <is>
          <t>Mobile App</t>
        </is>
      </c>
      <c r="F328" s="2" t="inlineStr">
        <is>
          <t>US</t>
        </is>
      </c>
      <c r="G328" s="2" t="inlineStr">
        <is>
          <t>Real Estate</t>
        </is>
      </c>
    </row>
    <row r="329">
      <c r="A329" s="4" t="inlineStr">
        <is>
          <t>TXN_000333</t>
        </is>
      </c>
      <c r="B329" s="4" t="inlineStr">
        <is>
          <t>C_00072</t>
        </is>
      </c>
      <c r="C329" s="4" t="inlineStr">
        <is>
          <t>2026-01-25</t>
        </is>
      </c>
      <c r="D329" s="5" t="n">
        <v>7007.87</v>
      </c>
      <c r="E329" s="4" t="inlineStr">
        <is>
          <t>Mobile App</t>
        </is>
      </c>
      <c r="F329" s="4" t="inlineStr">
        <is>
          <t>RU</t>
        </is>
      </c>
      <c r="G329" s="4" t="inlineStr">
        <is>
          <t>Electronics</t>
        </is>
      </c>
    </row>
    <row r="330">
      <c r="A330" s="2" t="inlineStr">
        <is>
          <t>TXN_000332</t>
        </is>
      </c>
      <c r="B330" s="2" t="inlineStr">
        <is>
          <t>C_00161</t>
        </is>
      </c>
      <c r="C330" s="2" t="inlineStr">
        <is>
          <t>2026-01-25</t>
        </is>
      </c>
      <c r="D330" s="3" t="n">
        <v>311.24</v>
      </c>
      <c r="E330" s="2" t="inlineStr">
        <is>
          <t>Wire Transfer</t>
        </is>
      </c>
      <c r="F330" s="2" t="inlineStr">
        <is>
          <t>RU</t>
        </is>
      </c>
      <c r="G330" s="2" t="inlineStr">
        <is>
          <t>Retail</t>
        </is>
      </c>
    </row>
    <row r="331">
      <c r="A331" s="4" t="inlineStr">
        <is>
          <t>TXN_000331</t>
        </is>
      </c>
      <c r="B331" s="4" t="inlineStr">
        <is>
          <t>C_00037</t>
        </is>
      </c>
      <c r="C331" s="4" t="inlineStr">
        <is>
          <t>2026-01-25</t>
        </is>
      </c>
      <c r="D331" s="5" t="n">
        <v>46.66</v>
      </c>
      <c r="E331" s="4" t="inlineStr">
        <is>
          <t>Card</t>
        </is>
      </c>
      <c r="F331" s="4" t="inlineStr">
        <is>
          <t>CA</t>
        </is>
      </c>
      <c r="G331" s="4" t="inlineStr">
        <is>
          <t>Jewelry</t>
        </is>
      </c>
    </row>
    <row r="332">
      <c r="A332" s="2" t="inlineStr">
        <is>
          <t>TXN_000325</t>
        </is>
      </c>
      <c r="B332" s="2" t="inlineStr">
        <is>
          <t>C_00033</t>
        </is>
      </c>
      <c r="C332" s="2" t="inlineStr">
        <is>
          <t>2026-01-25</t>
        </is>
      </c>
      <c r="D332" s="3" t="n">
        <v>706.4</v>
      </c>
      <c r="E332" s="2" t="inlineStr">
        <is>
          <t>Wire Transfer</t>
        </is>
      </c>
      <c r="F332" s="2" t="inlineStr">
        <is>
          <t>CN</t>
        </is>
      </c>
      <c r="G332" s="2" t="inlineStr">
        <is>
          <t>Crypto Exchange</t>
        </is>
      </c>
    </row>
    <row r="333">
      <c r="A333" s="4" t="inlineStr">
        <is>
          <t>TXN_000329</t>
        </is>
      </c>
      <c r="B333" s="4" t="inlineStr">
        <is>
          <t>C_00163</t>
        </is>
      </c>
      <c r="C333" s="4" t="inlineStr">
        <is>
          <t>2026-01-25</t>
        </is>
      </c>
      <c r="D333" s="5" t="n">
        <v>2157.68</v>
      </c>
      <c r="E333" s="4" t="inlineStr">
        <is>
          <t>Wire Transfer</t>
        </is>
      </c>
      <c r="F333" s="4" t="inlineStr">
        <is>
          <t>RU</t>
        </is>
      </c>
      <c r="G333" s="4" t="inlineStr">
        <is>
          <t>Healthcare</t>
        </is>
      </c>
    </row>
    <row r="334">
      <c r="A334" s="2" t="inlineStr">
        <is>
          <t>TXN_000328</t>
        </is>
      </c>
      <c r="B334" s="2" t="inlineStr">
        <is>
          <t>C_00191</t>
        </is>
      </c>
      <c r="C334" s="2" t="inlineStr">
        <is>
          <t>2026-01-25</t>
        </is>
      </c>
      <c r="D334" s="3" t="n">
        <v>1546.84</v>
      </c>
      <c r="E334" s="2" t="inlineStr">
        <is>
          <t>Mobile App</t>
        </is>
      </c>
      <c r="F334" s="2" t="inlineStr">
        <is>
          <t>US</t>
        </is>
      </c>
      <c r="G334" s="2" t="inlineStr">
        <is>
          <t>Healthcare</t>
        </is>
      </c>
    </row>
    <row r="335">
      <c r="A335" s="4" t="inlineStr">
        <is>
          <t>TXN_000327</t>
        </is>
      </c>
      <c r="B335" s="4" t="inlineStr">
        <is>
          <t>C_00044</t>
        </is>
      </c>
      <c r="C335" s="4" t="inlineStr">
        <is>
          <t>2026-01-25</t>
        </is>
      </c>
      <c r="D335" s="5" t="n">
        <v>497.26</v>
      </c>
      <c r="E335" s="4" t="inlineStr">
        <is>
          <t>Wire Transfer</t>
        </is>
      </c>
      <c r="F335" s="4" t="inlineStr">
        <is>
          <t>NG</t>
        </is>
      </c>
      <c r="G335" s="4" t="inlineStr">
        <is>
          <t>Healthcare</t>
        </is>
      </c>
    </row>
    <row r="336">
      <c r="A336" s="2" t="inlineStr">
        <is>
          <t>TXN_000326</t>
        </is>
      </c>
      <c r="B336" s="2" t="inlineStr">
        <is>
          <t>C_00070</t>
        </is>
      </c>
      <c r="C336" s="2" t="inlineStr">
        <is>
          <t>2026-01-25</t>
        </is>
      </c>
      <c r="D336" s="3" t="n">
        <v>899.72</v>
      </c>
      <c r="E336" s="2" t="inlineStr">
        <is>
          <t>Wire Transfer</t>
        </is>
      </c>
      <c r="F336" s="2" t="inlineStr">
        <is>
          <t>NG</t>
        </is>
      </c>
      <c r="G336" s="2" t="inlineStr">
        <is>
          <t>Jewelry</t>
        </is>
      </c>
    </row>
    <row r="337">
      <c r="A337" s="4" t="inlineStr">
        <is>
          <t>TXN_000324</t>
        </is>
      </c>
      <c r="B337" s="4" t="inlineStr">
        <is>
          <t>C_00090</t>
        </is>
      </c>
      <c r="C337" s="4" t="inlineStr">
        <is>
          <t>2026-01-25</t>
        </is>
      </c>
      <c r="D337" s="5" t="n">
        <v>2297.47</v>
      </c>
      <c r="E337" s="4" t="inlineStr">
        <is>
          <t>Card</t>
        </is>
      </c>
      <c r="F337" s="4" t="inlineStr">
        <is>
          <t>CA</t>
        </is>
      </c>
      <c r="G337" s="4" t="inlineStr">
        <is>
          <t>Auto</t>
        </is>
      </c>
    </row>
    <row r="338">
      <c r="A338" s="2" t="inlineStr">
        <is>
          <t>TXN_000323</t>
        </is>
      </c>
      <c r="B338" s="2" t="inlineStr">
        <is>
          <t>C_00155</t>
        </is>
      </c>
      <c r="C338" s="2" t="inlineStr">
        <is>
          <t>2026-01-25</t>
        </is>
      </c>
      <c r="D338" s="3" t="n">
        <v>2042.11</v>
      </c>
      <c r="E338" s="2" t="inlineStr">
        <is>
          <t>Card</t>
        </is>
      </c>
      <c r="F338" s="2" t="inlineStr">
        <is>
          <t>US</t>
        </is>
      </c>
      <c r="G338" s="2" t="inlineStr">
        <is>
          <t>Jewelry</t>
        </is>
      </c>
    </row>
    <row r="339">
      <c r="A339" s="4" t="inlineStr">
        <is>
          <t>TXN_000322</t>
        </is>
      </c>
      <c r="B339" s="4" t="inlineStr">
        <is>
          <t>C_00237</t>
        </is>
      </c>
      <c r="C339" s="4" t="inlineStr">
        <is>
          <t>2026-01-25</t>
        </is>
      </c>
      <c r="D339" s="5" t="n">
        <v>256.9</v>
      </c>
      <c r="E339" s="4" t="inlineStr">
        <is>
          <t>ACH</t>
        </is>
      </c>
      <c r="F339" s="4" t="inlineStr">
        <is>
          <t>AE</t>
        </is>
      </c>
      <c r="G339" s="4" t="inlineStr">
        <is>
          <t>Retail</t>
        </is>
      </c>
    </row>
    <row r="340">
      <c r="A340" s="2" t="inlineStr">
        <is>
          <t>TXN_000330</t>
        </is>
      </c>
      <c r="B340" s="2" t="inlineStr">
        <is>
          <t>C_00086</t>
        </is>
      </c>
      <c r="C340" s="2" t="inlineStr">
        <is>
          <t>2026-01-25</t>
        </is>
      </c>
      <c r="D340" s="3" t="n">
        <v>3333.52</v>
      </c>
      <c r="E340" s="2" t="inlineStr">
        <is>
          <t>Mobile App</t>
        </is>
      </c>
      <c r="F340" s="2" t="inlineStr">
        <is>
          <t>AE</t>
        </is>
      </c>
      <c r="G340" s="2" t="inlineStr">
        <is>
          <t>Retail</t>
        </is>
      </c>
    </row>
    <row r="341">
      <c r="A341" s="4" t="inlineStr">
        <is>
          <t>TXN_000347</t>
        </is>
      </c>
      <c r="B341" s="4" t="inlineStr">
        <is>
          <t>C_00111</t>
        </is>
      </c>
      <c r="C341" s="4" t="inlineStr">
        <is>
          <t>2026-01-26</t>
        </is>
      </c>
      <c r="D341" s="5" t="n">
        <v>922.84</v>
      </c>
      <c r="E341" s="4" t="inlineStr">
        <is>
          <t>ACH</t>
        </is>
      </c>
      <c r="F341" s="4" t="inlineStr">
        <is>
          <t>US</t>
        </is>
      </c>
      <c r="G341" s="4" t="inlineStr">
        <is>
          <t>Real Estate</t>
        </is>
      </c>
    </row>
    <row r="342">
      <c r="A342" s="2" t="inlineStr">
        <is>
          <t>TXN_000352</t>
        </is>
      </c>
      <c r="B342" s="2" t="inlineStr">
        <is>
          <t>C_00227</t>
        </is>
      </c>
      <c r="C342" s="2" t="inlineStr">
        <is>
          <t>2026-01-26</t>
        </is>
      </c>
      <c r="D342" s="3" t="n">
        <v>813.1799999999999</v>
      </c>
      <c r="E342" s="2" t="inlineStr">
        <is>
          <t>Wire Transfer</t>
        </is>
      </c>
      <c r="F342" s="2" t="inlineStr">
        <is>
          <t>US</t>
        </is>
      </c>
      <c r="G342" s="2" t="inlineStr">
        <is>
          <t>Electronics</t>
        </is>
      </c>
    </row>
    <row r="343">
      <c r="A343" s="4" t="inlineStr">
        <is>
          <t>TXN_000351</t>
        </is>
      </c>
      <c r="B343" s="4" t="inlineStr">
        <is>
          <t>C_00236</t>
        </is>
      </c>
      <c r="C343" s="4" t="inlineStr">
        <is>
          <t>2026-01-26</t>
        </is>
      </c>
      <c r="D343" s="5" t="n">
        <v>1619.95</v>
      </c>
      <c r="E343" s="4" t="inlineStr">
        <is>
          <t>Card</t>
        </is>
      </c>
      <c r="F343" s="4" t="inlineStr">
        <is>
          <t>US</t>
        </is>
      </c>
      <c r="G343" s="4" t="inlineStr">
        <is>
          <t>Healthcare</t>
        </is>
      </c>
    </row>
    <row r="344">
      <c r="A344" s="2" t="inlineStr">
        <is>
          <t>TXN_000349</t>
        </is>
      </c>
      <c r="B344" s="2" t="inlineStr">
        <is>
          <t>C_00260</t>
        </is>
      </c>
      <c r="C344" s="2" t="inlineStr">
        <is>
          <t>2026-01-26</t>
        </is>
      </c>
      <c r="D344" s="3" t="n">
        <v>353.44</v>
      </c>
      <c r="E344" s="2" t="inlineStr">
        <is>
          <t>Cash Deposit</t>
        </is>
      </c>
      <c r="F344" s="2" t="inlineStr">
        <is>
          <t>US</t>
        </is>
      </c>
      <c r="G344" s="2" t="inlineStr">
        <is>
          <t>Money Services</t>
        </is>
      </c>
    </row>
    <row r="345">
      <c r="A345" s="4" t="inlineStr">
        <is>
          <t>TXN_000348</t>
        </is>
      </c>
      <c r="B345" s="4" t="inlineStr">
        <is>
          <t>C_00078</t>
        </is>
      </c>
      <c r="C345" s="4" t="inlineStr">
        <is>
          <t>2026-01-26</t>
        </is>
      </c>
      <c r="D345" s="5" t="n">
        <v>1276.85</v>
      </c>
      <c r="E345" s="4" t="inlineStr">
        <is>
          <t>Cash Deposit</t>
        </is>
      </c>
      <c r="F345" s="4" t="inlineStr">
        <is>
          <t>CN</t>
        </is>
      </c>
      <c r="G345" s="4" t="inlineStr">
        <is>
          <t>Electronics</t>
        </is>
      </c>
    </row>
    <row r="346">
      <c r="A346" s="2" t="inlineStr">
        <is>
          <t>TXN_000346</t>
        </is>
      </c>
      <c r="B346" s="2" t="inlineStr">
        <is>
          <t>C_00233</t>
        </is>
      </c>
      <c r="C346" s="2" t="inlineStr">
        <is>
          <t>2026-01-26</t>
        </is>
      </c>
      <c r="D346" s="3" t="n">
        <v>2346.61</v>
      </c>
      <c r="E346" s="2" t="inlineStr">
        <is>
          <t>Wire Transfer</t>
        </is>
      </c>
      <c r="F346" s="2" t="inlineStr">
        <is>
          <t>MX</t>
        </is>
      </c>
      <c r="G346" s="2" t="inlineStr">
        <is>
          <t>Travel</t>
        </is>
      </c>
    </row>
    <row r="347">
      <c r="A347" s="4" t="inlineStr">
        <is>
          <t>TXN_000350</t>
        </is>
      </c>
      <c r="B347" s="4" t="inlineStr">
        <is>
          <t>C_00111</t>
        </is>
      </c>
      <c r="C347" s="4" t="inlineStr">
        <is>
          <t>2026-01-26</t>
        </is>
      </c>
      <c r="D347" s="5" t="n">
        <v>5757.19</v>
      </c>
      <c r="E347" s="4" t="inlineStr">
        <is>
          <t>Wire Transfer</t>
        </is>
      </c>
      <c r="F347" s="4" t="inlineStr">
        <is>
          <t>US</t>
        </is>
      </c>
      <c r="G347" s="4" t="inlineStr">
        <is>
          <t>Money Services</t>
        </is>
      </c>
    </row>
    <row r="348">
      <c r="A348" s="2" t="inlineStr">
        <is>
          <t>TXN_000344</t>
        </is>
      </c>
      <c r="B348" s="2" t="inlineStr">
        <is>
          <t>C_00079</t>
        </is>
      </c>
      <c r="C348" s="2" t="inlineStr">
        <is>
          <t>2026-01-26</t>
        </is>
      </c>
      <c r="D348" s="3" t="n">
        <v>4702.52</v>
      </c>
      <c r="E348" s="2" t="inlineStr">
        <is>
          <t>Cash Deposit</t>
        </is>
      </c>
      <c r="F348" s="2" t="inlineStr">
        <is>
          <t>NG</t>
        </is>
      </c>
      <c r="G348" s="2" t="inlineStr">
        <is>
          <t>Electronics</t>
        </is>
      </c>
    </row>
    <row r="349">
      <c r="A349" s="4" t="inlineStr">
        <is>
          <t>TXN_000343</t>
        </is>
      </c>
      <c r="B349" s="4" t="inlineStr">
        <is>
          <t>C_00073</t>
        </is>
      </c>
      <c r="C349" s="4" t="inlineStr">
        <is>
          <t>2026-01-26</t>
        </is>
      </c>
      <c r="D349" s="5" t="n">
        <v>3236.06</v>
      </c>
      <c r="E349" s="4" t="inlineStr">
        <is>
          <t>Card</t>
        </is>
      </c>
      <c r="F349" s="4" t="inlineStr">
        <is>
          <t>NG</t>
        </is>
      </c>
      <c r="G349" s="4" t="inlineStr">
        <is>
          <t>Travel</t>
        </is>
      </c>
    </row>
    <row r="350">
      <c r="A350" s="2" t="inlineStr">
        <is>
          <t>TXN_000342</t>
        </is>
      </c>
      <c r="B350" s="2" t="inlineStr">
        <is>
          <t>C_00119</t>
        </is>
      </c>
      <c r="C350" s="2" t="inlineStr">
        <is>
          <t>2026-01-26</t>
        </is>
      </c>
      <c r="D350" s="3" t="n">
        <v>838.33</v>
      </c>
      <c r="E350" s="2" t="inlineStr">
        <is>
          <t>Mobile App</t>
        </is>
      </c>
      <c r="F350" s="2" t="inlineStr">
        <is>
          <t>US</t>
        </is>
      </c>
      <c r="G350" s="2" t="inlineStr">
        <is>
          <t>Food &amp; Beverage</t>
        </is>
      </c>
    </row>
    <row r="351">
      <c r="A351" s="4" t="inlineStr">
        <is>
          <t>TXN_000341</t>
        </is>
      </c>
      <c r="B351" s="4" t="inlineStr">
        <is>
          <t>C_00030</t>
        </is>
      </c>
      <c r="C351" s="4" t="inlineStr">
        <is>
          <t>2026-01-26</t>
        </is>
      </c>
      <c r="D351" s="5" t="n">
        <v>426.99</v>
      </c>
      <c r="E351" s="4" t="inlineStr">
        <is>
          <t>Cash Deposit</t>
        </is>
      </c>
      <c r="F351" s="4" t="inlineStr">
        <is>
          <t>US</t>
        </is>
      </c>
      <c r="G351" s="4" t="inlineStr">
        <is>
          <t>Crypto Exchange</t>
        </is>
      </c>
    </row>
    <row r="352">
      <c r="A352" s="2" t="inlineStr">
        <is>
          <t>TXN_000340</t>
        </is>
      </c>
      <c r="B352" s="2" t="inlineStr">
        <is>
          <t>C_00164</t>
        </is>
      </c>
      <c r="C352" s="2" t="inlineStr">
        <is>
          <t>2026-01-26</t>
        </is>
      </c>
      <c r="D352" s="3" t="n">
        <v>824.89</v>
      </c>
      <c r="E352" s="2" t="inlineStr">
        <is>
          <t>ACH</t>
        </is>
      </c>
      <c r="F352" s="2" t="inlineStr">
        <is>
          <t>RU</t>
        </is>
      </c>
      <c r="G352" s="2" t="inlineStr">
        <is>
          <t>Electronics</t>
        </is>
      </c>
    </row>
    <row r="353">
      <c r="A353" s="4" t="inlineStr">
        <is>
          <t>TXN_000339</t>
        </is>
      </c>
      <c r="B353" s="4" t="inlineStr">
        <is>
          <t>C_00107</t>
        </is>
      </c>
      <c r="C353" s="4" t="inlineStr">
        <is>
          <t>2026-01-26</t>
        </is>
      </c>
      <c r="D353" s="5" t="n">
        <v>19953.42</v>
      </c>
      <c r="E353" s="4" t="inlineStr">
        <is>
          <t>Wire Transfer</t>
        </is>
      </c>
      <c r="F353" s="4" t="inlineStr">
        <is>
          <t>AE</t>
        </is>
      </c>
      <c r="G353" s="4" t="inlineStr">
        <is>
          <t>Money Services</t>
        </is>
      </c>
    </row>
    <row r="354">
      <c r="A354" s="2" t="inlineStr">
        <is>
          <t>TXN_000338</t>
        </is>
      </c>
      <c r="B354" s="2" t="inlineStr">
        <is>
          <t>C_00172</t>
        </is>
      </c>
      <c r="C354" s="2" t="inlineStr">
        <is>
          <t>2026-01-26</t>
        </is>
      </c>
      <c r="D354" s="3" t="n">
        <v>207.8</v>
      </c>
      <c r="E354" s="2" t="inlineStr">
        <is>
          <t>Wire Transfer</t>
        </is>
      </c>
      <c r="F354" s="2" t="inlineStr">
        <is>
          <t>RU</t>
        </is>
      </c>
      <c r="G354" s="2" t="inlineStr">
        <is>
          <t>Crypto Exchange</t>
        </is>
      </c>
    </row>
    <row r="355">
      <c r="A355" s="4" t="inlineStr">
        <is>
          <t>TXN_000337</t>
        </is>
      </c>
      <c r="B355" s="4" t="inlineStr">
        <is>
          <t>C_00154</t>
        </is>
      </c>
      <c r="C355" s="4" t="inlineStr">
        <is>
          <t>2026-01-26</t>
        </is>
      </c>
      <c r="D355" s="5" t="n">
        <v>2025.95</v>
      </c>
      <c r="E355" s="4" t="inlineStr">
        <is>
          <t>Mobile App</t>
        </is>
      </c>
      <c r="F355" s="4" t="inlineStr">
        <is>
          <t>US</t>
        </is>
      </c>
      <c r="G355" s="4" t="inlineStr">
        <is>
          <t>Crypto Exchange</t>
        </is>
      </c>
    </row>
    <row r="356">
      <c r="A356" s="2" t="inlineStr">
        <is>
          <t>TXN_000336</t>
        </is>
      </c>
      <c r="B356" s="2" t="inlineStr">
        <is>
          <t>C_00204</t>
        </is>
      </c>
      <c r="C356" s="2" t="inlineStr">
        <is>
          <t>2026-01-26</t>
        </is>
      </c>
      <c r="D356" s="3" t="n">
        <v>448.4</v>
      </c>
      <c r="E356" s="2" t="inlineStr">
        <is>
          <t>ACH</t>
        </is>
      </c>
      <c r="F356" s="2" t="inlineStr">
        <is>
          <t>AE</t>
        </is>
      </c>
      <c r="G356" s="2" t="inlineStr">
        <is>
          <t>Travel</t>
        </is>
      </c>
    </row>
    <row r="357">
      <c r="A357" s="4" t="inlineStr">
        <is>
          <t>TXN_000345</t>
        </is>
      </c>
      <c r="B357" s="4" t="inlineStr">
        <is>
          <t>C_00140</t>
        </is>
      </c>
      <c r="C357" s="4" t="inlineStr">
        <is>
          <t>2026-01-26</t>
        </is>
      </c>
      <c r="D357" s="5" t="n">
        <v>13848.11</v>
      </c>
      <c r="E357" s="4" t="inlineStr">
        <is>
          <t>Wire Transfer</t>
        </is>
      </c>
      <c r="F357" s="4" t="inlineStr">
        <is>
          <t>US</t>
        </is>
      </c>
      <c r="G357" s="4" t="inlineStr">
        <is>
          <t>Real Estate</t>
        </is>
      </c>
    </row>
    <row r="358">
      <c r="A358" s="2" t="inlineStr">
        <is>
          <t>TXN_000361</t>
        </is>
      </c>
      <c r="B358" s="2" t="inlineStr">
        <is>
          <t>C_00150</t>
        </is>
      </c>
      <c r="C358" s="2" t="inlineStr">
        <is>
          <t>2026-01-27</t>
        </is>
      </c>
      <c r="D358" s="3" t="n">
        <v>548.71</v>
      </c>
      <c r="E358" s="2" t="inlineStr">
        <is>
          <t>Wire Transfer</t>
        </is>
      </c>
      <c r="F358" s="2" t="inlineStr">
        <is>
          <t>US</t>
        </is>
      </c>
      <c r="G358" s="2" t="inlineStr">
        <is>
          <t>Travel</t>
        </is>
      </c>
    </row>
    <row r="359">
      <c r="A359" s="4" t="inlineStr">
        <is>
          <t>TXN_000360</t>
        </is>
      </c>
      <c r="B359" s="4" t="inlineStr">
        <is>
          <t>C_00076</t>
        </is>
      </c>
      <c r="C359" s="4" t="inlineStr">
        <is>
          <t>2026-01-27</t>
        </is>
      </c>
      <c r="D359" s="5" t="n">
        <v>2072.47</v>
      </c>
      <c r="E359" s="4" t="inlineStr">
        <is>
          <t>Wire Transfer</t>
        </is>
      </c>
      <c r="F359" s="4" t="inlineStr">
        <is>
          <t>NG</t>
        </is>
      </c>
      <c r="G359" s="4" t="inlineStr">
        <is>
          <t>Travel</t>
        </is>
      </c>
    </row>
    <row r="360">
      <c r="A360" s="2" t="inlineStr">
        <is>
          <t>TXN_000357</t>
        </is>
      </c>
      <c r="B360" s="2" t="inlineStr">
        <is>
          <t>C_00297</t>
        </is>
      </c>
      <c r="C360" s="2" t="inlineStr">
        <is>
          <t>2026-01-27</t>
        </is>
      </c>
      <c r="D360" s="3" t="n">
        <v>2113.11</v>
      </c>
      <c r="E360" s="2" t="inlineStr">
        <is>
          <t>Mobile App</t>
        </is>
      </c>
      <c r="F360" s="2" t="inlineStr">
        <is>
          <t>US</t>
        </is>
      </c>
      <c r="G360" s="2" t="inlineStr">
        <is>
          <t>Electronics</t>
        </is>
      </c>
    </row>
    <row r="361">
      <c r="A361" s="4" t="inlineStr">
        <is>
          <t>TXN_000358</t>
        </is>
      </c>
      <c r="B361" s="4" t="inlineStr">
        <is>
          <t>C_00066</t>
        </is>
      </c>
      <c r="C361" s="4" t="inlineStr">
        <is>
          <t>2026-01-27</t>
        </is>
      </c>
      <c r="D361" s="5" t="n">
        <v>3562.38</v>
      </c>
      <c r="E361" s="4" t="inlineStr">
        <is>
          <t>Cash Deposit</t>
        </is>
      </c>
      <c r="F361" s="4" t="inlineStr">
        <is>
          <t>MX</t>
        </is>
      </c>
      <c r="G361" s="4" t="inlineStr">
        <is>
          <t>Auto</t>
        </is>
      </c>
    </row>
    <row r="362">
      <c r="A362" s="2" t="inlineStr">
        <is>
          <t>TXN_000356</t>
        </is>
      </c>
      <c r="B362" s="2" t="inlineStr">
        <is>
          <t>C_00033</t>
        </is>
      </c>
      <c r="C362" s="2" t="inlineStr">
        <is>
          <t>2026-01-27</t>
        </is>
      </c>
      <c r="D362" s="3" t="n">
        <v>3634.48</v>
      </c>
      <c r="E362" s="2" t="inlineStr">
        <is>
          <t>Wire Transfer</t>
        </is>
      </c>
      <c r="F362" s="2" t="inlineStr">
        <is>
          <t>US</t>
        </is>
      </c>
      <c r="G362" s="2" t="inlineStr">
        <is>
          <t>Healthcare</t>
        </is>
      </c>
    </row>
    <row r="363">
      <c r="A363" s="4" t="inlineStr">
        <is>
          <t>TXN_000355</t>
        </is>
      </c>
      <c r="B363" s="4" t="inlineStr">
        <is>
          <t>C_00079</t>
        </is>
      </c>
      <c r="C363" s="4" t="inlineStr">
        <is>
          <t>2026-01-27</t>
        </is>
      </c>
      <c r="D363" s="5" t="n">
        <v>12188.68</v>
      </c>
      <c r="E363" s="4" t="inlineStr">
        <is>
          <t>Wire Transfer</t>
        </is>
      </c>
      <c r="F363" s="4" t="inlineStr">
        <is>
          <t>US</t>
        </is>
      </c>
      <c r="G363" s="4" t="inlineStr">
        <is>
          <t>Travel</t>
        </is>
      </c>
    </row>
    <row r="364">
      <c r="A364" s="2" t="inlineStr">
        <is>
          <t>TXN_000354</t>
        </is>
      </c>
      <c r="B364" s="2" t="inlineStr">
        <is>
          <t>C_00021</t>
        </is>
      </c>
      <c r="C364" s="2" t="inlineStr">
        <is>
          <t>2026-01-27</t>
        </is>
      </c>
      <c r="D364" s="3" t="n">
        <v>15254.34</v>
      </c>
      <c r="E364" s="2" t="inlineStr">
        <is>
          <t>Cash Deposit</t>
        </is>
      </c>
      <c r="F364" s="2" t="inlineStr">
        <is>
          <t>US</t>
        </is>
      </c>
      <c r="G364" s="2" t="inlineStr">
        <is>
          <t>Jewelry</t>
        </is>
      </c>
    </row>
    <row r="365">
      <c r="A365" s="4" t="inlineStr">
        <is>
          <t>TXN_000353</t>
        </is>
      </c>
      <c r="B365" s="4" t="inlineStr">
        <is>
          <t>C_00074</t>
        </is>
      </c>
      <c r="C365" s="4" t="inlineStr">
        <is>
          <t>2026-01-27</t>
        </is>
      </c>
      <c r="D365" s="5" t="n">
        <v>476.7</v>
      </c>
      <c r="E365" s="4" t="inlineStr">
        <is>
          <t>Wire Transfer</t>
        </is>
      </c>
      <c r="F365" s="4" t="inlineStr">
        <is>
          <t>US</t>
        </is>
      </c>
      <c r="G365" s="4" t="inlineStr">
        <is>
          <t>Auto</t>
        </is>
      </c>
    </row>
    <row r="366">
      <c r="A366" s="2" t="inlineStr">
        <is>
          <t>TXN_000359</t>
        </is>
      </c>
      <c r="B366" s="2" t="inlineStr">
        <is>
          <t>C_00113</t>
        </is>
      </c>
      <c r="C366" s="2" t="inlineStr">
        <is>
          <t>2026-01-27</t>
        </is>
      </c>
      <c r="D366" s="3" t="n">
        <v>8689.719999999999</v>
      </c>
      <c r="E366" s="2" t="inlineStr">
        <is>
          <t>Cash Deposit</t>
        </is>
      </c>
      <c r="F366" s="2" t="inlineStr">
        <is>
          <t>US</t>
        </is>
      </c>
      <c r="G366" s="2" t="inlineStr">
        <is>
          <t>Food &amp; Beverage</t>
        </is>
      </c>
    </row>
    <row r="367">
      <c r="A367" s="4" t="inlineStr">
        <is>
          <t>TXN_000373</t>
        </is>
      </c>
      <c r="B367" s="4" t="inlineStr">
        <is>
          <t>C_00119</t>
        </is>
      </c>
      <c r="C367" s="4" t="inlineStr">
        <is>
          <t>2026-01-28</t>
        </is>
      </c>
      <c r="D367" s="5" t="n">
        <v>1612.69</v>
      </c>
      <c r="E367" s="4" t="inlineStr">
        <is>
          <t>Mobile App</t>
        </is>
      </c>
      <c r="F367" s="4" t="inlineStr">
        <is>
          <t>AE</t>
        </is>
      </c>
      <c r="G367" s="4" t="inlineStr">
        <is>
          <t>Electronics</t>
        </is>
      </c>
    </row>
    <row r="368">
      <c r="A368" s="2" t="inlineStr">
        <is>
          <t>TXN_000372</t>
        </is>
      </c>
      <c r="B368" s="2" t="inlineStr">
        <is>
          <t>C_00190</t>
        </is>
      </c>
      <c r="C368" s="2" t="inlineStr">
        <is>
          <t>2026-01-28</t>
        </is>
      </c>
      <c r="D368" s="3" t="n">
        <v>452.86</v>
      </c>
      <c r="E368" s="2" t="inlineStr">
        <is>
          <t>Wire Transfer</t>
        </is>
      </c>
      <c r="F368" s="2" t="inlineStr">
        <is>
          <t>US</t>
        </is>
      </c>
      <c r="G368" s="2" t="inlineStr">
        <is>
          <t>Money Services</t>
        </is>
      </c>
    </row>
    <row r="369">
      <c r="A369" s="4" t="inlineStr">
        <is>
          <t>TXN_000370</t>
        </is>
      </c>
      <c r="B369" s="4" t="inlineStr">
        <is>
          <t>C_00251</t>
        </is>
      </c>
      <c r="C369" s="4" t="inlineStr">
        <is>
          <t>2026-01-28</t>
        </is>
      </c>
      <c r="D369" s="5" t="n">
        <v>908.35</v>
      </c>
      <c r="E369" s="4" t="inlineStr">
        <is>
          <t>Wire Transfer</t>
        </is>
      </c>
      <c r="F369" s="4" t="inlineStr">
        <is>
          <t>US</t>
        </is>
      </c>
      <c r="G369" s="4" t="inlineStr">
        <is>
          <t>Food &amp; Beverage</t>
        </is>
      </c>
    </row>
    <row r="370">
      <c r="A370" s="2" t="inlineStr">
        <is>
          <t>TXN_000371</t>
        </is>
      </c>
      <c r="B370" s="2" t="inlineStr">
        <is>
          <t>C_00138</t>
        </is>
      </c>
      <c r="C370" s="2" t="inlineStr">
        <is>
          <t>2026-01-28</t>
        </is>
      </c>
      <c r="D370" s="3" t="n">
        <v>136.02</v>
      </c>
      <c r="E370" s="2" t="inlineStr">
        <is>
          <t>ACH</t>
        </is>
      </c>
      <c r="F370" s="2" t="inlineStr">
        <is>
          <t>US</t>
        </is>
      </c>
      <c r="G370" s="2" t="inlineStr">
        <is>
          <t>Real Estate</t>
        </is>
      </c>
    </row>
    <row r="371">
      <c r="A371" s="4" t="inlineStr">
        <is>
          <t>TXN_000368</t>
        </is>
      </c>
      <c r="B371" s="4" t="inlineStr">
        <is>
          <t>C_00146</t>
        </is>
      </c>
      <c r="C371" s="4" t="inlineStr">
        <is>
          <t>2026-01-28</t>
        </is>
      </c>
      <c r="D371" s="5" t="n">
        <v>1739.23</v>
      </c>
      <c r="E371" s="4" t="inlineStr">
        <is>
          <t>Card</t>
        </is>
      </c>
      <c r="F371" s="4" t="inlineStr">
        <is>
          <t>US</t>
        </is>
      </c>
      <c r="G371" s="4" t="inlineStr">
        <is>
          <t>Healthcare</t>
        </is>
      </c>
    </row>
    <row r="372">
      <c r="A372" s="2" t="inlineStr">
        <is>
          <t>TXN_000367</t>
        </is>
      </c>
      <c r="B372" s="2" t="inlineStr">
        <is>
          <t>C_00168</t>
        </is>
      </c>
      <c r="C372" s="2" t="inlineStr">
        <is>
          <t>2026-01-28</t>
        </is>
      </c>
      <c r="D372" s="3" t="n">
        <v>2851.57</v>
      </c>
      <c r="E372" s="2" t="inlineStr">
        <is>
          <t>Wire Transfer</t>
        </is>
      </c>
      <c r="F372" s="2" t="inlineStr">
        <is>
          <t>US</t>
        </is>
      </c>
      <c r="G372" s="2" t="inlineStr">
        <is>
          <t>Electronics</t>
        </is>
      </c>
    </row>
    <row r="373">
      <c r="A373" s="4" t="inlineStr">
        <is>
          <t>TXN_000366</t>
        </is>
      </c>
      <c r="B373" s="4" t="inlineStr">
        <is>
          <t>C_00063</t>
        </is>
      </c>
      <c r="C373" s="4" t="inlineStr">
        <is>
          <t>2026-01-28</t>
        </is>
      </c>
      <c r="D373" s="5" t="n">
        <v>487.13</v>
      </c>
      <c r="E373" s="4" t="inlineStr">
        <is>
          <t>Card</t>
        </is>
      </c>
      <c r="F373" s="4" t="inlineStr">
        <is>
          <t>RU</t>
        </is>
      </c>
      <c r="G373" s="4" t="inlineStr">
        <is>
          <t>Healthcare</t>
        </is>
      </c>
    </row>
    <row r="374">
      <c r="A374" s="2" t="inlineStr">
        <is>
          <t>TXN_000365</t>
        </is>
      </c>
      <c r="B374" s="2" t="inlineStr">
        <is>
          <t>C_00117</t>
        </is>
      </c>
      <c r="C374" s="2" t="inlineStr">
        <is>
          <t>2026-01-28</t>
        </is>
      </c>
      <c r="D374" s="3" t="n">
        <v>3639.97</v>
      </c>
      <c r="E374" s="2" t="inlineStr">
        <is>
          <t>Wire Transfer</t>
        </is>
      </c>
      <c r="F374" s="2" t="inlineStr">
        <is>
          <t>US</t>
        </is>
      </c>
      <c r="G374" s="2" t="inlineStr">
        <is>
          <t>Healthcare</t>
        </is>
      </c>
    </row>
    <row r="375">
      <c r="A375" s="4" t="inlineStr">
        <is>
          <t>TXN_000362</t>
        </is>
      </c>
      <c r="B375" s="4" t="inlineStr">
        <is>
          <t>C_00149</t>
        </is>
      </c>
      <c r="C375" s="4" t="inlineStr">
        <is>
          <t>2026-01-28</t>
        </is>
      </c>
      <c r="D375" s="5" t="n">
        <v>345.51</v>
      </c>
      <c r="E375" s="4" t="inlineStr">
        <is>
          <t>Cash Deposit</t>
        </is>
      </c>
      <c r="F375" s="4" t="inlineStr">
        <is>
          <t>US</t>
        </is>
      </c>
      <c r="G375" s="4" t="inlineStr">
        <is>
          <t>Auto</t>
        </is>
      </c>
    </row>
    <row r="376">
      <c r="A376" s="2" t="inlineStr">
        <is>
          <t>TXN_000363</t>
        </is>
      </c>
      <c r="B376" s="2" t="inlineStr">
        <is>
          <t>C_00095</t>
        </is>
      </c>
      <c r="C376" s="2" t="inlineStr">
        <is>
          <t>2026-01-28</t>
        </is>
      </c>
      <c r="D376" s="3" t="n">
        <v>2044.09</v>
      </c>
      <c r="E376" s="2" t="inlineStr">
        <is>
          <t>ACH</t>
        </is>
      </c>
      <c r="F376" s="2" t="inlineStr">
        <is>
          <t>MX</t>
        </is>
      </c>
      <c r="G376" s="2" t="inlineStr">
        <is>
          <t>Real Estate</t>
        </is>
      </c>
    </row>
    <row r="377">
      <c r="A377" s="4" t="inlineStr">
        <is>
          <t>TXN_000364</t>
        </is>
      </c>
      <c r="B377" s="4" t="inlineStr">
        <is>
          <t>C_00179</t>
        </is>
      </c>
      <c r="C377" s="4" t="inlineStr">
        <is>
          <t>2026-01-28</t>
        </is>
      </c>
      <c r="D377" s="5" t="n">
        <v>7264.39</v>
      </c>
      <c r="E377" s="4" t="inlineStr">
        <is>
          <t>Cash Deposit</t>
        </is>
      </c>
      <c r="F377" s="4" t="inlineStr">
        <is>
          <t>US</t>
        </is>
      </c>
      <c r="G377" s="4" t="inlineStr">
        <is>
          <t>Travel</t>
        </is>
      </c>
    </row>
    <row r="378">
      <c r="A378" s="2" t="inlineStr">
        <is>
          <t>TXN_000369</t>
        </is>
      </c>
      <c r="B378" s="2" t="inlineStr">
        <is>
          <t>C_00093</t>
        </is>
      </c>
      <c r="C378" s="2" t="inlineStr">
        <is>
          <t>2026-01-28</t>
        </is>
      </c>
      <c r="D378" s="3" t="n">
        <v>334.19</v>
      </c>
      <c r="E378" s="2" t="inlineStr">
        <is>
          <t>Wire Transfer</t>
        </is>
      </c>
      <c r="F378" s="2" t="inlineStr">
        <is>
          <t>AE</t>
        </is>
      </c>
      <c r="G378" s="2" t="inlineStr">
        <is>
          <t>Travel</t>
        </is>
      </c>
    </row>
    <row r="379">
      <c r="A379" s="4" t="inlineStr">
        <is>
          <t>TXN_000385</t>
        </is>
      </c>
      <c r="B379" s="4" t="inlineStr">
        <is>
          <t>C_00067</t>
        </is>
      </c>
      <c r="C379" s="4" t="inlineStr">
        <is>
          <t>2026-01-29</t>
        </is>
      </c>
      <c r="D379" s="5" t="n">
        <v>2437.48</v>
      </c>
      <c r="E379" s="4" t="inlineStr">
        <is>
          <t>Wire Transfer</t>
        </is>
      </c>
      <c r="F379" s="4" t="inlineStr">
        <is>
          <t>NG</t>
        </is>
      </c>
      <c r="G379" s="4" t="inlineStr">
        <is>
          <t>Food &amp; Beverage</t>
        </is>
      </c>
    </row>
    <row r="380">
      <c r="A380" s="2" t="inlineStr">
        <is>
          <t>TXN_000384</t>
        </is>
      </c>
      <c r="B380" s="2" t="inlineStr">
        <is>
          <t>C_00208</t>
        </is>
      </c>
      <c r="C380" s="2" t="inlineStr">
        <is>
          <t>2026-01-29</t>
        </is>
      </c>
      <c r="D380" s="3" t="n">
        <v>1148.66</v>
      </c>
      <c r="E380" s="2" t="inlineStr">
        <is>
          <t>Mobile App</t>
        </is>
      </c>
      <c r="F380" s="2" t="inlineStr">
        <is>
          <t>CA</t>
        </is>
      </c>
      <c r="G380" s="2" t="inlineStr">
        <is>
          <t>Healthcare</t>
        </is>
      </c>
    </row>
    <row r="381">
      <c r="A381" s="4" t="inlineStr">
        <is>
          <t>TXN_000382</t>
        </is>
      </c>
      <c r="B381" s="4" t="inlineStr">
        <is>
          <t>C_00151</t>
        </is>
      </c>
      <c r="C381" s="4" t="inlineStr">
        <is>
          <t>2026-01-29</t>
        </is>
      </c>
      <c r="D381" s="5" t="n">
        <v>1748.26</v>
      </c>
      <c r="E381" s="4" t="inlineStr">
        <is>
          <t>ACH</t>
        </is>
      </c>
      <c r="F381" s="4" t="inlineStr">
        <is>
          <t>US</t>
        </is>
      </c>
      <c r="G381" s="4" t="inlineStr">
        <is>
          <t>Food &amp; Beverage</t>
        </is>
      </c>
    </row>
    <row r="382">
      <c r="A382" s="2" t="inlineStr">
        <is>
          <t>TXN_000383</t>
        </is>
      </c>
      <c r="B382" s="2" t="inlineStr">
        <is>
          <t>C_00191</t>
        </is>
      </c>
      <c r="C382" s="2" t="inlineStr">
        <is>
          <t>2026-01-29</t>
        </is>
      </c>
      <c r="D382" s="3" t="n">
        <v>3001.14</v>
      </c>
      <c r="E382" s="2" t="inlineStr">
        <is>
          <t>Cash Deposit</t>
        </is>
      </c>
      <c r="F382" s="2" t="inlineStr">
        <is>
          <t>CA</t>
        </is>
      </c>
      <c r="G382" s="2" t="inlineStr">
        <is>
          <t>Auto</t>
        </is>
      </c>
    </row>
    <row r="383">
      <c r="A383" s="4" t="inlineStr">
        <is>
          <t>TXN_000380</t>
        </is>
      </c>
      <c r="B383" s="4" t="inlineStr">
        <is>
          <t>C_00259</t>
        </is>
      </c>
      <c r="C383" s="4" t="inlineStr">
        <is>
          <t>2026-01-29</t>
        </is>
      </c>
      <c r="D383" s="5" t="n">
        <v>1949.32</v>
      </c>
      <c r="E383" s="4" t="inlineStr">
        <is>
          <t>Cash Deposit</t>
        </is>
      </c>
      <c r="F383" s="4" t="inlineStr">
        <is>
          <t>US</t>
        </is>
      </c>
      <c r="G383" s="4" t="inlineStr">
        <is>
          <t>Travel</t>
        </is>
      </c>
    </row>
    <row r="384">
      <c r="A384" s="2" t="inlineStr">
        <is>
          <t>TXN_000379</t>
        </is>
      </c>
      <c r="B384" s="2" t="inlineStr">
        <is>
          <t>C_00259</t>
        </is>
      </c>
      <c r="C384" s="2" t="inlineStr">
        <is>
          <t>2026-01-29</t>
        </is>
      </c>
      <c r="D384" s="3" t="n">
        <v>5396.39</v>
      </c>
      <c r="E384" s="2" t="inlineStr">
        <is>
          <t>Wire Transfer</t>
        </is>
      </c>
      <c r="F384" s="2" t="inlineStr">
        <is>
          <t>MX</t>
        </is>
      </c>
      <c r="G384" s="2" t="inlineStr">
        <is>
          <t>Travel</t>
        </is>
      </c>
    </row>
    <row r="385">
      <c r="A385" s="4" t="inlineStr">
        <is>
          <t>TXN_000378</t>
        </is>
      </c>
      <c r="B385" s="4" t="inlineStr">
        <is>
          <t>C_00166</t>
        </is>
      </c>
      <c r="C385" s="4" t="inlineStr">
        <is>
          <t>2026-01-29</t>
        </is>
      </c>
      <c r="D385" s="5" t="n">
        <v>693.8200000000001</v>
      </c>
      <c r="E385" s="4" t="inlineStr">
        <is>
          <t>Mobile App</t>
        </is>
      </c>
      <c r="F385" s="4" t="inlineStr">
        <is>
          <t>AE</t>
        </is>
      </c>
      <c r="G385" s="4" t="inlineStr">
        <is>
          <t>Travel</t>
        </is>
      </c>
    </row>
    <row r="386">
      <c r="A386" s="2" t="inlineStr">
        <is>
          <t>TXN_000377</t>
        </is>
      </c>
      <c r="B386" s="2" t="inlineStr">
        <is>
          <t>C_00058</t>
        </is>
      </c>
      <c r="C386" s="2" t="inlineStr">
        <is>
          <t>2026-01-29</t>
        </is>
      </c>
      <c r="D386" s="3" t="n">
        <v>1292.57</v>
      </c>
      <c r="E386" s="2" t="inlineStr">
        <is>
          <t>Wire Transfer</t>
        </is>
      </c>
      <c r="F386" s="2" t="inlineStr">
        <is>
          <t>AE</t>
        </is>
      </c>
      <c r="G386" s="2" t="inlineStr">
        <is>
          <t>Money Services</t>
        </is>
      </c>
    </row>
    <row r="387">
      <c r="A387" s="4" t="inlineStr">
        <is>
          <t>TXN_000376</t>
        </is>
      </c>
      <c r="B387" s="4" t="inlineStr">
        <is>
          <t>C_00280</t>
        </is>
      </c>
      <c r="C387" s="4" t="inlineStr">
        <is>
          <t>2026-01-29</t>
        </is>
      </c>
      <c r="D387" s="5" t="n">
        <v>2460.18</v>
      </c>
      <c r="E387" s="4" t="inlineStr">
        <is>
          <t>Mobile App</t>
        </is>
      </c>
      <c r="F387" s="4" t="inlineStr">
        <is>
          <t>US</t>
        </is>
      </c>
      <c r="G387" s="4" t="inlineStr">
        <is>
          <t>Retail</t>
        </is>
      </c>
    </row>
    <row r="388">
      <c r="A388" s="2" t="inlineStr">
        <is>
          <t>TXN_000375</t>
        </is>
      </c>
      <c r="B388" s="2" t="inlineStr">
        <is>
          <t>C_00220</t>
        </is>
      </c>
      <c r="C388" s="2" t="inlineStr">
        <is>
          <t>2026-01-29</t>
        </is>
      </c>
      <c r="D388" s="3" t="n">
        <v>5140.92</v>
      </c>
      <c r="E388" s="2" t="inlineStr">
        <is>
          <t>Mobile App</t>
        </is>
      </c>
      <c r="F388" s="2" t="inlineStr">
        <is>
          <t>US</t>
        </is>
      </c>
      <c r="G388" s="2" t="inlineStr">
        <is>
          <t>Healthcare</t>
        </is>
      </c>
    </row>
    <row r="389">
      <c r="A389" s="4" t="inlineStr">
        <is>
          <t>TXN_000374</t>
        </is>
      </c>
      <c r="B389" s="4" t="inlineStr">
        <is>
          <t>C_00226</t>
        </is>
      </c>
      <c r="C389" s="4" t="inlineStr">
        <is>
          <t>2026-01-29</t>
        </is>
      </c>
      <c r="D389" s="5" t="n">
        <v>2118.04</v>
      </c>
      <c r="E389" s="4" t="inlineStr">
        <is>
          <t>Mobile App</t>
        </is>
      </c>
      <c r="F389" s="4" t="inlineStr">
        <is>
          <t>US</t>
        </is>
      </c>
      <c r="G389" s="4" t="inlineStr">
        <is>
          <t>Jewelry</t>
        </is>
      </c>
    </row>
    <row r="390">
      <c r="A390" s="2" t="inlineStr">
        <is>
          <t>TXN_000381</t>
        </is>
      </c>
      <c r="B390" s="2" t="inlineStr">
        <is>
          <t>C_00277</t>
        </is>
      </c>
      <c r="C390" s="2" t="inlineStr">
        <is>
          <t>2026-01-29</t>
        </is>
      </c>
      <c r="D390" s="3" t="n">
        <v>3519.85</v>
      </c>
      <c r="E390" s="2" t="inlineStr">
        <is>
          <t>Cash Deposit</t>
        </is>
      </c>
      <c r="F390" s="2" t="inlineStr">
        <is>
          <t>AE</t>
        </is>
      </c>
      <c r="G390" s="2" t="inlineStr">
        <is>
          <t>Electronics</t>
        </is>
      </c>
    </row>
    <row r="391">
      <c r="A391" s="4" t="inlineStr">
        <is>
          <t>TXN_000398</t>
        </is>
      </c>
      <c r="B391" s="4" t="inlineStr">
        <is>
          <t>C_00264</t>
        </is>
      </c>
      <c r="C391" s="4" t="inlineStr">
        <is>
          <t>2026-01-30</t>
        </is>
      </c>
      <c r="D391" s="5" t="n">
        <v>4321.33</v>
      </c>
      <c r="E391" s="4" t="inlineStr">
        <is>
          <t>Cash Deposit</t>
        </is>
      </c>
      <c r="F391" s="4" t="inlineStr">
        <is>
          <t>US</t>
        </is>
      </c>
      <c r="G391" s="4" t="inlineStr">
        <is>
          <t>Retail</t>
        </is>
      </c>
    </row>
    <row r="392">
      <c r="A392" s="2" t="inlineStr">
        <is>
          <t>TXN_000403</t>
        </is>
      </c>
      <c r="B392" s="2" t="inlineStr">
        <is>
          <t>C_00220</t>
        </is>
      </c>
      <c r="C392" s="2" t="inlineStr">
        <is>
          <t>2026-01-30</t>
        </is>
      </c>
      <c r="D392" s="3" t="n">
        <v>4667.94</v>
      </c>
      <c r="E392" s="2" t="inlineStr">
        <is>
          <t>Cash Deposit</t>
        </is>
      </c>
      <c r="F392" s="2" t="inlineStr">
        <is>
          <t>NG</t>
        </is>
      </c>
      <c r="G392" s="2" t="inlineStr">
        <is>
          <t>Healthcare</t>
        </is>
      </c>
    </row>
    <row r="393">
      <c r="A393" s="4" t="inlineStr">
        <is>
          <t>TXN_000402</t>
        </is>
      </c>
      <c r="B393" s="4" t="inlineStr">
        <is>
          <t>C_00104</t>
        </is>
      </c>
      <c r="C393" s="4" t="inlineStr">
        <is>
          <t>2026-01-30</t>
        </is>
      </c>
      <c r="D393" s="5" t="n">
        <v>1045.88</v>
      </c>
      <c r="E393" s="4" t="inlineStr">
        <is>
          <t>Cash Deposit</t>
        </is>
      </c>
      <c r="F393" s="4" t="inlineStr">
        <is>
          <t>US</t>
        </is>
      </c>
      <c r="G393" s="4" t="inlineStr">
        <is>
          <t>Money Services</t>
        </is>
      </c>
    </row>
    <row r="394">
      <c r="A394" s="2" t="inlineStr">
        <is>
          <t>TXN_000401</t>
        </is>
      </c>
      <c r="B394" s="2" t="inlineStr">
        <is>
          <t>C_00300</t>
        </is>
      </c>
      <c r="C394" s="2" t="inlineStr">
        <is>
          <t>2026-01-30</t>
        </is>
      </c>
      <c r="D394" s="3" t="n">
        <v>2016.18</v>
      </c>
      <c r="E394" s="2" t="inlineStr">
        <is>
          <t>Card</t>
        </is>
      </c>
      <c r="F394" s="2" t="inlineStr">
        <is>
          <t>US</t>
        </is>
      </c>
      <c r="G394" s="2" t="inlineStr">
        <is>
          <t>Electronics</t>
        </is>
      </c>
    </row>
    <row r="395">
      <c r="A395" s="4" t="inlineStr">
        <is>
          <t>TXN_000400</t>
        </is>
      </c>
      <c r="B395" s="4" t="inlineStr">
        <is>
          <t>C_00107</t>
        </is>
      </c>
      <c r="C395" s="4" t="inlineStr">
        <is>
          <t>2026-01-30</t>
        </is>
      </c>
      <c r="D395" s="5" t="n">
        <v>1396.63</v>
      </c>
      <c r="E395" s="4" t="inlineStr">
        <is>
          <t>Card</t>
        </is>
      </c>
      <c r="F395" s="4" t="inlineStr">
        <is>
          <t>US</t>
        </is>
      </c>
      <c r="G395" s="4" t="inlineStr">
        <is>
          <t>Real Estate</t>
        </is>
      </c>
    </row>
    <row r="396">
      <c r="A396" s="2" t="inlineStr">
        <is>
          <t>TXN_000399</t>
        </is>
      </c>
      <c r="B396" s="2" t="inlineStr">
        <is>
          <t>C_00173</t>
        </is>
      </c>
      <c r="C396" s="2" t="inlineStr">
        <is>
          <t>2026-01-30</t>
        </is>
      </c>
      <c r="D396" s="3" t="n">
        <v>2225.21</v>
      </c>
      <c r="E396" s="2" t="inlineStr">
        <is>
          <t>ACH</t>
        </is>
      </c>
      <c r="F396" s="2" t="inlineStr">
        <is>
          <t>US</t>
        </is>
      </c>
      <c r="G396" s="2" t="inlineStr">
        <is>
          <t>Food &amp; Beverage</t>
        </is>
      </c>
    </row>
    <row r="397">
      <c r="A397" s="4" t="inlineStr">
        <is>
          <t>TXN_000397</t>
        </is>
      </c>
      <c r="B397" s="4" t="inlineStr">
        <is>
          <t>C_00133</t>
        </is>
      </c>
      <c r="C397" s="4" t="inlineStr">
        <is>
          <t>2026-01-30</t>
        </is>
      </c>
      <c r="D397" s="5" t="n">
        <v>1562.17</v>
      </c>
      <c r="E397" s="4" t="inlineStr">
        <is>
          <t>Mobile App</t>
        </is>
      </c>
      <c r="F397" s="4" t="inlineStr">
        <is>
          <t>US</t>
        </is>
      </c>
      <c r="G397" s="4" t="inlineStr">
        <is>
          <t>Real Estate</t>
        </is>
      </c>
    </row>
    <row r="398">
      <c r="A398" s="2" t="inlineStr">
        <is>
          <t>TXN_001734</t>
        </is>
      </c>
      <c r="B398" s="2" t="inlineStr">
        <is>
          <t>C_00300</t>
        </is>
      </c>
      <c r="C398" s="2" t="inlineStr">
        <is>
          <t>2026-01-30</t>
        </is>
      </c>
      <c r="D398" s="3" t="n">
        <v>2016.18</v>
      </c>
      <c r="E398" s="2" t="inlineStr">
        <is>
          <t>Card</t>
        </is>
      </c>
      <c r="F398" s="2" t="inlineStr">
        <is>
          <t>US</t>
        </is>
      </c>
      <c r="G398" s="2" t="inlineStr">
        <is>
          <t>Electronics</t>
        </is>
      </c>
    </row>
    <row r="399">
      <c r="A399" s="4" t="inlineStr">
        <is>
          <t>TXN_000395</t>
        </is>
      </c>
      <c r="B399" s="4" t="inlineStr">
        <is>
          <t>C_00192</t>
        </is>
      </c>
      <c r="C399" s="4" t="inlineStr">
        <is>
          <t>2026-01-30</t>
        </is>
      </c>
      <c r="D399" s="5" t="n">
        <v>3727.93</v>
      </c>
      <c r="E399" s="4" t="inlineStr">
        <is>
          <t>Wire Transfer</t>
        </is>
      </c>
      <c r="F399" s="4" t="inlineStr">
        <is>
          <t>US</t>
        </is>
      </c>
      <c r="G399" s="4" t="inlineStr">
        <is>
          <t>Crypto Exchange</t>
        </is>
      </c>
    </row>
    <row r="400">
      <c r="A400" s="2" t="inlineStr">
        <is>
          <t>TXN_000389</t>
        </is>
      </c>
      <c r="B400" s="2" t="inlineStr">
        <is>
          <t>C_00132</t>
        </is>
      </c>
      <c r="C400" s="2" t="inlineStr">
        <is>
          <t>2026-01-30</t>
        </is>
      </c>
      <c r="D400" s="3" t="n">
        <v>2366.47</v>
      </c>
      <c r="E400" s="2" t="inlineStr">
        <is>
          <t>Mobile App</t>
        </is>
      </c>
      <c r="F400" s="2" t="inlineStr">
        <is>
          <t>US</t>
        </is>
      </c>
      <c r="G400" s="2" t="inlineStr">
        <is>
          <t>Food &amp; Beverage</t>
        </is>
      </c>
    </row>
    <row r="401">
      <c r="A401" s="4" t="inlineStr">
        <is>
          <t>TXN_000388</t>
        </is>
      </c>
      <c r="B401" s="4" t="inlineStr">
        <is>
          <t>C_00163</t>
        </is>
      </c>
      <c r="C401" s="4" t="inlineStr">
        <is>
          <t>2026-01-30</t>
        </is>
      </c>
      <c r="D401" s="5" t="n">
        <v>1675.37</v>
      </c>
      <c r="E401" s="4" t="inlineStr">
        <is>
          <t>Cash Deposit</t>
        </is>
      </c>
      <c r="F401" s="4" t="inlineStr">
        <is>
          <t>US</t>
        </is>
      </c>
      <c r="G401" s="4" t="inlineStr">
        <is>
          <t>Crypto Exchange</t>
        </is>
      </c>
    </row>
    <row r="402">
      <c r="A402" s="2" t="inlineStr">
        <is>
          <t>TXN_000387</t>
        </is>
      </c>
      <c r="B402" s="2" t="inlineStr">
        <is>
          <t>C_00093</t>
        </is>
      </c>
      <c r="C402" s="2" t="inlineStr">
        <is>
          <t>2026-01-30</t>
        </is>
      </c>
      <c r="D402" s="3" t="n">
        <v>583.35</v>
      </c>
      <c r="E402" s="2" t="inlineStr">
        <is>
          <t>Wire Transfer</t>
        </is>
      </c>
      <c r="F402" s="2" t="inlineStr">
        <is>
          <t>US</t>
        </is>
      </c>
      <c r="G402" s="2" t="inlineStr">
        <is>
          <t>Auto</t>
        </is>
      </c>
    </row>
    <row r="403">
      <c r="A403" s="4" t="inlineStr">
        <is>
          <t>TXN_000386</t>
        </is>
      </c>
      <c r="B403" s="4" t="inlineStr">
        <is>
          <t>C_00067</t>
        </is>
      </c>
      <c r="C403" s="4" t="inlineStr">
        <is>
          <t>2026-01-30</t>
        </is>
      </c>
      <c r="D403" s="5" t="n">
        <v>46387.35</v>
      </c>
      <c r="E403" s="4" t="inlineStr">
        <is>
          <t>Mobile App</t>
        </is>
      </c>
      <c r="F403" s="4" t="inlineStr">
        <is>
          <t>US</t>
        </is>
      </c>
      <c r="G403" s="4" t="inlineStr">
        <is>
          <t>Electronics</t>
        </is>
      </c>
    </row>
    <row r="404">
      <c r="A404" s="2" t="inlineStr">
        <is>
          <t>TXN_000396</t>
        </is>
      </c>
      <c r="B404" s="2" t="inlineStr">
        <is>
          <t>C_00185</t>
        </is>
      </c>
      <c r="C404" s="2" t="inlineStr">
        <is>
          <t>2026-01-30</t>
        </is>
      </c>
      <c r="D404" s="3" t="n">
        <v>193.45</v>
      </c>
      <c r="E404" s="2" t="inlineStr">
        <is>
          <t>Card</t>
        </is>
      </c>
      <c r="F404" s="2" t="inlineStr">
        <is>
          <t>AE</t>
        </is>
      </c>
      <c r="G404" s="2" t="inlineStr">
        <is>
          <t>Healthcare</t>
        </is>
      </c>
    </row>
    <row r="405">
      <c r="A405" s="4" t="inlineStr">
        <is>
          <t>TXN_000391</t>
        </is>
      </c>
      <c r="B405" s="4" t="inlineStr">
        <is>
          <t>C_00220</t>
        </is>
      </c>
      <c r="C405" s="4" t="inlineStr">
        <is>
          <t>2026-01-30</t>
        </is>
      </c>
      <c r="D405" s="5" t="n">
        <v>8616.120000000001</v>
      </c>
      <c r="E405" s="4" t="inlineStr">
        <is>
          <t>Wire Transfer</t>
        </is>
      </c>
      <c r="F405" s="4" t="inlineStr">
        <is>
          <t>US</t>
        </is>
      </c>
      <c r="G405" s="4" t="inlineStr">
        <is>
          <t>Jewelry</t>
        </is>
      </c>
    </row>
    <row r="406">
      <c r="A406" s="2" t="inlineStr">
        <is>
          <t>TXN_000393</t>
        </is>
      </c>
      <c r="B406" s="2" t="inlineStr">
        <is>
          <t>C_00117</t>
        </is>
      </c>
      <c r="C406" s="2" t="inlineStr">
        <is>
          <t>2026-01-30</t>
        </is>
      </c>
      <c r="D406" s="3" t="n">
        <v>651.33</v>
      </c>
      <c r="E406" s="2" t="inlineStr">
        <is>
          <t>ACH</t>
        </is>
      </c>
      <c r="F406" s="2" t="inlineStr">
        <is>
          <t>RU</t>
        </is>
      </c>
      <c r="G406" s="2" t="inlineStr">
        <is>
          <t>Jewelry</t>
        </is>
      </c>
    </row>
    <row r="407">
      <c r="A407" s="4" t="inlineStr">
        <is>
          <t>TXN_000394</t>
        </is>
      </c>
      <c r="B407" s="4" t="inlineStr">
        <is>
          <t>C_00107</t>
        </is>
      </c>
      <c r="C407" s="4" t="inlineStr">
        <is>
          <t>2026-01-30</t>
        </is>
      </c>
      <c r="D407" s="5" t="n">
        <v>2702.82</v>
      </c>
      <c r="E407" s="4" t="inlineStr">
        <is>
          <t>Wire Transfer</t>
        </is>
      </c>
      <c r="F407" s="4" t="inlineStr">
        <is>
          <t>US</t>
        </is>
      </c>
      <c r="G407" s="4" t="inlineStr">
        <is>
          <t>Travel</t>
        </is>
      </c>
    </row>
    <row r="408">
      <c r="A408" s="2" t="inlineStr">
        <is>
          <t>TXN_000390</t>
        </is>
      </c>
      <c r="B408" s="2" t="inlineStr">
        <is>
          <t>C_00054</t>
        </is>
      </c>
      <c r="C408" s="2" t="inlineStr">
        <is>
          <t>2026-01-30</t>
        </is>
      </c>
      <c r="D408" s="3" t="n">
        <v>4076.45</v>
      </c>
      <c r="E408" s="2" t="inlineStr">
        <is>
          <t>Cash Deposit</t>
        </is>
      </c>
      <c r="F408" s="2" t="inlineStr">
        <is>
          <t>CA</t>
        </is>
      </c>
      <c r="G408" s="2" t="inlineStr">
        <is>
          <t>Jewelry</t>
        </is>
      </c>
    </row>
    <row r="409">
      <c r="A409" s="4" t="inlineStr">
        <is>
          <t>TXN_000392</t>
        </is>
      </c>
      <c r="B409" s="4" t="inlineStr">
        <is>
          <t>C_00278</t>
        </is>
      </c>
      <c r="C409" s="4" t="inlineStr">
        <is>
          <t>2026-01-30</t>
        </is>
      </c>
      <c r="D409" s="5" t="n">
        <v>52848.21</v>
      </c>
      <c r="E409" s="4" t="inlineStr">
        <is>
          <t>Wire Transfer</t>
        </is>
      </c>
      <c r="F409" s="4" t="inlineStr">
        <is>
          <t>NG</t>
        </is>
      </c>
      <c r="G409" s="4" t="inlineStr">
        <is>
          <t>Healthcare</t>
        </is>
      </c>
    </row>
    <row r="410">
      <c r="A410" s="2" t="inlineStr">
        <is>
          <t>TXN_000416</t>
        </is>
      </c>
      <c r="B410" s="2" t="inlineStr">
        <is>
          <t>C_00021</t>
        </is>
      </c>
      <c r="C410" s="2" t="inlineStr">
        <is>
          <t>2026-01-31</t>
        </is>
      </c>
      <c r="D410" s="3" t="n">
        <v>3207.13</v>
      </c>
      <c r="E410" s="2" t="inlineStr">
        <is>
          <t>Wire Transfer</t>
        </is>
      </c>
      <c r="F410" s="2" t="inlineStr">
        <is>
          <t>US</t>
        </is>
      </c>
      <c r="G410" s="2" t="inlineStr">
        <is>
          <t>Travel</t>
        </is>
      </c>
    </row>
    <row r="411">
      <c r="A411" s="4" t="inlineStr">
        <is>
          <t>TXN_000415</t>
        </is>
      </c>
      <c r="B411" s="4" t="inlineStr">
        <is>
          <t>C_00198</t>
        </is>
      </c>
      <c r="C411" s="4" t="inlineStr">
        <is>
          <t>2026-01-31</t>
        </is>
      </c>
      <c r="D411" s="5" t="n">
        <v>104.3</v>
      </c>
      <c r="E411" s="4" t="inlineStr">
        <is>
          <t>Mobile App</t>
        </is>
      </c>
      <c r="F411" s="4" t="inlineStr">
        <is>
          <t>US</t>
        </is>
      </c>
      <c r="G411" s="4" t="inlineStr">
        <is>
          <t>Retail</t>
        </is>
      </c>
    </row>
    <row r="412">
      <c r="A412" s="2" t="inlineStr">
        <is>
          <t>TXN_000414</t>
        </is>
      </c>
      <c r="B412" s="2" t="inlineStr">
        <is>
          <t>C_00046</t>
        </is>
      </c>
      <c r="C412" s="2" t="inlineStr">
        <is>
          <t>2026-01-31</t>
        </is>
      </c>
      <c r="D412" s="3" t="n">
        <v>2692.96</v>
      </c>
      <c r="E412" s="2" t="inlineStr">
        <is>
          <t>ACH</t>
        </is>
      </c>
      <c r="F412" s="2" t="inlineStr">
        <is>
          <t>NG</t>
        </is>
      </c>
      <c r="G412" s="2" t="inlineStr">
        <is>
          <t>Jewelry</t>
        </is>
      </c>
    </row>
    <row r="413">
      <c r="A413" s="4" t="inlineStr">
        <is>
          <t>TXN_000413</t>
        </is>
      </c>
      <c r="B413" s="4" t="inlineStr">
        <is>
          <t>C_00108</t>
        </is>
      </c>
      <c r="C413" s="4" t="inlineStr">
        <is>
          <t>2026-01-31</t>
        </is>
      </c>
      <c r="D413" s="5" t="n">
        <v>4065.02</v>
      </c>
      <c r="E413" s="4" t="inlineStr">
        <is>
          <t>Card</t>
        </is>
      </c>
      <c r="F413" s="4" t="inlineStr">
        <is>
          <t>US</t>
        </is>
      </c>
      <c r="G413" s="4" t="inlineStr">
        <is>
          <t>Jewelry</t>
        </is>
      </c>
    </row>
    <row r="414">
      <c r="A414" s="2" t="inlineStr">
        <is>
          <t>TXN_000404</t>
        </is>
      </c>
      <c r="B414" s="2" t="inlineStr">
        <is>
          <t>C_00029</t>
        </is>
      </c>
      <c r="C414" s="2" t="inlineStr">
        <is>
          <t>2026-01-31</t>
        </is>
      </c>
      <c r="D414" s="3" t="n">
        <v>1832.68</v>
      </c>
      <c r="E414" s="2" t="inlineStr">
        <is>
          <t>Wire Transfer</t>
        </is>
      </c>
      <c r="F414" s="2" t="inlineStr">
        <is>
          <t>US</t>
        </is>
      </c>
      <c r="G414" s="2" t="inlineStr">
        <is>
          <t>Electronics</t>
        </is>
      </c>
    </row>
    <row r="415">
      <c r="A415" s="4" t="inlineStr">
        <is>
          <t>TXN_000411</t>
        </is>
      </c>
      <c r="B415" s="4" t="inlineStr">
        <is>
          <t>C_00081</t>
        </is>
      </c>
      <c r="C415" s="4" t="inlineStr">
        <is>
          <t>2026-01-31</t>
        </is>
      </c>
      <c r="D415" s="5" t="n">
        <v>3264.16</v>
      </c>
      <c r="E415" s="4" t="inlineStr">
        <is>
          <t>ACH</t>
        </is>
      </c>
      <c r="F415" s="4" t="inlineStr">
        <is>
          <t>RU</t>
        </is>
      </c>
      <c r="G415" s="4" t="inlineStr">
        <is>
          <t>Retail</t>
        </is>
      </c>
    </row>
    <row r="416">
      <c r="A416" s="2" t="inlineStr">
        <is>
          <t>TXN_000410</t>
        </is>
      </c>
      <c r="B416" s="2" t="inlineStr">
        <is>
          <t>C_00098</t>
        </is>
      </c>
      <c r="C416" s="2" t="inlineStr">
        <is>
          <t>2026-01-31</t>
        </is>
      </c>
      <c r="D416" s="3" t="n">
        <v>7905</v>
      </c>
      <c r="E416" s="2" t="inlineStr">
        <is>
          <t>ACH</t>
        </is>
      </c>
      <c r="F416" s="2" t="inlineStr">
        <is>
          <t>US</t>
        </is>
      </c>
      <c r="G416" s="2" t="inlineStr">
        <is>
          <t>Money Services</t>
        </is>
      </c>
    </row>
    <row r="417">
      <c r="A417" s="4" t="inlineStr">
        <is>
          <t>TXN_000409</t>
        </is>
      </c>
      <c r="B417" s="4" t="inlineStr">
        <is>
          <t>C_00214</t>
        </is>
      </c>
      <c r="C417" s="4" t="inlineStr">
        <is>
          <t>2026-01-31</t>
        </is>
      </c>
      <c r="D417" s="5" t="n">
        <v>1725.17</v>
      </c>
      <c r="E417" s="4" t="inlineStr">
        <is>
          <t>Wire Transfer</t>
        </is>
      </c>
      <c r="F417" s="4" t="inlineStr">
        <is>
          <t>RU</t>
        </is>
      </c>
      <c r="G417" s="4" t="inlineStr">
        <is>
          <t>Money Services</t>
        </is>
      </c>
    </row>
    <row r="418">
      <c r="A418" s="2" t="inlineStr">
        <is>
          <t>TXN_000405</t>
        </is>
      </c>
      <c r="B418" s="2" t="inlineStr">
        <is>
          <t>C_00254</t>
        </is>
      </c>
      <c r="C418" s="2" t="inlineStr">
        <is>
          <t>2026-01-31</t>
        </is>
      </c>
      <c r="D418" s="3" t="n">
        <v>2020.73</v>
      </c>
      <c r="E418" s="2" t="inlineStr">
        <is>
          <t>Mobile App</t>
        </is>
      </c>
      <c r="F418" s="2" t="inlineStr">
        <is>
          <t>US</t>
        </is>
      </c>
      <c r="G418" s="2" t="inlineStr">
        <is>
          <t>Crypto Exchange</t>
        </is>
      </c>
    </row>
    <row r="419">
      <c r="A419" s="4" t="inlineStr">
        <is>
          <t>TXN_000406</t>
        </is>
      </c>
      <c r="B419" s="4" t="inlineStr">
        <is>
          <t>C_00186</t>
        </is>
      </c>
      <c r="C419" s="4" t="inlineStr">
        <is>
          <t>2026-01-31</t>
        </is>
      </c>
      <c r="D419" s="5" t="n">
        <v>483.19</v>
      </c>
      <c r="E419" s="4" t="inlineStr">
        <is>
          <t>Mobile App</t>
        </is>
      </c>
      <c r="F419" s="4" t="inlineStr">
        <is>
          <t>US</t>
        </is>
      </c>
      <c r="G419" s="4" t="inlineStr">
        <is>
          <t>Retail</t>
        </is>
      </c>
    </row>
    <row r="420">
      <c r="A420" s="2" t="inlineStr">
        <is>
          <t>TXN_000408</t>
        </is>
      </c>
      <c r="B420" s="2" t="inlineStr">
        <is>
          <t>C_00026</t>
        </is>
      </c>
      <c r="C420" s="2" t="inlineStr">
        <is>
          <t>2026-01-31</t>
        </is>
      </c>
      <c r="D420" s="3" t="n">
        <v>385.95</v>
      </c>
      <c r="E420" s="2" t="inlineStr">
        <is>
          <t>Wire Transfer</t>
        </is>
      </c>
      <c r="F420" s="2" t="inlineStr">
        <is>
          <t>RU</t>
        </is>
      </c>
      <c r="G420" s="2" t="inlineStr">
        <is>
          <t>Money Services</t>
        </is>
      </c>
    </row>
    <row r="421">
      <c r="A421" s="4" t="inlineStr">
        <is>
          <t>TXN_000412</t>
        </is>
      </c>
      <c r="B421" s="4" t="inlineStr">
        <is>
          <t>C_00193</t>
        </is>
      </c>
      <c r="C421" s="4" t="inlineStr">
        <is>
          <t>2026-01-31</t>
        </is>
      </c>
      <c r="D421" s="5" t="n">
        <v>1693.16</v>
      </c>
      <c r="E421" s="4" t="inlineStr">
        <is>
          <t>Wire Transfer</t>
        </is>
      </c>
      <c r="F421" s="4" t="inlineStr">
        <is>
          <t>US</t>
        </is>
      </c>
      <c r="G421" s="4" t="inlineStr">
        <is>
          <t>Money Services</t>
        </is>
      </c>
    </row>
    <row r="422">
      <c r="A422" s="2" t="inlineStr">
        <is>
          <t>TXN_000407</t>
        </is>
      </c>
      <c r="B422" s="2" t="inlineStr">
        <is>
          <t>C_00219</t>
        </is>
      </c>
      <c r="C422" s="2" t="inlineStr">
        <is>
          <t>2026-01-31</t>
        </is>
      </c>
      <c r="D422" s="3" t="n">
        <v>24910.3</v>
      </c>
      <c r="E422" s="2" t="inlineStr">
        <is>
          <t>ACH</t>
        </is>
      </c>
      <c r="F422" s="2" t="inlineStr">
        <is>
          <t>AE</t>
        </is>
      </c>
      <c r="G422" s="2" t="inlineStr">
        <is>
          <t>Crypto Exchange</t>
        </is>
      </c>
    </row>
    <row r="423">
      <c r="A423" s="4" t="inlineStr">
        <is>
          <t>TXN_000426</t>
        </is>
      </c>
      <c r="B423" s="4" t="inlineStr">
        <is>
          <t>C_00100</t>
        </is>
      </c>
      <c r="C423" s="4" t="inlineStr">
        <is>
          <t>2026-02-01</t>
        </is>
      </c>
      <c r="D423" s="5" t="n">
        <v>18443.32</v>
      </c>
      <c r="E423" s="4" t="inlineStr">
        <is>
          <t>Card</t>
        </is>
      </c>
      <c r="F423" s="4" t="inlineStr">
        <is>
          <t>US</t>
        </is>
      </c>
      <c r="G423" s="4" t="inlineStr">
        <is>
          <t>Electronics</t>
        </is>
      </c>
    </row>
    <row r="424">
      <c r="A424" s="2" t="inlineStr">
        <is>
          <t>TXN_000424</t>
        </is>
      </c>
      <c r="B424" s="2" t="inlineStr">
        <is>
          <t>C_00219</t>
        </is>
      </c>
      <c r="C424" s="2" t="inlineStr">
        <is>
          <t>2026-02-01</t>
        </is>
      </c>
      <c r="D424" s="3" t="n">
        <v>983.5</v>
      </c>
      <c r="E424" s="2" t="inlineStr">
        <is>
          <t>Mobile App</t>
        </is>
      </c>
      <c r="F424" s="2" t="inlineStr">
        <is>
          <t>US</t>
        </is>
      </c>
      <c r="G424" s="2" t="inlineStr">
        <is>
          <t>Retail</t>
        </is>
      </c>
    </row>
    <row r="425">
      <c r="A425" s="4" t="inlineStr">
        <is>
          <t>TXN_000425</t>
        </is>
      </c>
      <c r="B425" s="4" t="inlineStr">
        <is>
          <t>C_00173</t>
        </is>
      </c>
      <c r="C425" s="4" t="inlineStr">
        <is>
          <t>2026-02-01</t>
        </is>
      </c>
      <c r="D425" s="5" t="n">
        <v>65.68000000000001</v>
      </c>
      <c r="E425" s="4" t="inlineStr">
        <is>
          <t>Mobile App</t>
        </is>
      </c>
      <c r="F425" s="4" t="inlineStr">
        <is>
          <t>CA</t>
        </is>
      </c>
      <c r="G425" s="4" t="inlineStr">
        <is>
          <t>Electronics</t>
        </is>
      </c>
    </row>
    <row r="426">
      <c r="A426" s="2" t="inlineStr">
        <is>
          <t>TXN_000422</t>
        </is>
      </c>
      <c r="B426" s="2" t="inlineStr">
        <is>
          <t>C_00203</t>
        </is>
      </c>
      <c r="C426" s="2" t="inlineStr">
        <is>
          <t>2026-02-01</t>
        </is>
      </c>
      <c r="D426" s="3" t="n">
        <v>3090.21</v>
      </c>
      <c r="E426" s="2" t="inlineStr">
        <is>
          <t>Wire Transfer</t>
        </is>
      </c>
      <c r="F426" s="2" t="inlineStr">
        <is>
          <t>RU</t>
        </is>
      </c>
      <c r="G426" s="2" t="inlineStr">
        <is>
          <t>Retail</t>
        </is>
      </c>
    </row>
    <row r="427">
      <c r="A427" s="4" t="inlineStr">
        <is>
          <t>TXN_000421</t>
        </is>
      </c>
      <c r="B427" s="4" t="inlineStr">
        <is>
          <t>C_00047</t>
        </is>
      </c>
      <c r="C427" s="4" t="inlineStr">
        <is>
          <t>2026-02-01</t>
        </is>
      </c>
      <c r="D427" s="5" t="n">
        <v>4175.49</v>
      </c>
      <c r="E427" s="4" t="inlineStr">
        <is>
          <t>Card</t>
        </is>
      </c>
      <c r="F427" s="4" t="inlineStr">
        <is>
          <t>US</t>
        </is>
      </c>
      <c r="G427" s="4" t="inlineStr">
        <is>
          <t>Real Estate</t>
        </is>
      </c>
    </row>
    <row r="428">
      <c r="A428" s="2" t="inlineStr">
        <is>
          <t>TXN_000420</t>
        </is>
      </c>
      <c r="B428" s="2" t="inlineStr">
        <is>
          <t>C_00064</t>
        </is>
      </c>
      <c r="C428" s="2" t="inlineStr">
        <is>
          <t>2026-02-01</t>
        </is>
      </c>
      <c r="D428" s="3" t="n">
        <v>6808.51</v>
      </c>
      <c r="E428" s="2" t="inlineStr">
        <is>
          <t>ACH</t>
        </is>
      </c>
      <c r="F428" s="2" t="inlineStr">
        <is>
          <t>US</t>
        </is>
      </c>
      <c r="G428" s="2" t="inlineStr">
        <is>
          <t>Food &amp; Beverage</t>
        </is>
      </c>
    </row>
    <row r="429">
      <c r="A429" s="4" t="inlineStr">
        <is>
          <t>TXN_000419</t>
        </is>
      </c>
      <c r="B429" s="4" t="inlineStr">
        <is>
          <t>C_00055</t>
        </is>
      </c>
      <c r="C429" s="4" t="inlineStr">
        <is>
          <t>2026-02-01</t>
        </is>
      </c>
      <c r="D429" s="5" t="n">
        <v>938.38</v>
      </c>
      <c r="E429" s="4" t="inlineStr">
        <is>
          <t>Wire Transfer</t>
        </is>
      </c>
      <c r="F429" s="4" t="inlineStr">
        <is>
          <t>MX</t>
        </is>
      </c>
      <c r="G429" s="4" t="inlineStr">
        <is>
          <t>Jewelry</t>
        </is>
      </c>
    </row>
    <row r="430">
      <c r="A430" s="2" t="inlineStr">
        <is>
          <t>TXN_000418</t>
        </is>
      </c>
      <c r="B430" s="2" t="inlineStr">
        <is>
          <t>C_00229</t>
        </is>
      </c>
      <c r="C430" s="2" t="inlineStr">
        <is>
          <t>2026-02-01</t>
        </is>
      </c>
      <c r="D430" s="3" t="n">
        <v>2105.36</v>
      </c>
      <c r="E430" s="2" t="inlineStr">
        <is>
          <t>Wire Transfer</t>
        </is>
      </c>
      <c r="F430" s="2" t="inlineStr">
        <is>
          <t>US</t>
        </is>
      </c>
      <c r="G430" s="2" t="inlineStr">
        <is>
          <t>Healthcare</t>
        </is>
      </c>
    </row>
    <row r="431">
      <c r="A431" s="4" t="inlineStr">
        <is>
          <t>TXN_000417</t>
        </is>
      </c>
      <c r="B431" s="4" t="inlineStr">
        <is>
          <t>C_00193</t>
        </is>
      </c>
      <c r="C431" s="4" t="inlineStr">
        <is>
          <t>2026-02-01</t>
        </is>
      </c>
      <c r="D431" s="5" t="n">
        <v>2979.89</v>
      </c>
      <c r="E431" s="4" t="inlineStr">
        <is>
          <t>Mobile App</t>
        </is>
      </c>
      <c r="F431" s="4" t="inlineStr">
        <is>
          <t>US</t>
        </is>
      </c>
      <c r="G431" s="4" t="inlineStr">
        <is>
          <t>Retail</t>
        </is>
      </c>
    </row>
    <row r="432">
      <c r="A432" s="2" t="inlineStr">
        <is>
          <t>TXN_000423</t>
        </is>
      </c>
      <c r="B432" s="2" t="inlineStr">
        <is>
          <t>C_00286</t>
        </is>
      </c>
      <c r="C432" s="2" t="inlineStr">
        <is>
          <t>2026-02-01</t>
        </is>
      </c>
      <c r="D432" s="3" t="n">
        <v>7316.84</v>
      </c>
      <c r="E432" s="2" t="inlineStr">
        <is>
          <t>ACH</t>
        </is>
      </c>
      <c r="F432" s="2" t="inlineStr">
        <is>
          <t>US</t>
        </is>
      </c>
      <c r="G432" s="2" t="inlineStr">
        <is>
          <t>Retail</t>
        </is>
      </c>
    </row>
    <row r="433">
      <c r="A433" s="4" t="inlineStr">
        <is>
          <t>TXN_000439</t>
        </is>
      </c>
      <c r="B433" s="4" t="inlineStr">
        <is>
          <t>C_00275</t>
        </is>
      </c>
      <c r="C433" s="4" t="inlineStr">
        <is>
          <t>2026-02-02</t>
        </is>
      </c>
      <c r="D433" s="5" t="n">
        <v>1184.74</v>
      </c>
      <c r="E433" s="4" t="inlineStr">
        <is>
          <t>Mobile App</t>
        </is>
      </c>
      <c r="F433" s="4" t="inlineStr">
        <is>
          <t>US</t>
        </is>
      </c>
      <c r="G433" s="4" t="inlineStr">
        <is>
          <t>Electronics</t>
        </is>
      </c>
    </row>
    <row r="434">
      <c r="A434" s="2" t="inlineStr">
        <is>
          <t>TXN_000444</t>
        </is>
      </c>
      <c r="B434" s="2" t="inlineStr">
        <is>
          <t>C_00270</t>
        </is>
      </c>
      <c r="C434" s="2" t="inlineStr">
        <is>
          <t>2026-02-02</t>
        </is>
      </c>
      <c r="D434" s="3" t="n">
        <v>287.31</v>
      </c>
      <c r="E434" s="2" t="inlineStr">
        <is>
          <t>Card</t>
        </is>
      </c>
      <c r="F434" s="2" t="inlineStr">
        <is>
          <t>CA</t>
        </is>
      </c>
      <c r="G434" s="2" t="inlineStr">
        <is>
          <t>Real Estate</t>
        </is>
      </c>
    </row>
    <row r="435">
      <c r="A435" s="4" t="inlineStr">
        <is>
          <t>TXN_000442</t>
        </is>
      </c>
      <c r="B435" s="4" t="inlineStr">
        <is>
          <t>C_00255</t>
        </is>
      </c>
      <c r="C435" s="4" t="inlineStr">
        <is>
          <t>2026-02-02</t>
        </is>
      </c>
      <c r="D435" s="5" t="n">
        <v>1181.29</v>
      </c>
      <c r="E435" s="4" t="inlineStr">
        <is>
          <t>Wire Transfer</t>
        </is>
      </c>
      <c r="F435" s="4" t="inlineStr">
        <is>
          <t>US</t>
        </is>
      </c>
      <c r="G435" s="4" t="inlineStr">
        <is>
          <t>Money Services</t>
        </is>
      </c>
    </row>
    <row r="436">
      <c r="A436" s="2" t="inlineStr">
        <is>
          <t>TXN_000441</t>
        </is>
      </c>
      <c r="B436" s="2" t="inlineStr">
        <is>
          <t>C_00259</t>
        </is>
      </c>
      <c r="C436" s="2" t="inlineStr">
        <is>
          <t>2026-02-02</t>
        </is>
      </c>
      <c r="D436" s="3" t="n">
        <v>482.61</v>
      </c>
      <c r="E436" s="2" t="inlineStr">
        <is>
          <t>Mobile App</t>
        </is>
      </c>
      <c r="F436" s="2" t="inlineStr">
        <is>
          <t>US</t>
        </is>
      </c>
      <c r="G436" s="2" t="inlineStr">
        <is>
          <t>Food &amp; Beverage</t>
        </is>
      </c>
    </row>
    <row r="437">
      <c r="A437" s="4" t="inlineStr">
        <is>
          <t>TXN_000440</t>
        </is>
      </c>
      <c r="B437" s="4" t="inlineStr">
        <is>
          <t>C_00118</t>
        </is>
      </c>
      <c r="C437" s="4" t="inlineStr">
        <is>
          <t>2026-02-02</t>
        </is>
      </c>
      <c r="D437" s="5" t="n">
        <v>6927.65</v>
      </c>
      <c r="E437" s="4" t="inlineStr">
        <is>
          <t>Wire Transfer</t>
        </is>
      </c>
      <c r="F437" s="4" t="inlineStr">
        <is>
          <t>US</t>
        </is>
      </c>
      <c r="G437" s="4" t="inlineStr">
        <is>
          <t>Electronics</t>
        </is>
      </c>
    </row>
    <row r="438">
      <c r="A438" s="2" t="inlineStr">
        <is>
          <t>TXN_000438</t>
        </is>
      </c>
      <c r="B438" s="2" t="inlineStr">
        <is>
          <t>C_00229</t>
        </is>
      </c>
      <c r="C438" s="2" t="inlineStr">
        <is>
          <t>2026-02-02</t>
        </is>
      </c>
      <c r="D438" s="3" t="n">
        <v>7716.51</v>
      </c>
      <c r="E438" s="2" t="inlineStr">
        <is>
          <t>ACH</t>
        </is>
      </c>
      <c r="F438" s="2" t="inlineStr">
        <is>
          <t>NG</t>
        </is>
      </c>
      <c r="G438" s="2" t="inlineStr">
        <is>
          <t>Healthcare</t>
        </is>
      </c>
    </row>
    <row r="439">
      <c r="A439" s="4" t="inlineStr">
        <is>
          <t>TXN_000443</t>
        </is>
      </c>
      <c r="B439" s="4" t="inlineStr">
        <is>
          <t>C_00036</t>
        </is>
      </c>
      <c r="C439" s="4" t="inlineStr">
        <is>
          <t>2026-02-02</t>
        </is>
      </c>
      <c r="D439" s="5" t="n">
        <v>1902.94</v>
      </c>
      <c r="E439" s="4" t="inlineStr">
        <is>
          <t>Card</t>
        </is>
      </c>
      <c r="F439" s="4" t="inlineStr">
        <is>
          <t>US</t>
        </is>
      </c>
      <c r="G439" s="4" t="inlineStr">
        <is>
          <t>Money Services</t>
        </is>
      </c>
    </row>
    <row r="440">
      <c r="A440" s="2" t="inlineStr">
        <is>
          <t>TXN_000436</t>
        </is>
      </c>
      <c r="B440" s="2" t="inlineStr">
        <is>
          <t>C_00130</t>
        </is>
      </c>
      <c r="C440" s="2" t="inlineStr">
        <is>
          <t>2026-02-02</t>
        </is>
      </c>
      <c r="D440" s="3" t="n">
        <v>3951.49</v>
      </c>
      <c r="E440" s="2" t="inlineStr">
        <is>
          <t>Cash Deposit</t>
        </is>
      </c>
      <c r="F440" s="2" t="inlineStr">
        <is>
          <t>US</t>
        </is>
      </c>
      <c r="G440" s="2" t="inlineStr">
        <is>
          <t>Money Services</t>
        </is>
      </c>
    </row>
    <row r="441">
      <c r="A441" s="4" t="inlineStr">
        <is>
          <t>TXN_000435</t>
        </is>
      </c>
      <c r="B441" s="4" t="inlineStr">
        <is>
          <t>C_00076</t>
        </is>
      </c>
      <c r="C441" s="4" t="inlineStr">
        <is>
          <t>2026-02-02</t>
        </is>
      </c>
      <c r="D441" s="5" t="n">
        <v>1463.17</v>
      </c>
      <c r="E441" s="4" t="inlineStr">
        <is>
          <t>Mobile App</t>
        </is>
      </c>
      <c r="F441" s="4" t="inlineStr">
        <is>
          <t>US</t>
        </is>
      </c>
      <c r="G441" s="4" t="inlineStr">
        <is>
          <t>Food &amp; Beverage</t>
        </is>
      </c>
    </row>
    <row r="442">
      <c r="A442" s="2" t="inlineStr">
        <is>
          <t>TXN_000434</t>
        </is>
      </c>
      <c r="B442" s="2" t="inlineStr">
        <is>
          <t>C_00117</t>
        </is>
      </c>
      <c r="C442" s="2" t="inlineStr">
        <is>
          <t>2026-02-02</t>
        </is>
      </c>
      <c r="D442" s="3" t="n">
        <v>153.59</v>
      </c>
      <c r="E442" s="2" t="inlineStr">
        <is>
          <t>Card</t>
        </is>
      </c>
      <c r="F442" s="2" t="inlineStr">
        <is>
          <t>NG</t>
        </is>
      </c>
      <c r="G442" s="2" t="inlineStr">
        <is>
          <t>Retail</t>
        </is>
      </c>
    </row>
    <row r="443">
      <c r="A443" s="4" t="inlineStr">
        <is>
          <t>TXN_000433</t>
        </is>
      </c>
      <c r="B443" s="4" t="inlineStr">
        <is>
          <t>C_00096</t>
        </is>
      </c>
      <c r="C443" s="4" t="inlineStr">
        <is>
          <t>2026-02-02</t>
        </is>
      </c>
      <c r="D443" s="5" t="n">
        <v>6370.28</v>
      </c>
      <c r="E443" s="4" t="inlineStr">
        <is>
          <t>Wire Transfer</t>
        </is>
      </c>
      <c r="F443" s="4" t="inlineStr">
        <is>
          <t>US</t>
        </is>
      </c>
      <c r="G443" s="4" t="inlineStr">
        <is>
          <t>Retail</t>
        </is>
      </c>
    </row>
    <row r="444">
      <c r="A444" s="2" t="inlineStr">
        <is>
          <t>TXN_000427</t>
        </is>
      </c>
      <c r="B444" s="2" t="inlineStr">
        <is>
          <t>C_00048</t>
        </is>
      </c>
      <c r="C444" s="2" t="inlineStr">
        <is>
          <t>2026-02-02</t>
        </is>
      </c>
      <c r="D444" s="3" t="n">
        <v>3279.17</v>
      </c>
      <c r="E444" s="2" t="inlineStr">
        <is>
          <t>Mobile App</t>
        </is>
      </c>
      <c r="F444" s="2" t="inlineStr">
        <is>
          <t>US</t>
        </is>
      </c>
      <c r="G444" s="2" t="inlineStr">
        <is>
          <t>Crypto Exchange</t>
        </is>
      </c>
    </row>
    <row r="445">
      <c r="A445" s="4" t="inlineStr">
        <is>
          <t>TXN_000432</t>
        </is>
      </c>
      <c r="B445" s="4" t="inlineStr">
        <is>
          <t>C_00180</t>
        </is>
      </c>
      <c r="C445" s="4" t="inlineStr">
        <is>
          <t>2026-02-02</t>
        </is>
      </c>
      <c r="D445" s="5" t="n">
        <v>1002.4</v>
      </c>
      <c r="E445" s="4" t="inlineStr">
        <is>
          <t>Wire Transfer</t>
        </is>
      </c>
      <c r="F445" s="4" t="inlineStr">
        <is>
          <t>US</t>
        </is>
      </c>
      <c r="G445" s="4" t="inlineStr">
        <is>
          <t>Money Services</t>
        </is>
      </c>
    </row>
    <row r="446">
      <c r="A446" s="2" t="inlineStr">
        <is>
          <t>TXN_000428</t>
        </is>
      </c>
      <c r="B446" s="2" t="inlineStr">
        <is>
          <t>C_00252</t>
        </is>
      </c>
      <c r="C446" s="2" t="inlineStr">
        <is>
          <t>2026-02-02</t>
        </is>
      </c>
      <c r="D446" s="3" t="n">
        <v>26403.81</v>
      </c>
      <c r="E446" s="2" t="inlineStr">
        <is>
          <t>Cash Deposit</t>
        </is>
      </c>
      <c r="F446" s="2" t="inlineStr">
        <is>
          <t>US</t>
        </is>
      </c>
      <c r="G446" s="2" t="inlineStr">
        <is>
          <t>Electronics</t>
        </is>
      </c>
    </row>
    <row r="447">
      <c r="A447" s="4" t="inlineStr">
        <is>
          <t>TXN_000429</t>
        </is>
      </c>
      <c r="B447" s="4" t="inlineStr">
        <is>
          <t>C_00140</t>
        </is>
      </c>
      <c r="C447" s="4" t="inlineStr">
        <is>
          <t>2026-02-02</t>
        </is>
      </c>
      <c r="D447" s="5" t="n">
        <v>7103.22</v>
      </c>
      <c r="E447" s="4" t="inlineStr">
        <is>
          <t>ACH</t>
        </is>
      </c>
      <c r="F447" s="4" t="inlineStr">
        <is>
          <t>AE</t>
        </is>
      </c>
      <c r="G447" s="4" t="inlineStr">
        <is>
          <t>Travel</t>
        </is>
      </c>
    </row>
    <row r="448">
      <c r="A448" s="2" t="inlineStr">
        <is>
          <t>TXN_000430</t>
        </is>
      </c>
      <c r="B448" s="2" t="inlineStr">
        <is>
          <t>C_00032</t>
        </is>
      </c>
      <c r="C448" s="2" t="inlineStr">
        <is>
          <t>2026-02-02</t>
        </is>
      </c>
      <c r="D448" s="3" t="n">
        <v>126.04</v>
      </c>
      <c r="E448" s="2" t="inlineStr">
        <is>
          <t>Wire Transfer</t>
        </is>
      </c>
      <c r="F448" s="2" t="inlineStr">
        <is>
          <t>US</t>
        </is>
      </c>
      <c r="G448" s="2" t="inlineStr">
        <is>
          <t>Crypto Exchange</t>
        </is>
      </c>
    </row>
    <row r="449">
      <c r="A449" s="4" t="inlineStr">
        <is>
          <t>TXN_000431</t>
        </is>
      </c>
      <c r="B449" s="4" t="inlineStr">
        <is>
          <t>C_00147</t>
        </is>
      </c>
      <c r="C449" s="4" t="inlineStr">
        <is>
          <t>2026-02-02</t>
        </is>
      </c>
      <c r="D449" s="5" t="n">
        <v>612.45</v>
      </c>
      <c r="E449" s="4" t="inlineStr">
        <is>
          <t>Card</t>
        </is>
      </c>
      <c r="F449" s="4" t="inlineStr">
        <is>
          <t>US</t>
        </is>
      </c>
      <c r="G449" s="4" t="inlineStr">
        <is>
          <t>Travel</t>
        </is>
      </c>
    </row>
    <row r="450">
      <c r="A450" s="2" t="inlineStr">
        <is>
          <t>TXN_000437</t>
        </is>
      </c>
      <c r="B450" s="2" t="inlineStr">
        <is>
          <t>C_00151</t>
        </is>
      </c>
      <c r="C450" s="2" t="inlineStr">
        <is>
          <t>2026-02-02</t>
        </is>
      </c>
      <c r="D450" s="3" t="n">
        <v>436.06</v>
      </c>
      <c r="E450" s="2" t="inlineStr">
        <is>
          <t>Mobile App</t>
        </is>
      </c>
      <c r="F450" s="2" t="inlineStr">
        <is>
          <t>US</t>
        </is>
      </c>
      <c r="G450" s="2" t="inlineStr">
        <is>
          <t>Travel</t>
        </is>
      </c>
    </row>
    <row r="451">
      <c r="A451" s="4" t="inlineStr">
        <is>
          <t>TXN_000459</t>
        </is>
      </c>
      <c r="B451" s="4" t="inlineStr">
        <is>
          <t>C_00200</t>
        </is>
      </c>
      <c r="C451" s="4" t="inlineStr">
        <is>
          <t>2026-02-03</t>
        </is>
      </c>
      <c r="D451" s="5" t="n">
        <v>4832.95</v>
      </c>
      <c r="E451" s="4" t="inlineStr">
        <is>
          <t>ACH</t>
        </is>
      </c>
      <c r="F451" s="4" t="inlineStr">
        <is>
          <t>RU</t>
        </is>
      </c>
      <c r="G451" s="4" t="inlineStr">
        <is>
          <t>Jewelry</t>
        </is>
      </c>
    </row>
    <row r="452">
      <c r="A452" s="2" t="inlineStr">
        <is>
          <t>TXN_000458</t>
        </is>
      </c>
      <c r="B452" s="2" t="inlineStr">
        <is>
          <t>C_00291</t>
        </is>
      </c>
      <c r="C452" s="2" t="inlineStr">
        <is>
          <t>2026-02-03</t>
        </is>
      </c>
      <c r="D452" s="3" t="n">
        <v>1966.75</v>
      </c>
      <c r="E452" s="2" t="inlineStr">
        <is>
          <t>Mobile App</t>
        </is>
      </c>
      <c r="F452" s="2" t="inlineStr">
        <is>
          <t>CN</t>
        </is>
      </c>
      <c r="G452" s="2" t="inlineStr">
        <is>
          <t>Electronics</t>
        </is>
      </c>
    </row>
    <row r="453">
      <c r="A453" s="4" t="inlineStr">
        <is>
          <t>TXN_000457</t>
        </is>
      </c>
      <c r="B453" s="4" t="inlineStr">
        <is>
          <t>C_00245</t>
        </is>
      </c>
      <c r="C453" s="4" t="inlineStr">
        <is>
          <t>2026-02-03</t>
        </is>
      </c>
      <c r="D453" s="5" t="n">
        <v>555.73</v>
      </c>
      <c r="E453" s="4" t="inlineStr">
        <is>
          <t>Mobile App</t>
        </is>
      </c>
      <c r="F453" s="4" t="inlineStr">
        <is>
          <t>US</t>
        </is>
      </c>
      <c r="G453" s="4" t="inlineStr">
        <is>
          <t>Jewelry</t>
        </is>
      </c>
    </row>
    <row r="454">
      <c r="A454" s="2" t="inlineStr">
        <is>
          <t>TXN_000456</t>
        </is>
      </c>
      <c r="B454" s="2" t="inlineStr">
        <is>
          <t>C_00084</t>
        </is>
      </c>
      <c r="C454" s="2" t="inlineStr">
        <is>
          <t>2026-02-03</t>
        </is>
      </c>
      <c r="D454" s="3" t="n">
        <v>532.73</v>
      </c>
      <c r="E454" s="2" t="inlineStr">
        <is>
          <t>ACH</t>
        </is>
      </c>
      <c r="F454" s="2" t="inlineStr">
        <is>
          <t>US</t>
        </is>
      </c>
      <c r="G454" s="2" t="inlineStr">
        <is>
          <t>Real Estate</t>
        </is>
      </c>
    </row>
    <row r="455">
      <c r="A455" s="4" t="inlineStr">
        <is>
          <t>TXN_000455</t>
        </is>
      </c>
      <c r="B455" s="4" t="inlineStr">
        <is>
          <t>C_00278</t>
        </is>
      </c>
      <c r="C455" s="4" t="inlineStr">
        <is>
          <t>2026-02-03</t>
        </is>
      </c>
      <c r="D455" s="5" t="n">
        <v>1771.88</v>
      </c>
      <c r="E455" s="4" t="inlineStr">
        <is>
          <t>Mobile App</t>
        </is>
      </c>
      <c r="F455" s="4" t="inlineStr">
        <is>
          <t>US</t>
        </is>
      </c>
      <c r="G455" s="4" t="inlineStr">
        <is>
          <t>Travel</t>
        </is>
      </c>
    </row>
    <row r="456">
      <c r="A456" s="2" t="inlineStr">
        <is>
          <t>TXN_000453</t>
        </is>
      </c>
      <c r="B456" s="2" t="inlineStr">
        <is>
          <t>C_00255</t>
        </is>
      </c>
      <c r="C456" s="2" t="inlineStr">
        <is>
          <t>2026-02-03</t>
        </is>
      </c>
      <c r="D456" s="3" t="n">
        <v>193.75</v>
      </c>
      <c r="E456" s="2" t="inlineStr">
        <is>
          <t>Mobile App</t>
        </is>
      </c>
      <c r="F456" s="2" t="inlineStr">
        <is>
          <t>US</t>
        </is>
      </c>
      <c r="G456" s="2" t="inlineStr">
        <is>
          <t>Electronics</t>
        </is>
      </c>
    </row>
    <row r="457">
      <c r="A457" s="4" t="inlineStr">
        <is>
          <t>TXN_000454</t>
        </is>
      </c>
      <c r="B457" s="4" t="inlineStr">
        <is>
          <t>C_00113</t>
        </is>
      </c>
      <c r="C457" s="4" t="inlineStr">
        <is>
          <t>2026-02-03</t>
        </is>
      </c>
      <c r="D457" s="5" t="n">
        <v>2040.86</v>
      </c>
      <c r="E457" s="4" t="inlineStr">
        <is>
          <t>Wire Transfer</t>
        </is>
      </c>
      <c r="F457" s="4" t="inlineStr">
        <is>
          <t>US</t>
        </is>
      </c>
      <c r="G457" s="4" t="inlineStr">
        <is>
          <t>Food &amp; Beverage</t>
        </is>
      </c>
    </row>
    <row r="458">
      <c r="A458" s="2" t="inlineStr">
        <is>
          <t>TXN_000446</t>
        </is>
      </c>
      <c r="B458" s="2" t="inlineStr">
        <is>
          <t>C_00214</t>
        </is>
      </c>
      <c r="C458" s="2" t="inlineStr">
        <is>
          <t>2026-02-03</t>
        </is>
      </c>
      <c r="D458" s="3" t="n">
        <v>623.3099999999999</v>
      </c>
      <c r="E458" s="2" t="inlineStr">
        <is>
          <t>Cash Deposit</t>
        </is>
      </c>
      <c r="F458" s="2" t="inlineStr">
        <is>
          <t>US</t>
        </is>
      </c>
      <c r="G458" s="2" t="inlineStr">
        <is>
          <t>Electronics</t>
        </is>
      </c>
    </row>
    <row r="459">
      <c r="A459" s="4" t="inlineStr">
        <is>
          <t>TXN_000447</t>
        </is>
      </c>
      <c r="B459" s="4" t="inlineStr">
        <is>
          <t>C_00155</t>
        </is>
      </c>
      <c r="C459" s="4" t="inlineStr">
        <is>
          <t>2026-02-03</t>
        </is>
      </c>
      <c r="D459" s="5" t="n">
        <v>834.6</v>
      </c>
      <c r="E459" s="4" t="inlineStr">
        <is>
          <t>Cash Deposit</t>
        </is>
      </c>
      <c r="F459" s="4" t="inlineStr">
        <is>
          <t>AE</t>
        </is>
      </c>
      <c r="G459" s="4" t="inlineStr">
        <is>
          <t>Electronics</t>
        </is>
      </c>
    </row>
    <row r="460">
      <c r="A460" s="2" t="inlineStr">
        <is>
          <t>TXN_000448</t>
        </is>
      </c>
      <c r="B460" s="2" t="inlineStr">
        <is>
          <t>C_00195</t>
        </is>
      </c>
      <c r="C460" s="2" t="inlineStr">
        <is>
          <t>2026-02-03</t>
        </is>
      </c>
      <c r="D460" s="3" t="n">
        <v>2533.63</v>
      </c>
      <c r="E460" s="2" t="inlineStr">
        <is>
          <t>Card</t>
        </is>
      </c>
      <c r="F460" s="2" t="inlineStr">
        <is>
          <t>US</t>
        </is>
      </c>
      <c r="G460" s="2" t="inlineStr">
        <is>
          <t>Money Services</t>
        </is>
      </c>
    </row>
    <row r="461">
      <c r="A461" s="4" t="inlineStr">
        <is>
          <t>TXN_000445</t>
        </is>
      </c>
      <c r="B461" s="4" t="inlineStr">
        <is>
          <t>C_00209</t>
        </is>
      </c>
      <c r="C461" s="4" t="inlineStr">
        <is>
          <t>2026-02-03</t>
        </is>
      </c>
      <c r="D461" s="5" t="n">
        <v>171.91</v>
      </c>
      <c r="E461" s="4" t="inlineStr">
        <is>
          <t>Card</t>
        </is>
      </c>
      <c r="F461" s="4" t="inlineStr">
        <is>
          <t>CA</t>
        </is>
      </c>
      <c r="G461" s="4" t="inlineStr">
        <is>
          <t>Food &amp; Beverage</t>
        </is>
      </c>
    </row>
    <row r="462">
      <c r="A462" s="2" t="inlineStr">
        <is>
          <t>TXN_000450</t>
        </is>
      </c>
      <c r="B462" s="2" t="inlineStr">
        <is>
          <t>C_00257</t>
        </is>
      </c>
      <c r="C462" s="2" t="inlineStr">
        <is>
          <t>2026-02-03</t>
        </is>
      </c>
      <c r="D462" s="3" t="n">
        <v>104.94</v>
      </c>
      <c r="E462" s="2" t="inlineStr">
        <is>
          <t>Cash Deposit</t>
        </is>
      </c>
      <c r="F462" s="2" t="inlineStr">
        <is>
          <t>NG</t>
        </is>
      </c>
      <c r="G462" s="2" t="inlineStr">
        <is>
          <t>Crypto Exchange</t>
        </is>
      </c>
    </row>
    <row r="463">
      <c r="A463" s="4" t="inlineStr">
        <is>
          <t>TXN_000451</t>
        </is>
      </c>
      <c r="B463" s="4" t="inlineStr">
        <is>
          <t>C_00132</t>
        </is>
      </c>
      <c r="C463" s="4" t="inlineStr">
        <is>
          <t>2026-02-03</t>
        </is>
      </c>
      <c r="D463" s="5" t="n">
        <v>234.31</v>
      </c>
      <c r="E463" s="4" t="inlineStr">
        <is>
          <t>Cash Deposit</t>
        </is>
      </c>
      <c r="F463" s="4" t="inlineStr">
        <is>
          <t>US</t>
        </is>
      </c>
      <c r="G463" s="4" t="inlineStr">
        <is>
          <t>Money Services</t>
        </is>
      </c>
    </row>
    <row r="464">
      <c r="A464" s="2" t="inlineStr">
        <is>
          <t>TXN_000452</t>
        </is>
      </c>
      <c r="B464" s="2" t="inlineStr">
        <is>
          <t>C_00127</t>
        </is>
      </c>
      <c r="C464" s="2" t="inlineStr">
        <is>
          <t>2026-02-03</t>
        </is>
      </c>
      <c r="D464" s="3" t="n">
        <v>739.53</v>
      </c>
      <c r="E464" s="2" t="inlineStr">
        <is>
          <t>Cash Deposit</t>
        </is>
      </c>
      <c r="F464" s="2" t="inlineStr">
        <is>
          <t>US</t>
        </is>
      </c>
      <c r="G464" s="2" t="inlineStr">
        <is>
          <t>Real Estate</t>
        </is>
      </c>
    </row>
    <row r="465">
      <c r="A465" s="4" t="inlineStr">
        <is>
          <t>TXN_000449</t>
        </is>
      </c>
      <c r="B465" s="4" t="inlineStr">
        <is>
          <t>C_00286</t>
        </is>
      </c>
      <c r="C465" s="4" t="inlineStr">
        <is>
          <t>2026-02-03</t>
        </is>
      </c>
      <c r="D465" s="5" t="n">
        <v>639.62</v>
      </c>
      <c r="E465" s="4" t="inlineStr">
        <is>
          <t>Cash Deposit</t>
        </is>
      </c>
      <c r="F465" s="4" t="inlineStr">
        <is>
          <t>AE</t>
        </is>
      </c>
      <c r="G465" s="4" t="inlineStr">
        <is>
          <t>Food &amp; Beverage</t>
        </is>
      </c>
    </row>
    <row r="466">
      <c r="A466" s="2" t="inlineStr">
        <is>
          <t>TXN_000475</t>
        </is>
      </c>
      <c r="B466" s="2" t="inlineStr">
        <is>
          <t>C_00111</t>
        </is>
      </c>
      <c r="C466" s="2" t="inlineStr">
        <is>
          <t>2026-02-04</t>
        </is>
      </c>
      <c r="D466" s="3" t="n">
        <v>878.53</v>
      </c>
      <c r="E466" s="2" t="inlineStr">
        <is>
          <t>ACH</t>
        </is>
      </c>
      <c r="F466" s="2" t="inlineStr">
        <is>
          <t>RU</t>
        </is>
      </c>
      <c r="G466" s="2" t="inlineStr">
        <is>
          <t>Retail</t>
        </is>
      </c>
    </row>
    <row r="467">
      <c r="A467" s="4" t="inlineStr">
        <is>
          <t>TXN_000481</t>
        </is>
      </c>
      <c r="B467" s="4" t="inlineStr">
        <is>
          <t>C_00199</t>
        </is>
      </c>
      <c r="C467" s="4" t="inlineStr">
        <is>
          <t>2026-02-04</t>
        </is>
      </c>
      <c r="D467" s="5" t="n">
        <v>1465.63</v>
      </c>
      <c r="E467" s="4" t="inlineStr">
        <is>
          <t>Mobile App</t>
        </is>
      </c>
      <c r="F467" s="4" t="inlineStr">
        <is>
          <t>US</t>
        </is>
      </c>
      <c r="G467" s="4" t="inlineStr">
        <is>
          <t>Food &amp; Beverage</t>
        </is>
      </c>
    </row>
    <row r="468">
      <c r="A468" s="2" t="inlineStr">
        <is>
          <t>TXN_000480</t>
        </is>
      </c>
      <c r="B468" s="2" t="inlineStr">
        <is>
          <t>C_00078</t>
        </is>
      </c>
      <c r="C468" s="2" t="inlineStr">
        <is>
          <t>2026-02-04</t>
        </is>
      </c>
      <c r="D468" s="3" t="n">
        <v>7171.77</v>
      </c>
      <c r="E468" s="2" t="inlineStr">
        <is>
          <t>Wire Transfer</t>
        </is>
      </c>
      <c r="F468" s="2" t="inlineStr">
        <is>
          <t>US</t>
        </is>
      </c>
      <c r="G468" s="2" t="inlineStr">
        <is>
          <t>Jewelry</t>
        </is>
      </c>
    </row>
    <row r="469">
      <c r="A469" s="4" t="inlineStr">
        <is>
          <t>TXN_000479</t>
        </is>
      </c>
      <c r="B469" s="4" t="inlineStr">
        <is>
          <t>C_00223</t>
        </is>
      </c>
      <c r="C469" s="4" t="inlineStr">
        <is>
          <t>2026-02-04</t>
        </is>
      </c>
      <c r="D469" s="5" t="n">
        <v>1662.35</v>
      </c>
      <c r="E469" s="4" t="inlineStr">
        <is>
          <t>Wire Transfer</t>
        </is>
      </c>
      <c r="F469" s="4" t="inlineStr">
        <is>
          <t>CN</t>
        </is>
      </c>
      <c r="G469" s="4" t="inlineStr">
        <is>
          <t>Jewelry</t>
        </is>
      </c>
    </row>
    <row r="470">
      <c r="A470" s="2" t="inlineStr">
        <is>
          <t>TXN_000478</t>
        </is>
      </c>
      <c r="B470" s="2" t="inlineStr">
        <is>
          <t>C_00245</t>
        </is>
      </c>
      <c r="C470" s="2" t="inlineStr">
        <is>
          <t>2026-02-04</t>
        </is>
      </c>
      <c r="D470" s="3" t="n">
        <v>1398.9</v>
      </c>
      <c r="E470" s="2" t="inlineStr">
        <is>
          <t>Mobile App</t>
        </is>
      </c>
      <c r="F470" s="2" t="inlineStr">
        <is>
          <t>US</t>
        </is>
      </c>
      <c r="G470" s="2" t="inlineStr">
        <is>
          <t>Auto</t>
        </is>
      </c>
    </row>
    <row r="471">
      <c r="A471" s="4" t="inlineStr">
        <is>
          <t>TXN_000477</t>
        </is>
      </c>
      <c r="B471" s="4" t="inlineStr">
        <is>
          <t>C_00154</t>
        </is>
      </c>
      <c r="C471" s="4" t="inlineStr">
        <is>
          <t>2026-02-04</t>
        </is>
      </c>
      <c r="D471" s="5" t="n">
        <v>3520.25</v>
      </c>
      <c r="E471" s="4" t="inlineStr">
        <is>
          <t>Mobile App</t>
        </is>
      </c>
      <c r="F471" s="4" t="inlineStr">
        <is>
          <t>US</t>
        </is>
      </c>
      <c r="G471" s="4" t="inlineStr">
        <is>
          <t>Crypto Exchange</t>
        </is>
      </c>
    </row>
    <row r="472">
      <c r="A472" s="2" t="inlineStr">
        <is>
          <t>TXN_000476</t>
        </is>
      </c>
      <c r="B472" s="2" t="inlineStr">
        <is>
          <t>C_00043</t>
        </is>
      </c>
      <c r="C472" s="2" t="inlineStr">
        <is>
          <t>2026-02-04</t>
        </is>
      </c>
      <c r="D472" s="3" t="n">
        <v>2097.47</v>
      </c>
      <c r="E472" s="2" t="inlineStr">
        <is>
          <t>Mobile App</t>
        </is>
      </c>
      <c r="F472" s="2" t="inlineStr">
        <is>
          <t>CN</t>
        </is>
      </c>
      <c r="G472" s="2" t="inlineStr">
        <is>
          <t>Electronics</t>
        </is>
      </c>
    </row>
    <row r="473">
      <c r="A473" s="4" t="inlineStr">
        <is>
          <t>TXN_000474</t>
        </is>
      </c>
      <c r="B473" s="4" t="inlineStr">
        <is>
          <t>C_00193</t>
        </is>
      </c>
      <c r="C473" s="4" t="inlineStr">
        <is>
          <t>2026-02-04</t>
        </is>
      </c>
      <c r="D473" s="5" t="n">
        <v>11226.59</v>
      </c>
      <c r="E473" s="4" t="inlineStr">
        <is>
          <t>Card</t>
        </is>
      </c>
      <c r="F473" s="4" t="inlineStr">
        <is>
          <t>US</t>
        </is>
      </c>
      <c r="G473" s="4" t="inlineStr">
        <is>
          <t>Electronics</t>
        </is>
      </c>
    </row>
    <row r="474">
      <c r="A474" s="2" t="inlineStr">
        <is>
          <t>TXN_000467</t>
        </is>
      </c>
      <c r="B474" s="2" t="inlineStr">
        <is>
          <t>C_00168</t>
        </is>
      </c>
      <c r="C474" s="2" t="inlineStr">
        <is>
          <t>2026-02-04</t>
        </is>
      </c>
      <c r="D474" s="3" t="n">
        <v>15991.82</v>
      </c>
      <c r="E474" s="2" t="inlineStr">
        <is>
          <t>Wire Transfer</t>
        </is>
      </c>
      <c r="F474" s="2" t="inlineStr">
        <is>
          <t>US</t>
        </is>
      </c>
      <c r="G474" s="2" t="inlineStr">
        <is>
          <t>Electronics</t>
        </is>
      </c>
    </row>
    <row r="475">
      <c r="A475" s="4" t="inlineStr">
        <is>
          <t>TXN_000472</t>
        </is>
      </c>
      <c r="B475" s="4" t="inlineStr">
        <is>
          <t>C_00233</t>
        </is>
      </c>
      <c r="C475" s="4" t="inlineStr">
        <is>
          <t>2026-02-04</t>
        </is>
      </c>
      <c r="D475" s="5" t="n">
        <v>936.65</v>
      </c>
      <c r="E475" s="4" t="inlineStr">
        <is>
          <t>Mobile App</t>
        </is>
      </c>
      <c r="F475" s="4" t="inlineStr">
        <is>
          <t>NG</t>
        </is>
      </c>
      <c r="G475" s="4" t="inlineStr">
        <is>
          <t>Crypto Exchange</t>
        </is>
      </c>
    </row>
    <row r="476">
      <c r="A476" s="2" t="inlineStr">
        <is>
          <t>TXN_000471</t>
        </is>
      </c>
      <c r="B476" s="2" t="inlineStr">
        <is>
          <t>C_00283</t>
        </is>
      </c>
      <c r="C476" s="2" t="inlineStr">
        <is>
          <t>2026-02-04</t>
        </is>
      </c>
      <c r="D476" s="3" t="n">
        <v>6692.83</v>
      </c>
      <c r="E476" s="2" t="inlineStr">
        <is>
          <t>ACH</t>
        </is>
      </c>
      <c r="F476" s="2" t="inlineStr">
        <is>
          <t>US</t>
        </is>
      </c>
      <c r="G476" s="2" t="inlineStr">
        <is>
          <t>Jewelry</t>
        </is>
      </c>
    </row>
    <row r="477">
      <c r="A477" s="4" t="inlineStr">
        <is>
          <t>TXN_000470</t>
        </is>
      </c>
      <c r="B477" s="4" t="inlineStr">
        <is>
          <t>C_00269</t>
        </is>
      </c>
      <c r="C477" s="4" t="inlineStr">
        <is>
          <t>2026-02-04</t>
        </is>
      </c>
      <c r="D477" s="5" t="n">
        <v>4809.65</v>
      </c>
      <c r="E477" s="4" t="inlineStr">
        <is>
          <t>ACH</t>
        </is>
      </c>
      <c r="F477" s="4" t="inlineStr">
        <is>
          <t>MX</t>
        </is>
      </c>
      <c r="G477" s="4" t="inlineStr">
        <is>
          <t>Food &amp; Beverage</t>
        </is>
      </c>
    </row>
    <row r="478">
      <c r="A478" s="2" t="inlineStr">
        <is>
          <t>TXN_000469</t>
        </is>
      </c>
      <c r="B478" s="2" t="inlineStr">
        <is>
          <t>C_00021</t>
        </is>
      </c>
      <c r="C478" s="2" t="inlineStr">
        <is>
          <t>2026-02-04</t>
        </is>
      </c>
      <c r="D478" s="3" t="n">
        <v>9445.4</v>
      </c>
      <c r="E478" s="2" t="inlineStr">
        <is>
          <t>Cash Deposit</t>
        </is>
      </c>
      <c r="F478" s="2" t="inlineStr">
        <is>
          <t>US</t>
        </is>
      </c>
      <c r="G478" s="2" t="inlineStr">
        <is>
          <t>Travel</t>
        </is>
      </c>
    </row>
    <row r="479">
      <c r="A479" s="4" t="inlineStr">
        <is>
          <t>TXN_000468</t>
        </is>
      </c>
      <c r="B479" s="4" t="inlineStr">
        <is>
          <t>C_00061</t>
        </is>
      </c>
      <c r="C479" s="4" t="inlineStr">
        <is>
          <t>2026-02-04</t>
        </is>
      </c>
      <c r="D479" s="5" t="n">
        <v>1603.02</v>
      </c>
      <c r="E479" s="4" t="inlineStr">
        <is>
          <t>ACH</t>
        </is>
      </c>
      <c r="F479" s="4" t="inlineStr">
        <is>
          <t>US</t>
        </is>
      </c>
      <c r="G479" s="4" t="inlineStr">
        <is>
          <t>Electronics</t>
        </is>
      </c>
    </row>
    <row r="480">
      <c r="A480" s="2" t="inlineStr">
        <is>
          <t>TXN_000460</t>
        </is>
      </c>
      <c r="B480" s="2" t="inlineStr">
        <is>
          <t>C_00257</t>
        </is>
      </c>
      <c r="C480" s="2" t="inlineStr">
        <is>
          <t>2026-02-04</t>
        </is>
      </c>
      <c r="D480" s="3" t="n">
        <v>3461.15</v>
      </c>
      <c r="E480" s="2" t="inlineStr">
        <is>
          <t>Wire Transfer</t>
        </is>
      </c>
      <c r="F480" s="2" t="inlineStr">
        <is>
          <t>CN</t>
        </is>
      </c>
      <c r="G480" s="2" t="inlineStr">
        <is>
          <t>Healthcare</t>
        </is>
      </c>
    </row>
    <row r="481">
      <c r="A481" s="4" t="inlineStr">
        <is>
          <t>TXN_000466</t>
        </is>
      </c>
      <c r="B481" s="4" t="inlineStr">
        <is>
          <t>C_00092</t>
        </is>
      </c>
      <c r="C481" s="4" t="inlineStr">
        <is>
          <t>2026-02-04</t>
        </is>
      </c>
      <c r="D481" s="5" t="n">
        <v>157.91</v>
      </c>
      <c r="E481" s="4" t="inlineStr">
        <is>
          <t>Card</t>
        </is>
      </c>
      <c r="F481" s="4" t="inlineStr">
        <is>
          <t>CN</t>
        </is>
      </c>
      <c r="G481" s="4" t="inlineStr">
        <is>
          <t>Crypto Exchange</t>
        </is>
      </c>
    </row>
    <row r="482">
      <c r="A482" s="2" t="inlineStr">
        <is>
          <t>TXN_000465</t>
        </is>
      </c>
      <c r="B482" s="2" t="inlineStr">
        <is>
          <t>C_00142</t>
        </is>
      </c>
      <c r="C482" s="2" t="inlineStr">
        <is>
          <t>2026-02-04</t>
        </is>
      </c>
      <c r="D482" s="3" t="n">
        <v>2679.26</v>
      </c>
      <c r="E482" s="2" t="inlineStr">
        <is>
          <t>Wire Transfer</t>
        </is>
      </c>
      <c r="F482" s="2" t="inlineStr">
        <is>
          <t>US</t>
        </is>
      </c>
      <c r="G482" s="2" t="inlineStr">
        <is>
          <t>Healthcare</t>
        </is>
      </c>
    </row>
    <row r="483">
      <c r="A483" s="4" t="inlineStr">
        <is>
          <t>TXN_000464</t>
        </is>
      </c>
      <c r="B483" s="4" t="inlineStr">
        <is>
          <t>C_00132</t>
        </is>
      </c>
      <c r="C483" s="4" t="inlineStr">
        <is>
          <t>2026-02-04</t>
        </is>
      </c>
      <c r="D483" s="5" t="n">
        <v>4001.15</v>
      </c>
      <c r="E483" s="4" t="inlineStr">
        <is>
          <t>Cash Deposit</t>
        </is>
      </c>
      <c r="F483" s="4" t="inlineStr">
        <is>
          <t>AE</t>
        </is>
      </c>
      <c r="G483" s="4" t="inlineStr">
        <is>
          <t>Crypto Exchange</t>
        </is>
      </c>
    </row>
    <row r="484">
      <c r="A484" s="2" t="inlineStr">
        <is>
          <t>TXN_000473</t>
        </is>
      </c>
      <c r="B484" s="2" t="inlineStr">
        <is>
          <t>C_ORPHAN_005</t>
        </is>
      </c>
      <c r="C484" s="2" t="inlineStr">
        <is>
          <t>2026-02-04</t>
        </is>
      </c>
      <c r="D484" s="3" t="n">
        <v>6065.68</v>
      </c>
      <c r="E484" s="2" t="inlineStr">
        <is>
          <t>ACH</t>
        </is>
      </c>
      <c r="F484" s="2" t="inlineStr">
        <is>
          <t>US</t>
        </is>
      </c>
      <c r="G484" s="2" t="inlineStr">
        <is>
          <t>Retail</t>
        </is>
      </c>
    </row>
    <row r="485">
      <c r="A485" s="4" t="inlineStr">
        <is>
          <t>TXN_000463</t>
        </is>
      </c>
      <c r="B485" s="4" t="inlineStr">
        <is>
          <t>C_00026</t>
        </is>
      </c>
      <c r="C485" s="4" t="inlineStr">
        <is>
          <t>2026-02-04</t>
        </is>
      </c>
      <c r="D485" s="5" t="n">
        <v>777.97</v>
      </c>
      <c r="E485" s="4" t="inlineStr">
        <is>
          <t>ACH</t>
        </is>
      </c>
      <c r="F485" s="4" t="inlineStr">
        <is>
          <t>US</t>
        </is>
      </c>
      <c r="G485" s="4" t="inlineStr">
        <is>
          <t>Travel</t>
        </is>
      </c>
    </row>
    <row r="486">
      <c r="A486" s="2" t="inlineStr">
        <is>
          <t>TXN_000462</t>
        </is>
      </c>
      <c r="B486" s="2" t="inlineStr">
        <is>
          <t>C_00092</t>
        </is>
      </c>
      <c r="C486" s="2" t="inlineStr">
        <is>
          <t>2026-02-04</t>
        </is>
      </c>
      <c r="D486" s="3" t="n">
        <v>398.9</v>
      </c>
      <c r="E486" s="2" t="inlineStr">
        <is>
          <t>Wire Transfer</t>
        </is>
      </c>
      <c r="F486" s="2" t="inlineStr">
        <is>
          <t>US</t>
        </is>
      </c>
      <c r="G486" s="2" t="inlineStr">
        <is>
          <t>Auto</t>
        </is>
      </c>
    </row>
    <row r="487">
      <c r="A487" s="4" t="inlineStr">
        <is>
          <t>TXN_000461</t>
        </is>
      </c>
      <c r="B487" s="4" t="inlineStr">
        <is>
          <t>C_00239</t>
        </is>
      </c>
      <c r="C487" s="4" t="inlineStr">
        <is>
          <t>2026-02-04</t>
        </is>
      </c>
      <c r="D487" s="5" t="n">
        <v>5973.73</v>
      </c>
      <c r="E487" s="4" t="inlineStr">
        <is>
          <t>Card</t>
        </is>
      </c>
      <c r="F487" s="4" t="inlineStr">
        <is>
          <t>RU</t>
        </is>
      </c>
      <c r="G487" s="4" t="inlineStr">
        <is>
          <t>Jewelry</t>
        </is>
      </c>
    </row>
    <row r="488">
      <c r="A488" s="2" t="inlineStr">
        <is>
          <t>TXN_000493</t>
        </is>
      </c>
      <c r="B488" s="2" t="inlineStr">
        <is>
          <t>C_00252</t>
        </is>
      </c>
      <c r="C488" s="2" t="inlineStr">
        <is>
          <t>2026-02-05</t>
        </is>
      </c>
      <c r="D488" s="3" t="n">
        <v>2718.32</v>
      </c>
      <c r="E488" s="2" t="inlineStr">
        <is>
          <t>Card</t>
        </is>
      </c>
      <c r="F488" s="2" t="inlineStr">
        <is>
          <t>US</t>
        </is>
      </c>
      <c r="G488" s="2" t="inlineStr">
        <is>
          <t>Auto</t>
        </is>
      </c>
    </row>
    <row r="489">
      <c r="A489" s="4" t="inlineStr">
        <is>
          <t>TXN_000492</t>
        </is>
      </c>
      <c r="B489" s="4" t="inlineStr">
        <is>
          <t>C_00193</t>
        </is>
      </c>
      <c r="C489" s="4" t="inlineStr">
        <is>
          <t>2026-02-05</t>
        </is>
      </c>
      <c r="D489" s="5" t="n">
        <v>9384.459999999999</v>
      </c>
      <c r="E489" s="4" t="inlineStr">
        <is>
          <t>ACH</t>
        </is>
      </c>
      <c r="F489" s="4" t="inlineStr">
        <is>
          <t>US</t>
        </is>
      </c>
      <c r="G489" s="4" t="inlineStr">
        <is>
          <t>Food &amp; Beverage</t>
        </is>
      </c>
    </row>
    <row r="490">
      <c r="A490" s="2" t="inlineStr">
        <is>
          <t>TXN_000491</t>
        </is>
      </c>
      <c r="B490" s="2" t="inlineStr">
        <is>
          <t>C_00173</t>
        </is>
      </c>
      <c r="C490" s="2" t="inlineStr">
        <is>
          <t>2026-02-05</t>
        </is>
      </c>
      <c r="D490" s="3" t="n">
        <v>2857</v>
      </c>
      <c r="E490" s="2" t="inlineStr">
        <is>
          <t>Card</t>
        </is>
      </c>
      <c r="F490" s="2" t="inlineStr">
        <is>
          <t>US</t>
        </is>
      </c>
      <c r="G490" s="2" t="inlineStr">
        <is>
          <t>Jewelry</t>
        </is>
      </c>
    </row>
    <row r="491">
      <c r="A491" s="4" t="inlineStr">
        <is>
          <t>TXN_000488</t>
        </is>
      </c>
      <c r="B491" s="4" t="inlineStr">
        <is>
          <t>C_00275</t>
        </is>
      </c>
      <c r="C491" s="4" t="inlineStr">
        <is>
          <t>2026-02-05</t>
        </is>
      </c>
      <c r="D491" s="5" t="n">
        <v>13614.09</v>
      </c>
      <c r="E491" s="4" t="inlineStr">
        <is>
          <t>Mobile App</t>
        </is>
      </c>
      <c r="F491" s="4" t="inlineStr">
        <is>
          <t>NG</t>
        </is>
      </c>
      <c r="G491" s="4" t="inlineStr">
        <is>
          <t>Healthcare</t>
        </is>
      </c>
    </row>
    <row r="492">
      <c r="A492" s="2" t="inlineStr">
        <is>
          <t>TXN_000489</t>
        </is>
      </c>
      <c r="B492" s="2" t="inlineStr">
        <is>
          <t>C_00062</t>
        </is>
      </c>
      <c r="C492" s="2" t="inlineStr">
        <is>
          <t>2026-02-05</t>
        </is>
      </c>
      <c r="D492" s="3" t="n">
        <v>3063.82</v>
      </c>
      <c r="E492" s="2" t="inlineStr">
        <is>
          <t>Cash Deposit</t>
        </is>
      </c>
      <c r="F492" s="2" t="inlineStr">
        <is>
          <t>US</t>
        </is>
      </c>
      <c r="G492" s="2" t="inlineStr">
        <is>
          <t>Real Estate</t>
        </is>
      </c>
    </row>
    <row r="493">
      <c r="A493" s="4" t="inlineStr">
        <is>
          <t>TXN_000487</t>
        </is>
      </c>
      <c r="B493" s="4" t="inlineStr">
        <is>
          <t>C_00126</t>
        </is>
      </c>
      <c r="C493" s="4" t="inlineStr">
        <is>
          <t>2026-02-05</t>
        </is>
      </c>
      <c r="D493" s="5" t="n">
        <v>10809.16</v>
      </c>
      <c r="E493" s="4" t="inlineStr">
        <is>
          <t>Mobile App</t>
        </is>
      </c>
      <c r="F493" s="4" t="inlineStr">
        <is>
          <t>US</t>
        </is>
      </c>
      <c r="G493" s="4" t="inlineStr">
        <is>
          <t>Healthcare</t>
        </is>
      </c>
    </row>
    <row r="494">
      <c r="A494" s="2" t="inlineStr">
        <is>
          <t>TXN_000486</t>
        </is>
      </c>
      <c r="B494" s="2" t="inlineStr">
        <is>
          <t>C_00108</t>
        </is>
      </c>
      <c r="C494" s="2" t="inlineStr">
        <is>
          <t>2026-02-05</t>
        </is>
      </c>
      <c r="D494" s="3" t="n">
        <v>1145.91</v>
      </c>
      <c r="E494" s="2" t="inlineStr">
        <is>
          <t>Card</t>
        </is>
      </c>
      <c r="F494" s="2" t="inlineStr">
        <is>
          <t>US</t>
        </is>
      </c>
      <c r="G494" s="2" t="inlineStr">
        <is>
          <t>Jewelry</t>
        </is>
      </c>
    </row>
    <row r="495">
      <c r="A495" s="4" t="inlineStr">
        <is>
          <t>TXN_000485</t>
        </is>
      </c>
      <c r="B495" s="4" t="inlineStr">
        <is>
          <t>C_00035</t>
        </is>
      </c>
      <c r="C495" s="4" t="inlineStr">
        <is>
          <t>2026-02-05</t>
        </is>
      </c>
      <c r="D495" s="5" t="n">
        <v>1587.82</v>
      </c>
      <c r="E495" s="4" t="inlineStr">
        <is>
          <t>ACH</t>
        </is>
      </c>
      <c r="F495" s="4" t="inlineStr">
        <is>
          <t>US</t>
        </is>
      </c>
      <c r="G495" s="4" t="inlineStr">
        <is>
          <t>Auto</t>
        </is>
      </c>
    </row>
    <row r="496">
      <c r="A496" s="2" t="inlineStr">
        <is>
          <t>TXN_000484</t>
        </is>
      </c>
      <c r="B496" s="2" t="inlineStr">
        <is>
          <t>C_00049</t>
        </is>
      </c>
      <c r="C496" s="2" t="inlineStr">
        <is>
          <t>2026-02-05</t>
        </is>
      </c>
      <c r="D496" s="3" t="n">
        <v>20430.16</v>
      </c>
      <c r="E496" s="2" t="inlineStr">
        <is>
          <t>Wire Transfer</t>
        </is>
      </c>
      <c r="F496" s="2" t="inlineStr">
        <is>
          <t>US</t>
        </is>
      </c>
      <c r="G496" s="2" t="inlineStr">
        <is>
          <t>Travel</t>
        </is>
      </c>
    </row>
    <row r="497">
      <c r="A497" s="4" t="inlineStr">
        <is>
          <t>TXN_000483</t>
        </is>
      </c>
      <c r="B497" s="4" t="inlineStr">
        <is>
          <t>C_00255</t>
        </is>
      </c>
      <c r="C497" s="4" t="inlineStr">
        <is>
          <t>2026-02-05</t>
        </is>
      </c>
      <c r="D497" s="5" t="n">
        <v>4651.66</v>
      </c>
      <c r="E497" s="4" t="inlineStr">
        <is>
          <t>Card</t>
        </is>
      </c>
      <c r="F497" s="4" t="inlineStr">
        <is>
          <t>RU</t>
        </is>
      </c>
      <c r="G497" s="4" t="inlineStr">
        <is>
          <t>Money Services</t>
        </is>
      </c>
    </row>
    <row r="498">
      <c r="A498" s="2" t="inlineStr">
        <is>
          <t>TXN_000482</t>
        </is>
      </c>
      <c r="B498" s="2" t="inlineStr">
        <is>
          <t>C_00124</t>
        </is>
      </c>
      <c r="C498" s="2" t="inlineStr">
        <is>
          <t>2026-02-05</t>
        </is>
      </c>
      <c r="D498" s="3" t="n">
        <v>3856.39</v>
      </c>
      <c r="E498" s="2" t="inlineStr">
        <is>
          <t>Cash Deposit</t>
        </is>
      </c>
      <c r="F498" s="2" t="inlineStr">
        <is>
          <t>NG</t>
        </is>
      </c>
      <c r="G498" s="2" t="inlineStr">
        <is>
          <t>Healthcare</t>
        </is>
      </c>
    </row>
    <row r="499">
      <c r="A499" s="4" t="inlineStr">
        <is>
          <t>TXN_000490</t>
        </is>
      </c>
      <c r="B499" s="4" t="inlineStr">
        <is>
          <t>C_00208</t>
        </is>
      </c>
      <c r="C499" s="4" t="inlineStr">
        <is>
          <t>2026-02-05</t>
        </is>
      </c>
      <c r="D499" s="5" t="n">
        <v>3896.85</v>
      </c>
      <c r="E499" s="4" t="inlineStr">
        <is>
          <t>ACH</t>
        </is>
      </c>
      <c r="F499" s="4" t="inlineStr">
        <is>
          <t>NG</t>
        </is>
      </c>
      <c r="G499" s="4" t="inlineStr">
        <is>
          <t>Jewelry</t>
        </is>
      </c>
    </row>
    <row r="500">
      <c r="A500" s="2" t="inlineStr">
        <is>
          <t>TXN_000504</t>
        </is>
      </c>
      <c r="B500" s="2" t="inlineStr">
        <is>
          <t>C_00283</t>
        </is>
      </c>
      <c r="C500" s="2" t="inlineStr">
        <is>
          <t>2026-02-06</t>
        </is>
      </c>
      <c r="D500" s="3" t="n">
        <v>895.85</v>
      </c>
      <c r="E500" s="2" t="inlineStr">
        <is>
          <t>Mobile App</t>
        </is>
      </c>
      <c r="F500" s="2" t="inlineStr">
        <is>
          <t>RU</t>
        </is>
      </c>
      <c r="G500" s="2" t="inlineStr">
        <is>
          <t>Electronics</t>
        </is>
      </c>
    </row>
    <row r="501">
      <c r="A501" s="4" t="inlineStr">
        <is>
          <t>TXN_000506</t>
        </is>
      </c>
      <c r="B501" s="4" t="inlineStr">
        <is>
          <t>C_00108</t>
        </is>
      </c>
      <c r="C501" s="4" t="inlineStr">
        <is>
          <t>2026-02-06</t>
        </is>
      </c>
      <c r="D501" s="5" t="n">
        <v>976.17</v>
      </c>
      <c r="E501" s="4" t="inlineStr">
        <is>
          <t>ACH</t>
        </is>
      </c>
      <c r="F501" s="4" t="inlineStr">
        <is>
          <t>NG</t>
        </is>
      </c>
      <c r="G501" s="4" t="inlineStr">
        <is>
          <t>Crypto Exchange</t>
        </is>
      </c>
    </row>
    <row r="502">
      <c r="A502" s="2" t="inlineStr">
        <is>
          <t>TXN_000505</t>
        </is>
      </c>
      <c r="B502" s="2" t="inlineStr">
        <is>
          <t>C_00225</t>
        </is>
      </c>
      <c r="C502" s="2" t="inlineStr">
        <is>
          <t>2026-02-06</t>
        </is>
      </c>
      <c r="D502" s="3" t="n">
        <v>573.52</v>
      </c>
      <c r="E502" s="2" t="inlineStr">
        <is>
          <t>Mobile App</t>
        </is>
      </c>
      <c r="F502" s="2" t="inlineStr">
        <is>
          <t>US</t>
        </is>
      </c>
      <c r="G502" s="2" t="inlineStr">
        <is>
          <t>Jewelry</t>
        </is>
      </c>
    </row>
    <row r="503">
      <c r="A503" s="4" t="inlineStr">
        <is>
          <t>TXN_000503</t>
        </is>
      </c>
      <c r="B503" s="4" t="inlineStr">
        <is>
          <t>C_00086</t>
        </is>
      </c>
      <c r="C503" s="4" t="inlineStr">
        <is>
          <t>2026-02-06</t>
        </is>
      </c>
      <c r="D503" s="5" t="n">
        <v>7699.5</v>
      </c>
      <c r="E503" s="4" t="inlineStr">
        <is>
          <t>Mobile App</t>
        </is>
      </c>
      <c r="F503" s="4" t="inlineStr">
        <is>
          <t>NG</t>
        </is>
      </c>
      <c r="G503" s="4" t="inlineStr">
        <is>
          <t>Retail</t>
        </is>
      </c>
    </row>
    <row r="504">
      <c r="A504" s="2" t="inlineStr">
        <is>
          <t>TXN_000497</t>
        </is>
      </c>
      <c r="B504" s="2" t="inlineStr">
        <is>
          <t>C_00130</t>
        </is>
      </c>
      <c r="C504" s="2" t="inlineStr">
        <is>
          <t>2026-02-06</t>
        </is>
      </c>
      <c r="D504" s="3" t="n">
        <v>4858.4</v>
      </c>
      <c r="E504" s="2" t="inlineStr">
        <is>
          <t>Cash Deposit</t>
        </is>
      </c>
      <c r="F504" s="2" t="inlineStr">
        <is>
          <t>NG</t>
        </is>
      </c>
      <c r="G504" s="2" t="inlineStr">
        <is>
          <t>Jewelry</t>
        </is>
      </c>
    </row>
    <row r="505">
      <c r="A505" s="4" t="inlineStr">
        <is>
          <t>TXN_000501</t>
        </is>
      </c>
      <c r="B505" s="4" t="inlineStr">
        <is>
          <t>C_00240</t>
        </is>
      </c>
      <c r="C505" s="4" t="inlineStr">
        <is>
          <t>2026-02-06</t>
        </is>
      </c>
      <c r="D505" s="5" t="n">
        <v>10503.29</v>
      </c>
      <c r="E505" s="4" t="inlineStr">
        <is>
          <t>Card</t>
        </is>
      </c>
      <c r="F505" s="4" t="inlineStr">
        <is>
          <t>AE</t>
        </is>
      </c>
      <c r="G505" s="4" t="inlineStr">
        <is>
          <t>Crypto Exchange</t>
        </is>
      </c>
    </row>
    <row r="506">
      <c r="A506" s="2" t="inlineStr">
        <is>
          <t>TXN_000500</t>
        </is>
      </c>
      <c r="B506" s="2" t="inlineStr">
        <is>
          <t>C_00184</t>
        </is>
      </c>
      <c r="C506" s="2" t="inlineStr">
        <is>
          <t>2026-02-06</t>
        </is>
      </c>
      <c r="D506" s="3" t="n">
        <v>2330.3</v>
      </c>
      <c r="E506" s="2" t="inlineStr">
        <is>
          <t>Mobile App</t>
        </is>
      </c>
      <c r="F506" s="2" t="inlineStr">
        <is>
          <t>US</t>
        </is>
      </c>
      <c r="G506" s="2" t="inlineStr">
        <is>
          <t>Electronics</t>
        </is>
      </c>
    </row>
    <row r="507">
      <c r="A507" s="4" t="inlineStr">
        <is>
          <t>TXN_000499</t>
        </is>
      </c>
      <c r="B507" s="4" t="inlineStr">
        <is>
          <t>C_00240</t>
        </is>
      </c>
      <c r="C507" s="4" t="inlineStr">
        <is>
          <t>2026-02-06</t>
        </is>
      </c>
      <c r="D507" s="5" t="n">
        <v>13211.61</v>
      </c>
      <c r="E507" s="4" t="inlineStr">
        <is>
          <t>Mobile App</t>
        </is>
      </c>
      <c r="F507" s="4" t="inlineStr">
        <is>
          <t>US</t>
        </is>
      </c>
      <c r="G507" s="4" t="inlineStr">
        <is>
          <t>Real Estate</t>
        </is>
      </c>
    </row>
    <row r="508">
      <c r="A508" s="2" t="inlineStr">
        <is>
          <t>TXN_000498</t>
        </is>
      </c>
      <c r="B508" s="2" t="inlineStr">
        <is>
          <t>C_00160</t>
        </is>
      </c>
      <c r="C508" s="2" t="inlineStr">
        <is>
          <t>2026-02-06</t>
        </is>
      </c>
      <c r="D508" s="3" t="n">
        <v>800.49</v>
      </c>
      <c r="E508" s="2" t="inlineStr">
        <is>
          <t>Cash Deposit</t>
        </is>
      </c>
      <c r="F508" s="2" t="inlineStr">
        <is>
          <t>US</t>
        </is>
      </c>
      <c r="G508" s="2" t="inlineStr">
        <is>
          <t>Electronics</t>
        </is>
      </c>
    </row>
    <row r="509">
      <c r="A509" s="4" t="inlineStr">
        <is>
          <t>TXN_000496</t>
        </is>
      </c>
      <c r="B509" s="4" t="inlineStr">
        <is>
          <t>C_00178</t>
        </is>
      </c>
      <c r="C509" s="4" t="inlineStr">
        <is>
          <t>2026-02-06</t>
        </is>
      </c>
      <c r="D509" s="5" t="n">
        <v>1428.25</v>
      </c>
      <c r="E509" s="4" t="inlineStr">
        <is>
          <t>Mobile App</t>
        </is>
      </c>
      <c r="F509" s="4" t="inlineStr">
        <is>
          <t>CN</t>
        </is>
      </c>
      <c r="G509" s="4" t="inlineStr">
        <is>
          <t>Retail</t>
        </is>
      </c>
    </row>
    <row r="510">
      <c r="A510" s="2" t="inlineStr">
        <is>
          <t>TXN_000495</t>
        </is>
      </c>
      <c r="B510" s="2" t="inlineStr">
        <is>
          <t>C_00214</t>
        </is>
      </c>
      <c r="C510" s="2" t="inlineStr">
        <is>
          <t>2026-02-06</t>
        </is>
      </c>
      <c r="D510" s="3" t="n">
        <v>2311.49</v>
      </c>
      <c r="E510" s="2" t="inlineStr">
        <is>
          <t>ACH</t>
        </is>
      </c>
      <c r="F510" s="2" t="inlineStr">
        <is>
          <t>NG</t>
        </is>
      </c>
      <c r="G510" s="2" t="inlineStr">
        <is>
          <t>Travel</t>
        </is>
      </c>
    </row>
    <row r="511">
      <c r="A511" s="4" t="inlineStr">
        <is>
          <t>TXN_000494</t>
        </is>
      </c>
      <c r="B511" s="4" t="inlineStr">
        <is>
          <t>C_00135</t>
        </is>
      </c>
      <c r="C511" s="4" t="inlineStr">
        <is>
          <t>2026-02-06</t>
        </is>
      </c>
      <c r="D511" s="5" t="n">
        <v>6285.17</v>
      </c>
      <c r="E511" s="4" t="inlineStr">
        <is>
          <t>Cash Deposit</t>
        </is>
      </c>
      <c r="F511" s="4" t="inlineStr">
        <is>
          <t>AE</t>
        </is>
      </c>
      <c r="G511" s="4" t="inlineStr">
        <is>
          <t>Travel</t>
        </is>
      </c>
    </row>
    <row r="512">
      <c r="A512" s="2" t="inlineStr">
        <is>
          <t>TXN_000502</t>
        </is>
      </c>
      <c r="B512" s="2" t="inlineStr">
        <is>
          <t>C_00157</t>
        </is>
      </c>
      <c r="C512" s="2" t="inlineStr">
        <is>
          <t>2026-02-06</t>
        </is>
      </c>
      <c r="D512" s="3" t="n">
        <v>553.64</v>
      </c>
      <c r="E512" s="2" t="inlineStr">
        <is>
          <t>Cash Deposit</t>
        </is>
      </c>
      <c r="F512" s="2" t="inlineStr">
        <is>
          <t>US</t>
        </is>
      </c>
      <c r="G512" s="2" t="inlineStr">
        <is>
          <t>Real Estate</t>
        </is>
      </c>
    </row>
    <row r="513">
      <c r="A513" s="4" t="inlineStr">
        <is>
          <t>TXN_000524</t>
        </is>
      </c>
      <c r="B513" s="4" t="inlineStr">
        <is>
          <t>C_00241</t>
        </is>
      </c>
      <c r="C513" s="4" t="inlineStr">
        <is>
          <t>2026-02-07</t>
        </is>
      </c>
      <c r="D513" s="5" t="n">
        <v>2232.42</v>
      </c>
      <c r="E513" s="4" t="inlineStr">
        <is>
          <t>Wire Transfer</t>
        </is>
      </c>
      <c r="F513" s="4" t="inlineStr">
        <is>
          <t>US</t>
        </is>
      </c>
      <c r="G513" s="4" t="inlineStr">
        <is>
          <t>Real Estate</t>
        </is>
      </c>
    </row>
    <row r="514">
      <c r="A514" s="2" t="inlineStr">
        <is>
          <t>TXN_000525</t>
        </is>
      </c>
      <c r="B514" s="2" t="inlineStr">
        <is>
          <t>C_00234</t>
        </is>
      </c>
      <c r="C514" s="2" t="inlineStr">
        <is>
          <t>2026-02-07</t>
        </is>
      </c>
      <c r="D514" s="3" t="n">
        <v>895.65</v>
      </c>
      <c r="E514" s="2" t="inlineStr">
        <is>
          <t>Card</t>
        </is>
      </c>
      <c r="F514" s="2" t="inlineStr">
        <is>
          <t>RU</t>
        </is>
      </c>
      <c r="G514" s="2" t="inlineStr">
        <is>
          <t>Electronics</t>
        </is>
      </c>
    </row>
    <row r="515">
      <c r="A515" s="4" t="inlineStr">
        <is>
          <t>TXN_000526</t>
        </is>
      </c>
      <c r="B515" s="4" t="inlineStr">
        <is>
          <t>C_00148</t>
        </is>
      </c>
      <c r="C515" s="4" t="inlineStr">
        <is>
          <t>2026-02-07</t>
        </is>
      </c>
      <c r="D515" s="5" t="n">
        <v>16473.47</v>
      </c>
      <c r="E515" s="4" t="inlineStr">
        <is>
          <t>ACH</t>
        </is>
      </c>
      <c r="F515" s="4" t="inlineStr">
        <is>
          <t>RU</t>
        </is>
      </c>
      <c r="G515" s="4" t="inlineStr">
        <is>
          <t>Retail</t>
        </is>
      </c>
    </row>
    <row r="516">
      <c r="A516" s="2" t="inlineStr">
        <is>
          <t>TXN_000527</t>
        </is>
      </c>
      <c r="B516" s="2" t="inlineStr">
        <is>
          <t>C_00083</t>
        </is>
      </c>
      <c r="C516" s="2" t="inlineStr">
        <is>
          <t>2026-02-07</t>
        </is>
      </c>
      <c r="D516" s="3" t="n">
        <v>14370.06</v>
      </c>
      <c r="E516" s="2" t="inlineStr">
        <is>
          <t>Mobile App</t>
        </is>
      </c>
      <c r="F516" s="2" t="inlineStr">
        <is>
          <t>US</t>
        </is>
      </c>
      <c r="G516" s="2" t="inlineStr">
        <is>
          <t>Electronics</t>
        </is>
      </c>
    </row>
    <row r="517">
      <c r="A517" s="4" t="inlineStr">
        <is>
          <t>TXN_000531</t>
        </is>
      </c>
      <c r="B517" s="4" t="inlineStr">
        <is>
          <t>C_00273</t>
        </is>
      </c>
      <c r="C517" s="4" t="inlineStr">
        <is>
          <t>2026-02-07</t>
        </is>
      </c>
      <c r="D517" s="5" t="n">
        <v>1480.11</v>
      </c>
      <c r="E517" s="4" t="inlineStr">
        <is>
          <t>Wire Transfer</t>
        </is>
      </c>
      <c r="F517" s="4" t="inlineStr">
        <is>
          <t>US</t>
        </is>
      </c>
      <c r="G517" s="4" t="inlineStr">
        <is>
          <t>Auto</t>
        </is>
      </c>
    </row>
    <row r="518">
      <c r="A518" s="2" t="inlineStr">
        <is>
          <t>TXN_000529</t>
        </is>
      </c>
      <c r="B518" s="2" t="inlineStr">
        <is>
          <t>C_00023</t>
        </is>
      </c>
      <c r="C518" s="2" t="inlineStr">
        <is>
          <t>2026-02-07</t>
        </is>
      </c>
      <c r="D518" s="3" t="n">
        <v>649.6799999999999</v>
      </c>
      <c r="E518" s="2" t="inlineStr">
        <is>
          <t>Cash Deposit</t>
        </is>
      </c>
      <c r="F518" s="2" t="inlineStr">
        <is>
          <t>MX</t>
        </is>
      </c>
      <c r="G518" s="2" t="inlineStr">
        <is>
          <t>Electronics</t>
        </is>
      </c>
    </row>
    <row r="519">
      <c r="A519" s="4" t="inlineStr">
        <is>
          <t>TXN_000530</t>
        </is>
      </c>
      <c r="B519" s="4" t="inlineStr">
        <is>
          <t>C_00098</t>
        </is>
      </c>
      <c r="C519" s="4" t="inlineStr">
        <is>
          <t>2026-02-07</t>
        </is>
      </c>
      <c r="D519" s="5" t="n">
        <v>6145.12</v>
      </c>
      <c r="E519" s="4" t="inlineStr">
        <is>
          <t>ACH</t>
        </is>
      </c>
      <c r="F519" s="4" t="inlineStr">
        <is>
          <t>NG</t>
        </is>
      </c>
      <c r="G519" s="4" t="inlineStr">
        <is>
          <t>Money Services</t>
        </is>
      </c>
    </row>
    <row r="520">
      <c r="A520" s="2" t="inlineStr">
        <is>
          <t>TXN_000523</t>
        </is>
      </c>
      <c r="B520" s="2" t="inlineStr">
        <is>
          <t>C_00176</t>
        </is>
      </c>
      <c r="C520" s="2" t="inlineStr">
        <is>
          <t>2026-02-07</t>
        </is>
      </c>
      <c r="D520" s="3" t="n">
        <v>2075.42</v>
      </c>
      <c r="E520" s="2" t="inlineStr">
        <is>
          <t>Cash Deposit</t>
        </is>
      </c>
      <c r="F520" s="2" t="inlineStr">
        <is>
          <t>CA</t>
        </is>
      </c>
      <c r="G520" s="2" t="inlineStr">
        <is>
          <t>Food &amp; Beverage</t>
        </is>
      </c>
    </row>
    <row r="521">
      <c r="A521" s="4" t="inlineStr">
        <is>
          <t>TXN_000528</t>
        </is>
      </c>
      <c r="B521" s="4" t="inlineStr">
        <is>
          <t>C_00259</t>
        </is>
      </c>
      <c r="C521" s="4" t="inlineStr">
        <is>
          <t>2026-02-07</t>
        </is>
      </c>
      <c r="D521" s="5" t="n">
        <v>582.13</v>
      </c>
      <c r="E521" s="4" t="inlineStr">
        <is>
          <t>ACH</t>
        </is>
      </c>
      <c r="F521" s="4" t="inlineStr">
        <is>
          <t>AE</t>
        </is>
      </c>
      <c r="G521" s="4" t="inlineStr">
        <is>
          <t>Money Services</t>
        </is>
      </c>
    </row>
    <row r="522">
      <c r="A522" s="2" t="inlineStr">
        <is>
          <t>TXN_000522</t>
        </is>
      </c>
      <c r="B522" s="2" t="inlineStr">
        <is>
          <t>C_00064</t>
        </is>
      </c>
      <c r="C522" s="2" t="inlineStr">
        <is>
          <t>2026-02-07</t>
        </is>
      </c>
      <c r="D522" s="3" t="n">
        <v>1652.88</v>
      </c>
      <c r="E522" s="2" t="inlineStr">
        <is>
          <t>Wire Transfer</t>
        </is>
      </c>
      <c r="F522" s="2" t="inlineStr">
        <is>
          <t>CN</t>
        </is>
      </c>
      <c r="G522" s="2" t="inlineStr">
        <is>
          <t>Real Estate</t>
        </is>
      </c>
    </row>
    <row r="523">
      <c r="A523" s="4" t="inlineStr">
        <is>
          <t>TXN_000532</t>
        </is>
      </c>
      <c r="B523" s="4" t="inlineStr">
        <is>
          <t>C_00138</t>
        </is>
      </c>
      <c r="C523" s="4" t="inlineStr">
        <is>
          <t>2026-02-07</t>
        </is>
      </c>
      <c r="D523" s="5" t="n">
        <v>1127.36</v>
      </c>
      <c r="E523" s="4" t="inlineStr">
        <is>
          <t>Wire Transfer</t>
        </is>
      </c>
      <c r="F523" s="4" t="inlineStr">
        <is>
          <t>CA</t>
        </is>
      </c>
      <c r="G523" s="4" t="inlineStr">
        <is>
          <t>Electronics</t>
        </is>
      </c>
    </row>
    <row r="524">
      <c r="A524" s="2" t="inlineStr">
        <is>
          <t>TXN_000520</t>
        </is>
      </c>
      <c r="B524" s="2" t="inlineStr">
        <is>
          <t>C_00186</t>
        </is>
      </c>
      <c r="C524" s="2" t="inlineStr">
        <is>
          <t>2026-02-07</t>
        </is>
      </c>
      <c r="D524" s="3" t="n">
        <v>2328.63</v>
      </c>
      <c r="E524" s="2" t="inlineStr">
        <is>
          <t>Mobile App</t>
        </is>
      </c>
      <c r="F524" s="2" t="inlineStr">
        <is>
          <t>US</t>
        </is>
      </c>
      <c r="G524" s="2" t="inlineStr">
        <is>
          <t>Crypto Exchange</t>
        </is>
      </c>
    </row>
    <row r="525">
      <c r="A525" s="4" t="inlineStr">
        <is>
          <t>TXN_000507</t>
        </is>
      </c>
      <c r="B525" s="4" t="inlineStr">
        <is>
          <t>C_00252</t>
        </is>
      </c>
      <c r="C525" s="4" t="inlineStr">
        <is>
          <t>2026-02-07</t>
        </is>
      </c>
      <c r="D525" s="5" t="n">
        <v>8466.799999999999</v>
      </c>
      <c r="E525" s="4" t="inlineStr">
        <is>
          <t>Wire Transfer</t>
        </is>
      </c>
      <c r="F525" s="4" t="inlineStr">
        <is>
          <t>US</t>
        </is>
      </c>
      <c r="G525" s="4" t="inlineStr">
        <is>
          <t>Travel</t>
        </is>
      </c>
    </row>
    <row r="526">
      <c r="A526" s="2" t="inlineStr">
        <is>
          <t>TXN_000508</t>
        </is>
      </c>
      <c r="B526" s="2" t="inlineStr">
        <is>
          <t>C_00168</t>
        </is>
      </c>
      <c r="C526" s="2" t="inlineStr">
        <is>
          <t>2026-02-07</t>
        </is>
      </c>
      <c r="D526" s="3" t="n">
        <v>2494.38</v>
      </c>
      <c r="E526" s="2" t="inlineStr">
        <is>
          <t>Mobile App</t>
        </is>
      </c>
      <c r="F526" s="2" t="inlineStr">
        <is>
          <t>MX</t>
        </is>
      </c>
      <c r="G526" s="2" t="inlineStr">
        <is>
          <t>Electronics</t>
        </is>
      </c>
    </row>
    <row r="527">
      <c r="A527" s="4" t="inlineStr">
        <is>
          <t>TXN_000509</t>
        </is>
      </c>
      <c r="B527" s="4" t="inlineStr">
        <is>
          <t>C_00279</t>
        </is>
      </c>
      <c r="C527" s="4" t="inlineStr">
        <is>
          <t>2026-02-07</t>
        </is>
      </c>
      <c r="D527" s="5" t="n">
        <v>539.17</v>
      </c>
      <c r="E527" s="4" t="inlineStr">
        <is>
          <t>Mobile App</t>
        </is>
      </c>
      <c r="F527" s="4" t="inlineStr">
        <is>
          <t>RU</t>
        </is>
      </c>
      <c r="G527" s="4" t="inlineStr">
        <is>
          <t>Jewelry</t>
        </is>
      </c>
    </row>
    <row r="528">
      <c r="A528" s="2" t="inlineStr">
        <is>
          <t>TXN_000521</t>
        </is>
      </c>
      <c r="B528" s="2" t="inlineStr">
        <is>
          <t>C_00249</t>
        </is>
      </c>
      <c r="C528" s="2" t="inlineStr">
        <is>
          <t>2026-02-07</t>
        </is>
      </c>
      <c r="D528" s="3" t="n">
        <v>2598.55</v>
      </c>
      <c r="E528" s="2" t="inlineStr">
        <is>
          <t>Mobile App</t>
        </is>
      </c>
      <c r="F528" s="2" t="inlineStr">
        <is>
          <t>US</t>
        </is>
      </c>
      <c r="G528" s="2" t="inlineStr">
        <is>
          <t>Money Services</t>
        </is>
      </c>
    </row>
    <row r="529">
      <c r="A529" s="4" t="inlineStr">
        <is>
          <t>TXN_000511</t>
        </is>
      </c>
      <c r="B529" s="4" t="inlineStr">
        <is>
          <t>C_00165</t>
        </is>
      </c>
      <c r="C529" s="4" t="inlineStr">
        <is>
          <t>2026-02-07</t>
        </is>
      </c>
      <c r="D529" s="5" t="n">
        <v>1765.37</v>
      </c>
      <c r="E529" s="4" t="inlineStr">
        <is>
          <t>Mobile App</t>
        </is>
      </c>
      <c r="F529" s="4" t="inlineStr">
        <is>
          <t>RU</t>
        </is>
      </c>
      <c r="G529" s="4" t="inlineStr">
        <is>
          <t>Travel</t>
        </is>
      </c>
    </row>
    <row r="530">
      <c r="A530" s="2" t="inlineStr">
        <is>
          <t>TXN_000512</t>
        </is>
      </c>
      <c r="B530" s="2" t="inlineStr">
        <is>
          <t>C_00030</t>
        </is>
      </c>
      <c r="C530" s="2" t="inlineStr">
        <is>
          <t>2026-02-07</t>
        </is>
      </c>
      <c r="D530" s="3" t="n">
        <v>1035.61</v>
      </c>
      <c r="E530" s="2" t="inlineStr">
        <is>
          <t>ACH</t>
        </is>
      </c>
      <c r="F530" s="2" t="inlineStr">
        <is>
          <t>NG</t>
        </is>
      </c>
      <c r="G530" s="2" t="inlineStr">
        <is>
          <t>Jewelry</t>
        </is>
      </c>
    </row>
    <row r="531">
      <c r="A531" s="4" t="inlineStr">
        <is>
          <t>TXN_000510</t>
        </is>
      </c>
      <c r="B531" s="4" t="inlineStr">
        <is>
          <t>C_00092</t>
        </is>
      </c>
      <c r="C531" s="4" t="inlineStr">
        <is>
          <t>2026-02-07</t>
        </is>
      </c>
      <c r="D531" s="5" t="n">
        <v>1088.9</v>
      </c>
      <c r="E531" s="4" t="inlineStr">
        <is>
          <t>Card</t>
        </is>
      </c>
      <c r="F531" s="4" t="inlineStr">
        <is>
          <t>US</t>
        </is>
      </c>
      <c r="G531" s="4" t="inlineStr">
        <is>
          <t>Food &amp; Beverage</t>
        </is>
      </c>
    </row>
    <row r="532">
      <c r="A532" s="2" t="inlineStr">
        <is>
          <t>TXN_000514</t>
        </is>
      </c>
      <c r="B532" s="2" t="inlineStr">
        <is>
          <t>C_00105</t>
        </is>
      </c>
      <c r="C532" s="2" t="inlineStr">
        <is>
          <t>2026-02-07</t>
        </is>
      </c>
      <c r="D532" s="3" t="n">
        <v>7938.16</v>
      </c>
      <c r="E532" s="2" t="inlineStr">
        <is>
          <t>Mobile App</t>
        </is>
      </c>
      <c r="F532" s="2" t="inlineStr">
        <is>
          <t>US</t>
        </is>
      </c>
      <c r="G532" s="2" t="inlineStr">
        <is>
          <t>Money Services</t>
        </is>
      </c>
    </row>
    <row r="533">
      <c r="A533" s="4" t="inlineStr">
        <is>
          <t>TXN_000516</t>
        </is>
      </c>
      <c r="B533" s="4" t="inlineStr">
        <is>
          <t>C_00298</t>
        </is>
      </c>
      <c r="C533" s="4" t="inlineStr">
        <is>
          <t>2026-02-07</t>
        </is>
      </c>
      <c r="D533" s="5" t="n">
        <v>8469.360000000001</v>
      </c>
      <c r="E533" s="4" t="inlineStr">
        <is>
          <t>Wire Transfer</t>
        </is>
      </c>
      <c r="F533" s="4" t="inlineStr">
        <is>
          <t>US</t>
        </is>
      </c>
      <c r="G533" s="4" t="inlineStr">
        <is>
          <t>Money Services</t>
        </is>
      </c>
    </row>
    <row r="534">
      <c r="A534" s="2" t="inlineStr">
        <is>
          <t>TXN_000513</t>
        </is>
      </c>
      <c r="B534" s="2" t="inlineStr">
        <is>
          <t>C_00036</t>
        </is>
      </c>
      <c r="C534" s="2" t="inlineStr">
        <is>
          <t>2026-02-07</t>
        </is>
      </c>
      <c r="D534" s="3" t="n">
        <v>11836.41</v>
      </c>
      <c r="E534" s="2" t="inlineStr">
        <is>
          <t>Cash Deposit</t>
        </is>
      </c>
      <c r="F534" s="2" t="inlineStr">
        <is>
          <t>US</t>
        </is>
      </c>
      <c r="G534" s="2" t="inlineStr">
        <is>
          <t>Electronics</t>
        </is>
      </c>
    </row>
    <row r="535">
      <c r="A535" s="4" t="inlineStr">
        <is>
          <t>TXN_000517</t>
        </is>
      </c>
      <c r="B535" s="4" t="inlineStr">
        <is>
          <t>C_00051</t>
        </is>
      </c>
      <c r="C535" s="4" t="inlineStr">
        <is>
          <t>2026-02-07</t>
        </is>
      </c>
      <c r="D535" s="5" t="n">
        <v>1675.75</v>
      </c>
      <c r="E535" s="4" t="inlineStr">
        <is>
          <t>Wire Transfer</t>
        </is>
      </c>
      <c r="F535" s="4" t="inlineStr">
        <is>
          <t>MX</t>
        </is>
      </c>
      <c r="G535" s="4" t="inlineStr">
        <is>
          <t>Money Services</t>
        </is>
      </c>
    </row>
    <row r="536">
      <c r="A536" s="2" t="inlineStr">
        <is>
          <t>TXN_000518</t>
        </is>
      </c>
      <c r="B536" s="2" t="inlineStr">
        <is>
          <t>C_00163</t>
        </is>
      </c>
      <c r="C536" s="2" t="inlineStr">
        <is>
          <t>2026-02-07</t>
        </is>
      </c>
      <c r="D536" s="3" t="n">
        <v>3275.83</v>
      </c>
      <c r="E536" s="2" t="inlineStr">
        <is>
          <t>Card</t>
        </is>
      </c>
      <c r="F536" s="2" t="inlineStr">
        <is>
          <t>NG</t>
        </is>
      </c>
      <c r="G536" s="2" t="inlineStr">
        <is>
          <t>Electronics</t>
        </is>
      </c>
    </row>
    <row r="537">
      <c r="A537" s="4" t="inlineStr">
        <is>
          <t>TXN_000515</t>
        </is>
      </c>
      <c r="B537" s="4" t="inlineStr">
        <is>
          <t>C_00153</t>
        </is>
      </c>
      <c r="C537" s="4" t="inlineStr">
        <is>
          <t>2026-02-07</t>
        </is>
      </c>
      <c r="D537" s="5" t="n">
        <v>304.1</v>
      </c>
      <c r="E537" s="4" t="inlineStr">
        <is>
          <t>Card</t>
        </is>
      </c>
      <c r="F537" s="4" t="inlineStr">
        <is>
          <t>AE</t>
        </is>
      </c>
      <c r="G537" s="4" t="inlineStr">
        <is>
          <t>Food &amp; Beverage</t>
        </is>
      </c>
    </row>
    <row r="538">
      <c r="A538" s="2" t="inlineStr">
        <is>
          <t>TXN_000519</t>
        </is>
      </c>
      <c r="B538" s="2" t="inlineStr">
        <is>
          <t>C_00231</t>
        </is>
      </c>
      <c r="C538" s="2" t="inlineStr">
        <is>
          <t>2026-02-07</t>
        </is>
      </c>
      <c r="D538" s="3" t="n">
        <v>5057.63</v>
      </c>
      <c r="E538" s="2" t="inlineStr">
        <is>
          <t>Mobile App</t>
        </is>
      </c>
      <c r="F538" s="2" t="inlineStr">
        <is>
          <t>NG</t>
        </is>
      </c>
      <c r="G538" s="2" t="inlineStr">
        <is>
          <t>Real Estate</t>
        </is>
      </c>
    </row>
    <row r="539">
      <c r="A539" s="4" t="inlineStr">
        <is>
          <t>TXN_000537</t>
        </is>
      </c>
      <c r="B539" s="4" t="inlineStr">
        <is>
          <t>C_00119</t>
        </is>
      </c>
      <c r="C539" s="4" t="inlineStr">
        <is>
          <t>2026-02-08</t>
        </is>
      </c>
      <c r="D539" s="5" t="n">
        <v>1485.46</v>
      </c>
      <c r="E539" s="4" t="inlineStr">
        <is>
          <t>Card</t>
        </is>
      </c>
      <c r="F539" s="4" t="inlineStr">
        <is>
          <t>CA</t>
        </is>
      </c>
      <c r="G539" s="4" t="inlineStr">
        <is>
          <t>Travel</t>
        </is>
      </c>
    </row>
    <row r="540">
      <c r="A540" s="2" t="inlineStr">
        <is>
          <t>TXN_000536</t>
        </is>
      </c>
      <c r="B540" s="2" t="inlineStr">
        <is>
          <t>C_00261</t>
        </is>
      </c>
      <c r="C540" s="2" t="inlineStr">
        <is>
          <t>2026-02-08</t>
        </is>
      </c>
      <c r="D540" s="3" t="n">
        <v>4554.52</v>
      </c>
      <c r="E540" s="2" t="inlineStr">
        <is>
          <t>Cash Deposit</t>
        </is>
      </c>
      <c r="F540" s="2" t="inlineStr">
        <is>
          <t>US</t>
        </is>
      </c>
      <c r="G540" s="2" t="inlineStr">
        <is>
          <t>Auto</t>
        </is>
      </c>
    </row>
    <row r="541">
      <c r="A541" s="4" t="inlineStr">
        <is>
          <t>TXN_000535</t>
        </is>
      </c>
      <c r="B541" s="4" t="inlineStr">
        <is>
          <t>C_00089</t>
        </is>
      </c>
      <c r="C541" s="4" t="inlineStr">
        <is>
          <t>2026-02-08</t>
        </is>
      </c>
      <c r="D541" s="5" t="n">
        <v>786.15</v>
      </c>
      <c r="E541" s="4" t="inlineStr">
        <is>
          <t>ACH</t>
        </is>
      </c>
      <c r="F541" s="4" t="inlineStr">
        <is>
          <t>CA</t>
        </is>
      </c>
      <c r="G541" s="4" t="inlineStr">
        <is>
          <t>Money Services</t>
        </is>
      </c>
    </row>
    <row r="542">
      <c r="A542" s="2" t="inlineStr">
        <is>
          <t>TXN_000534</t>
        </is>
      </c>
      <c r="B542" s="2" t="inlineStr">
        <is>
          <t>C_00266</t>
        </is>
      </c>
      <c r="C542" s="2" t="inlineStr">
        <is>
          <t>2026-02-08</t>
        </is>
      </c>
      <c r="D542" s="3" t="n">
        <v>259.73</v>
      </c>
      <c r="E542" s="2" t="inlineStr">
        <is>
          <t>Mobile App</t>
        </is>
      </c>
      <c r="F542" s="2" t="inlineStr">
        <is>
          <t>US</t>
        </is>
      </c>
      <c r="G542" s="2" t="inlineStr">
        <is>
          <t>Money Services</t>
        </is>
      </c>
    </row>
    <row r="543">
      <c r="A543" s="4" t="inlineStr">
        <is>
          <t>TXN_000543</t>
        </is>
      </c>
      <c r="B543" s="4" t="inlineStr">
        <is>
          <t>C_00022</t>
        </is>
      </c>
      <c r="C543" s="4" t="inlineStr">
        <is>
          <t>2026-02-08</t>
        </is>
      </c>
      <c r="D543" s="5" t="n">
        <v>3541.82</v>
      </c>
      <c r="E543" s="4" t="inlineStr">
        <is>
          <t>Cash Deposit</t>
        </is>
      </c>
      <c r="F543" s="4" t="inlineStr">
        <is>
          <t>RU</t>
        </is>
      </c>
      <c r="G543" s="4" t="inlineStr">
        <is>
          <t>Electronics</t>
        </is>
      </c>
    </row>
    <row r="544">
      <c r="A544" s="2" t="inlineStr">
        <is>
          <t>TXN_000533</t>
        </is>
      </c>
      <c r="B544" s="2" t="inlineStr">
        <is>
          <t>C_00051</t>
        </is>
      </c>
      <c r="C544" s="2" t="inlineStr">
        <is>
          <t>2026-02-08</t>
        </is>
      </c>
      <c r="D544" s="3" t="n">
        <v>2691.49</v>
      </c>
      <c r="E544" s="2" t="inlineStr">
        <is>
          <t>Mobile App</t>
        </is>
      </c>
      <c r="F544" s="2" t="inlineStr">
        <is>
          <t>RU</t>
        </is>
      </c>
      <c r="G544" s="2" t="inlineStr">
        <is>
          <t>Crypto Exchange</t>
        </is>
      </c>
    </row>
    <row r="545">
      <c r="A545" s="4" t="inlineStr">
        <is>
          <t>TXN_000541</t>
        </is>
      </c>
      <c r="B545" s="4" t="inlineStr">
        <is>
          <t>C_00098</t>
        </is>
      </c>
      <c r="C545" s="4" t="inlineStr">
        <is>
          <t>2026-02-08</t>
        </is>
      </c>
      <c r="D545" s="5" t="n">
        <v>1054.29</v>
      </c>
      <c r="E545" s="4" t="inlineStr">
        <is>
          <t>Cash Deposit</t>
        </is>
      </c>
      <c r="F545" s="4" t="inlineStr">
        <is>
          <t>MX</t>
        </is>
      </c>
      <c r="G545" s="4" t="inlineStr">
        <is>
          <t>Real Estate</t>
        </is>
      </c>
    </row>
    <row r="546">
      <c r="A546" s="2" t="inlineStr">
        <is>
          <t>TXN_000540</t>
        </is>
      </c>
      <c r="B546" s="2" t="inlineStr">
        <is>
          <t>C_00185</t>
        </is>
      </c>
      <c r="C546" s="2" t="inlineStr">
        <is>
          <t>2026-02-08</t>
        </is>
      </c>
      <c r="D546" s="3" t="n">
        <v>2025.08</v>
      </c>
      <c r="E546" s="2" t="inlineStr">
        <is>
          <t>Wire Transfer</t>
        </is>
      </c>
      <c r="F546" s="2" t="inlineStr">
        <is>
          <t>RU</t>
        </is>
      </c>
      <c r="G546" s="2" t="inlineStr">
        <is>
          <t>Real Estate</t>
        </is>
      </c>
    </row>
    <row r="547">
      <c r="A547" s="4" t="inlineStr">
        <is>
          <t>TXN_000539</t>
        </is>
      </c>
      <c r="B547" s="4" t="inlineStr">
        <is>
          <t>C_00233</t>
        </is>
      </c>
      <c r="C547" s="4" t="inlineStr">
        <is>
          <t>2026-02-08</t>
        </is>
      </c>
      <c r="D547" s="5" t="n">
        <v>817.88</v>
      </c>
      <c r="E547" s="4" t="inlineStr">
        <is>
          <t>ACH</t>
        </is>
      </c>
      <c r="F547" s="4" t="inlineStr">
        <is>
          <t>US</t>
        </is>
      </c>
      <c r="G547" s="4" t="inlineStr">
        <is>
          <t>Electronics</t>
        </is>
      </c>
    </row>
    <row r="548">
      <c r="A548" s="2" t="inlineStr">
        <is>
          <t>TXN_000538</t>
        </is>
      </c>
      <c r="B548" s="2" t="inlineStr">
        <is>
          <t>C_00192</t>
        </is>
      </c>
      <c r="C548" s="2" t="inlineStr">
        <is>
          <t>2026-02-08</t>
        </is>
      </c>
      <c r="D548" s="3" t="n">
        <v>1036.33</v>
      </c>
      <c r="E548" s="2" t="inlineStr">
        <is>
          <t>Wire Transfer</t>
        </is>
      </c>
      <c r="F548" s="2" t="inlineStr">
        <is>
          <t>US</t>
        </is>
      </c>
      <c r="G548" s="2" t="inlineStr">
        <is>
          <t>Jewelry</t>
        </is>
      </c>
    </row>
    <row r="549">
      <c r="A549" s="4" t="inlineStr">
        <is>
          <t>TXN_000542</t>
        </is>
      </c>
      <c r="B549" s="4" t="inlineStr">
        <is>
          <t>C_00097</t>
        </is>
      </c>
      <c r="C549" s="4" t="inlineStr">
        <is>
          <t>2026-02-08</t>
        </is>
      </c>
      <c r="D549" s="5" t="n">
        <v>973.0599999999999</v>
      </c>
      <c r="E549" s="4" t="inlineStr">
        <is>
          <t>Mobile App</t>
        </is>
      </c>
      <c r="F549" s="4" t="inlineStr">
        <is>
          <t>US</t>
        </is>
      </c>
      <c r="G549" s="4" t="inlineStr">
        <is>
          <t>Jewelry</t>
        </is>
      </c>
    </row>
    <row r="550">
      <c r="A550" s="2" t="inlineStr">
        <is>
          <t>TXN_001727</t>
        </is>
      </c>
      <c r="B550" s="2" t="inlineStr">
        <is>
          <t>C_00020</t>
        </is>
      </c>
      <c r="C550" s="2" t="inlineStr">
        <is>
          <t>2026-02-09</t>
        </is>
      </c>
      <c r="D550" s="3" t="n">
        <v>9914.059999999999</v>
      </c>
      <c r="E550" s="2" t="inlineStr">
        <is>
          <t>Cash Deposit</t>
        </is>
      </c>
      <c r="F550" s="2" t="inlineStr">
        <is>
          <t>US</t>
        </is>
      </c>
      <c r="G550" s="2" t="inlineStr">
        <is>
          <t>Money Services</t>
        </is>
      </c>
    </row>
    <row r="551">
      <c r="A551" s="4" t="inlineStr">
        <is>
          <t>TXN_001701</t>
        </is>
      </c>
      <c r="B551" s="4" t="inlineStr">
        <is>
          <t>C_00015</t>
        </is>
      </c>
      <c r="C551" s="4" t="inlineStr">
        <is>
          <t>2026-02-09</t>
        </is>
      </c>
      <c r="D551" s="5" t="n">
        <v>9145.57</v>
      </c>
      <c r="E551" s="4" t="inlineStr">
        <is>
          <t>Wire Transfer</t>
        </is>
      </c>
      <c r="F551" s="4" t="inlineStr">
        <is>
          <t>US</t>
        </is>
      </c>
      <c r="G551" s="4" t="inlineStr">
        <is>
          <t>Money Services</t>
        </is>
      </c>
    </row>
    <row r="552">
      <c r="A552" s="2" t="inlineStr">
        <is>
          <t>TXN_001719</t>
        </is>
      </c>
      <c r="B552" s="2" t="inlineStr">
        <is>
          <t>C_00019</t>
        </is>
      </c>
      <c r="C552" s="2" t="inlineStr">
        <is>
          <t>2026-02-09</t>
        </is>
      </c>
      <c r="D552" s="3" t="n">
        <v>9055.17</v>
      </c>
      <c r="E552" s="2" t="inlineStr">
        <is>
          <t>Cash Deposit</t>
        </is>
      </c>
      <c r="F552" s="2" t="inlineStr">
        <is>
          <t>US</t>
        </is>
      </c>
      <c r="G552" s="2" t="inlineStr">
        <is>
          <t>Money Services</t>
        </is>
      </c>
    </row>
    <row r="553">
      <c r="A553" s="4" t="inlineStr">
        <is>
          <t>TXN_001717</t>
        </is>
      </c>
      <c r="B553" s="4" t="inlineStr">
        <is>
          <t>C_00018</t>
        </is>
      </c>
      <c r="C553" s="4" t="inlineStr">
        <is>
          <t>2026-02-09</t>
        </is>
      </c>
      <c r="D553" s="5" t="n">
        <v>9843.709999999999</v>
      </c>
      <c r="E553" s="4" t="inlineStr">
        <is>
          <t>Wire Transfer</t>
        </is>
      </c>
      <c r="F553" s="4" t="inlineStr">
        <is>
          <t>US</t>
        </is>
      </c>
      <c r="G553" s="4" t="inlineStr">
        <is>
          <t>Money Services</t>
        </is>
      </c>
    </row>
    <row r="554">
      <c r="A554" s="2" t="inlineStr">
        <is>
          <t>TXN_001715</t>
        </is>
      </c>
      <c r="B554" s="2" t="inlineStr">
        <is>
          <t>C_00018</t>
        </is>
      </c>
      <c r="C554" s="2" t="inlineStr">
        <is>
          <t>2026-02-09</t>
        </is>
      </c>
      <c r="D554" s="3" t="n">
        <v>9293.49</v>
      </c>
      <c r="E554" s="2" t="inlineStr">
        <is>
          <t>Wire Transfer</t>
        </is>
      </c>
      <c r="F554" s="2" t="inlineStr">
        <is>
          <t>US</t>
        </is>
      </c>
      <c r="G554" s="2" t="inlineStr">
        <is>
          <t>Money Services</t>
        </is>
      </c>
    </row>
    <row r="555">
      <c r="A555" s="4" t="inlineStr">
        <is>
          <t>TXN_001710</t>
        </is>
      </c>
      <c r="B555" s="4" t="inlineStr">
        <is>
          <t>C_00017</t>
        </is>
      </c>
      <c r="C555" s="4" t="inlineStr">
        <is>
          <t>2026-02-09</t>
        </is>
      </c>
      <c r="D555" s="5" t="n">
        <v>9984.65</v>
      </c>
      <c r="E555" s="4" t="inlineStr">
        <is>
          <t>Wire Transfer</t>
        </is>
      </c>
      <c r="F555" s="4" t="inlineStr">
        <is>
          <t>US</t>
        </is>
      </c>
      <c r="G555" s="4" t="inlineStr">
        <is>
          <t>Money Services</t>
        </is>
      </c>
    </row>
    <row r="556">
      <c r="A556" s="2" t="inlineStr">
        <is>
          <t>TXN_001708</t>
        </is>
      </c>
      <c r="B556" s="2" t="inlineStr">
        <is>
          <t>C_00016</t>
        </is>
      </c>
      <c r="C556" s="2" t="inlineStr">
        <is>
          <t>2026-02-09</t>
        </is>
      </c>
      <c r="D556" s="3" t="n">
        <v>9997.15</v>
      </c>
      <c r="E556" s="2" t="inlineStr">
        <is>
          <t>Wire Transfer</t>
        </is>
      </c>
      <c r="F556" s="2" t="inlineStr">
        <is>
          <t>US</t>
        </is>
      </c>
      <c r="G556" s="2" t="inlineStr">
        <is>
          <t>Money Services</t>
        </is>
      </c>
    </row>
    <row r="557">
      <c r="A557" s="4" t="inlineStr">
        <is>
          <t>TXN_001698</t>
        </is>
      </c>
      <c r="B557" s="4" t="inlineStr">
        <is>
          <t>C_00015</t>
        </is>
      </c>
      <c r="C557" s="4" t="inlineStr">
        <is>
          <t>2026-02-09</t>
        </is>
      </c>
      <c r="D557" s="5" t="n">
        <v>9160.32</v>
      </c>
      <c r="E557" s="4" t="inlineStr">
        <is>
          <t>Wire Transfer</t>
        </is>
      </c>
      <c r="F557" s="4" t="inlineStr">
        <is>
          <t>US</t>
        </is>
      </c>
      <c r="G557" s="4" t="inlineStr">
        <is>
          <t>Money Services</t>
        </is>
      </c>
    </row>
    <row r="558">
      <c r="A558" s="2" t="inlineStr">
        <is>
          <t>TXN_001684</t>
        </is>
      </c>
      <c r="B558" s="2" t="inlineStr">
        <is>
          <t>C_00012</t>
        </is>
      </c>
      <c r="C558" s="2" t="inlineStr">
        <is>
          <t>2026-02-09</t>
        </is>
      </c>
      <c r="D558" s="3" t="n">
        <v>9670.610000000001</v>
      </c>
      <c r="E558" s="2" t="inlineStr">
        <is>
          <t>Wire Transfer</t>
        </is>
      </c>
      <c r="F558" s="2" t="inlineStr">
        <is>
          <t>US</t>
        </is>
      </c>
      <c r="G558" s="2" t="inlineStr">
        <is>
          <t>Money Services</t>
        </is>
      </c>
    </row>
    <row r="559">
      <c r="A559" s="4" t="inlineStr">
        <is>
          <t>TXN_001693</t>
        </is>
      </c>
      <c r="B559" s="4" t="inlineStr">
        <is>
          <t>C_00014</t>
        </is>
      </c>
      <c r="C559" s="4" t="inlineStr">
        <is>
          <t>2026-02-09</t>
        </is>
      </c>
      <c r="D559" s="5" t="n">
        <v>9948.969999999999</v>
      </c>
      <c r="E559" s="4" t="inlineStr">
        <is>
          <t>Wire Transfer</t>
        </is>
      </c>
      <c r="F559" s="4" t="inlineStr">
        <is>
          <t>US</t>
        </is>
      </c>
      <c r="G559" s="4" t="inlineStr">
        <is>
          <t>Money Services</t>
        </is>
      </c>
    </row>
    <row r="560">
      <c r="A560" s="2" t="inlineStr">
        <is>
          <t>TXN_001686</t>
        </is>
      </c>
      <c r="B560" s="2" t="inlineStr">
        <is>
          <t>C_00012</t>
        </is>
      </c>
      <c r="C560" s="2" t="inlineStr">
        <is>
          <t>2026-02-09</t>
        </is>
      </c>
      <c r="D560" s="3" t="n">
        <v>9682.389999999999</v>
      </c>
      <c r="E560" s="2" t="inlineStr">
        <is>
          <t>Wire Transfer</t>
        </is>
      </c>
      <c r="F560" s="2" t="inlineStr">
        <is>
          <t>US</t>
        </is>
      </c>
      <c r="G560" s="2" t="inlineStr">
        <is>
          <t>Money Services</t>
        </is>
      </c>
    </row>
    <row r="561">
      <c r="A561" s="4" t="inlineStr">
        <is>
          <t>TXN_001679</t>
        </is>
      </c>
      <c r="B561" s="4" t="inlineStr">
        <is>
          <t>C_00011</t>
        </is>
      </c>
      <c r="C561" s="4" t="inlineStr">
        <is>
          <t>2026-02-09</t>
        </is>
      </c>
      <c r="D561" s="5" t="n">
        <v>9383.17</v>
      </c>
      <c r="E561" s="4" t="inlineStr">
        <is>
          <t>Wire Transfer</t>
        </is>
      </c>
      <c r="F561" s="4" t="inlineStr">
        <is>
          <t>US</t>
        </is>
      </c>
      <c r="G561" s="4" t="inlineStr">
        <is>
          <t>Money Services</t>
        </is>
      </c>
    </row>
    <row r="562">
      <c r="A562" s="2" t="inlineStr">
        <is>
          <t>TXN_001678</t>
        </is>
      </c>
      <c r="B562" s="2" t="inlineStr">
        <is>
          <t>C_00010</t>
        </is>
      </c>
      <c r="C562" s="2" t="inlineStr">
        <is>
          <t>2026-02-09</t>
        </is>
      </c>
      <c r="D562" s="3" t="n">
        <v>9821.82</v>
      </c>
      <c r="E562" s="2" t="inlineStr">
        <is>
          <t>Wire Transfer</t>
        </is>
      </c>
      <c r="F562" s="2" t="inlineStr">
        <is>
          <t>US</t>
        </is>
      </c>
      <c r="G562" s="2" t="inlineStr">
        <is>
          <t>Money Services</t>
        </is>
      </c>
    </row>
    <row r="563">
      <c r="A563" s="4" t="inlineStr">
        <is>
          <t>TXN_001729</t>
        </is>
      </c>
      <c r="B563" s="4" t="inlineStr">
        <is>
          <t>C_00020</t>
        </is>
      </c>
      <c r="C563" s="4" t="inlineStr">
        <is>
          <t>2026-02-09</t>
        </is>
      </c>
      <c r="D563" s="5" t="n">
        <v>9693.540000000001</v>
      </c>
      <c r="E563" s="4" t="inlineStr">
        <is>
          <t>Wire Transfer</t>
        </is>
      </c>
      <c r="F563" s="4" t="inlineStr">
        <is>
          <t>US</t>
        </is>
      </c>
      <c r="G563" s="4" t="inlineStr">
        <is>
          <t>Money Services</t>
        </is>
      </c>
    </row>
    <row r="564">
      <c r="A564" s="2" t="inlineStr">
        <is>
          <t>TXN_001672</t>
        </is>
      </c>
      <c r="B564" s="2" t="inlineStr">
        <is>
          <t>C_00009</t>
        </is>
      </c>
      <c r="C564" s="2" t="inlineStr">
        <is>
          <t>2026-02-09</t>
        </is>
      </c>
      <c r="D564" s="3" t="n">
        <v>9229.98</v>
      </c>
      <c r="E564" s="2" t="inlineStr">
        <is>
          <t>Wire Transfer</t>
        </is>
      </c>
      <c r="F564" s="2" t="inlineStr">
        <is>
          <t>US</t>
        </is>
      </c>
      <c r="G564" s="2" t="inlineStr">
        <is>
          <t>Money Services</t>
        </is>
      </c>
    </row>
    <row r="565">
      <c r="A565" s="4" t="inlineStr">
        <is>
          <t>TXN_001670</t>
        </is>
      </c>
      <c r="B565" s="4" t="inlineStr">
        <is>
          <t>C_00009</t>
        </is>
      </c>
      <c r="C565" s="4" t="inlineStr">
        <is>
          <t>2026-02-09</t>
        </is>
      </c>
      <c r="D565" s="5" t="n">
        <v>9461.639999999999</v>
      </c>
      <c r="E565" s="4" t="inlineStr">
        <is>
          <t>Wire Transfer</t>
        </is>
      </c>
      <c r="F565" s="4" t="inlineStr">
        <is>
          <t>US</t>
        </is>
      </c>
      <c r="G565" s="4" t="inlineStr">
        <is>
          <t>Money Services</t>
        </is>
      </c>
    </row>
    <row r="566">
      <c r="A566" s="2" t="inlineStr">
        <is>
          <t>TXN_001667</t>
        </is>
      </c>
      <c r="B566" s="2" t="inlineStr">
        <is>
          <t>C_00008</t>
        </is>
      </c>
      <c r="C566" s="2" t="inlineStr">
        <is>
          <t>2026-02-09</t>
        </is>
      </c>
      <c r="D566" s="3" t="n">
        <v>9511.969999999999</v>
      </c>
      <c r="E566" s="2" t="inlineStr">
        <is>
          <t>Wire Transfer</t>
        </is>
      </c>
      <c r="F566" s="2" t="inlineStr">
        <is>
          <t>US</t>
        </is>
      </c>
      <c r="G566" s="2" t="inlineStr">
        <is>
          <t>Money Services</t>
        </is>
      </c>
    </row>
    <row r="567">
      <c r="A567" s="4" t="inlineStr">
        <is>
          <t>TXN_001665</t>
        </is>
      </c>
      <c r="B567" s="4" t="inlineStr">
        <is>
          <t>C_00008</t>
        </is>
      </c>
      <c r="C567" s="4" t="inlineStr">
        <is>
          <t>2026-02-09</t>
        </is>
      </c>
      <c r="D567" s="5" t="n">
        <v>9059.299999999999</v>
      </c>
      <c r="E567" s="4" t="inlineStr">
        <is>
          <t>Wire Transfer</t>
        </is>
      </c>
      <c r="F567" s="4" t="inlineStr">
        <is>
          <t>US</t>
        </is>
      </c>
      <c r="G567" s="4" t="inlineStr">
        <is>
          <t>Money Services</t>
        </is>
      </c>
    </row>
    <row r="568">
      <c r="A568" s="2" t="inlineStr">
        <is>
          <t>TXN_001663</t>
        </is>
      </c>
      <c r="B568" s="2" t="inlineStr">
        <is>
          <t>C_00007</t>
        </is>
      </c>
      <c r="C568" s="2" t="inlineStr">
        <is>
          <t>2026-02-09</t>
        </is>
      </c>
      <c r="D568" s="3" t="n">
        <v>9963.49</v>
      </c>
      <c r="E568" s="2" t="inlineStr">
        <is>
          <t>Wire Transfer</t>
        </is>
      </c>
      <c r="F568" s="2" t="inlineStr">
        <is>
          <t>US</t>
        </is>
      </c>
      <c r="G568" s="2" t="inlineStr">
        <is>
          <t>Money Services</t>
        </is>
      </c>
    </row>
    <row r="569">
      <c r="A569" s="4" t="inlineStr">
        <is>
          <t>TXN_001662</t>
        </is>
      </c>
      <c r="B569" s="4" t="inlineStr">
        <is>
          <t>C_00007</t>
        </is>
      </c>
      <c r="C569" s="4" t="inlineStr">
        <is>
          <t>2026-02-09</t>
        </is>
      </c>
      <c r="D569" s="5" t="n">
        <v>9532</v>
      </c>
      <c r="E569" s="4" t="inlineStr">
        <is>
          <t>Wire Transfer</t>
        </is>
      </c>
      <c r="F569" s="4" t="inlineStr">
        <is>
          <t>US</t>
        </is>
      </c>
      <c r="G569" s="4" t="inlineStr">
        <is>
          <t>Money Services</t>
        </is>
      </c>
    </row>
    <row r="570">
      <c r="A570" s="2" t="inlineStr">
        <is>
          <t>TXN_001641</t>
        </is>
      </c>
      <c r="B570" s="2" t="inlineStr">
        <is>
          <t>C_00003</t>
        </is>
      </c>
      <c r="C570" s="2" t="inlineStr">
        <is>
          <t>2026-02-09</t>
        </is>
      </c>
      <c r="D570" s="3" t="n">
        <v>9038.379999999999</v>
      </c>
      <c r="E570" s="2" t="inlineStr">
        <is>
          <t>Wire Transfer</t>
        </is>
      </c>
      <c r="F570" s="2" t="inlineStr">
        <is>
          <t>US</t>
        </is>
      </c>
      <c r="G570" s="2" t="inlineStr">
        <is>
          <t>Money Services</t>
        </is>
      </c>
    </row>
    <row r="571">
      <c r="A571" s="4" t="inlineStr">
        <is>
          <t>TXN_001697</t>
        </is>
      </c>
      <c r="B571" s="4" t="inlineStr">
        <is>
          <t>C_00014</t>
        </is>
      </c>
      <c r="C571" s="4" t="inlineStr">
        <is>
          <t>2026-02-09</t>
        </is>
      </c>
      <c r="D571" s="5" t="n">
        <v>9028.02</v>
      </c>
      <c r="E571" s="4" t="inlineStr">
        <is>
          <t>Wire Transfer</t>
        </is>
      </c>
      <c r="F571" s="4" t="inlineStr">
        <is>
          <t>US</t>
        </is>
      </c>
      <c r="G571" s="4" t="inlineStr">
        <is>
          <t>Money Services</t>
        </is>
      </c>
    </row>
    <row r="572">
      <c r="A572" s="2" t="inlineStr">
        <is>
          <t>TXN_001676</t>
        </is>
      </c>
      <c r="B572" s="2" t="inlineStr">
        <is>
          <t>C_00010</t>
        </is>
      </c>
      <c r="C572" s="2" t="inlineStr">
        <is>
          <t>2026-02-09</t>
        </is>
      </c>
      <c r="D572" s="3" t="n">
        <v>9333.299999999999</v>
      </c>
      <c r="E572" s="2" t="inlineStr">
        <is>
          <t>Cash Deposit</t>
        </is>
      </c>
      <c r="F572" s="2" t="inlineStr">
        <is>
          <t>US</t>
        </is>
      </c>
      <c r="G572" s="2" t="inlineStr">
        <is>
          <t>Money Services</t>
        </is>
      </c>
    </row>
    <row r="573">
      <c r="A573" s="4" t="inlineStr">
        <is>
          <t>TXN_001721</t>
        </is>
      </c>
      <c r="B573" s="4" t="inlineStr">
        <is>
          <t>C_00019</t>
        </is>
      </c>
      <c r="C573" s="4" t="inlineStr">
        <is>
          <t>2026-02-09</t>
        </is>
      </c>
      <c r="D573" s="5" t="n">
        <v>9048.879999999999</v>
      </c>
      <c r="E573" s="4" t="inlineStr">
        <is>
          <t>Cash Deposit</t>
        </is>
      </c>
      <c r="F573" s="4" t="inlineStr">
        <is>
          <t>US</t>
        </is>
      </c>
      <c r="G573" s="4" t="inlineStr">
        <is>
          <t>Money Services</t>
        </is>
      </c>
    </row>
    <row r="574">
      <c r="A574" s="2" t="inlineStr">
        <is>
          <t>TXN_001632</t>
        </is>
      </c>
      <c r="B574" s="2" t="inlineStr">
        <is>
          <t>C_00001</t>
        </is>
      </c>
      <c r="C574" s="2" t="inlineStr">
        <is>
          <t>2026-02-09</t>
        </is>
      </c>
      <c r="D574" s="3" t="n">
        <v>9713.23</v>
      </c>
      <c r="E574" s="2" t="inlineStr">
        <is>
          <t>Wire Transfer</t>
        </is>
      </c>
      <c r="F574" s="2" t="inlineStr">
        <is>
          <t>US</t>
        </is>
      </c>
      <c r="G574" s="2" t="inlineStr">
        <is>
          <t>Money Services</t>
        </is>
      </c>
    </row>
    <row r="575">
      <c r="A575" s="4" t="inlineStr">
        <is>
          <t>TXN_000555</t>
        </is>
      </c>
      <c r="B575" s="4" t="inlineStr">
        <is>
          <t>C_00131</t>
        </is>
      </c>
      <c r="C575" s="4" t="inlineStr">
        <is>
          <t>2026-02-09</t>
        </is>
      </c>
      <c r="D575" s="5" t="n">
        <v>515.78</v>
      </c>
      <c r="E575" s="4" t="inlineStr">
        <is>
          <t>Cash Deposit</t>
        </is>
      </c>
      <c r="F575" s="4" t="inlineStr">
        <is>
          <t>US</t>
        </is>
      </c>
      <c r="G575" s="4" t="inlineStr">
        <is>
          <t>Food &amp; Beverage</t>
        </is>
      </c>
    </row>
    <row r="576">
      <c r="A576" s="2" t="inlineStr">
        <is>
          <t>TXN_000554</t>
        </is>
      </c>
      <c r="B576" s="2" t="inlineStr">
        <is>
          <t>C_00207</t>
        </is>
      </c>
      <c r="C576" s="2" t="inlineStr">
        <is>
          <t>2026-02-09</t>
        </is>
      </c>
      <c r="D576" s="3" t="n">
        <v>6736.37</v>
      </c>
      <c r="E576" s="2" t="inlineStr">
        <is>
          <t>Card</t>
        </is>
      </c>
      <c r="F576" s="2" t="inlineStr">
        <is>
          <t>NG</t>
        </is>
      </c>
      <c r="G576" s="2" t="inlineStr">
        <is>
          <t>Retail</t>
        </is>
      </c>
    </row>
    <row r="577">
      <c r="A577" s="4" t="inlineStr">
        <is>
          <t>TXN_000553</t>
        </is>
      </c>
      <c r="B577" s="4" t="inlineStr">
        <is>
          <t>C_00143</t>
        </is>
      </c>
      <c r="C577" s="4" t="inlineStr">
        <is>
          <t>2026-02-09</t>
        </is>
      </c>
      <c r="D577" s="5" t="n">
        <v>2384.65</v>
      </c>
      <c r="E577" s="4" t="inlineStr">
        <is>
          <t>Mobile App</t>
        </is>
      </c>
      <c r="F577" s="4" t="inlineStr">
        <is>
          <t>MX</t>
        </is>
      </c>
      <c r="G577" s="4" t="inlineStr">
        <is>
          <t>Healthcare</t>
        </is>
      </c>
    </row>
    <row r="578">
      <c r="A578" s="2" t="inlineStr">
        <is>
          <t>TXN_000551</t>
        </is>
      </c>
      <c r="B578" s="2" t="inlineStr">
        <is>
          <t>C_00201</t>
        </is>
      </c>
      <c r="C578" s="2" t="inlineStr">
        <is>
          <t>2026-02-09</t>
        </is>
      </c>
      <c r="D578" s="3" t="n">
        <v>36051.81</v>
      </c>
      <c r="E578" s="2" t="inlineStr">
        <is>
          <t>Card</t>
        </is>
      </c>
      <c r="F578" s="2" t="inlineStr">
        <is>
          <t>RU</t>
        </is>
      </c>
      <c r="G578" s="2" t="inlineStr">
        <is>
          <t>Retail</t>
        </is>
      </c>
    </row>
    <row r="579">
      <c r="A579" s="4" t="inlineStr">
        <is>
          <t>TXN_000550</t>
        </is>
      </c>
      <c r="B579" s="4" t="inlineStr">
        <is>
          <t>C_00218</t>
        </is>
      </c>
      <c r="C579" s="4" t="inlineStr">
        <is>
          <t>2026-02-09</t>
        </is>
      </c>
      <c r="D579" s="5" t="n">
        <v>1572.59</v>
      </c>
      <c r="E579" s="4" t="inlineStr">
        <is>
          <t>Wire Transfer</t>
        </is>
      </c>
      <c r="F579" s="4" t="inlineStr">
        <is>
          <t>US</t>
        </is>
      </c>
      <c r="G579" s="4" t="inlineStr">
        <is>
          <t>Healthcare</t>
        </is>
      </c>
    </row>
    <row r="580">
      <c r="A580" s="2" t="inlineStr">
        <is>
          <t>TXN_000549</t>
        </is>
      </c>
      <c r="B580" s="2" t="inlineStr">
        <is>
          <t>C_00113</t>
        </is>
      </c>
      <c r="C580" s="2" t="inlineStr">
        <is>
          <t>2026-02-09</t>
        </is>
      </c>
      <c r="D580" s="3" t="n">
        <v>2588.16</v>
      </c>
      <c r="E580" s="2" t="inlineStr">
        <is>
          <t>ACH</t>
        </is>
      </c>
      <c r="F580" s="2" t="inlineStr">
        <is>
          <t>CA</t>
        </is>
      </c>
      <c r="G580" s="2" t="inlineStr">
        <is>
          <t>Healthcare</t>
        </is>
      </c>
    </row>
    <row r="581">
      <c r="A581" s="4" t="inlineStr">
        <is>
          <t>TXN_000548</t>
        </is>
      </c>
      <c r="B581" s="4" t="inlineStr">
        <is>
          <t>C_00075</t>
        </is>
      </c>
      <c r="C581" s="4" t="inlineStr">
        <is>
          <t>2026-02-09</t>
        </is>
      </c>
      <c r="D581" s="5" t="n">
        <v>4609.36</v>
      </c>
      <c r="E581" s="4" t="inlineStr">
        <is>
          <t>Wire Transfer</t>
        </is>
      </c>
      <c r="F581" s="4" t="inlineStr">
        <is>
          <t>US</t>
        </is>
      </c>
      <c r="G581" s="4" t="inlineStr">
        <is>
          <t>Real Estate</t>
        </is>
      </c>
    </row>
    <row r="582">
      <c r="A582" s="2" t="inlineStr">
        <is>
          <t>TXN_000552</t>
        </is>
      </c>
      <c r="B582" s="2" t="inlineStr">
        <is>
          <t>C_00134</t>
        </is>
      </c>
      <c r="C582" s="2" t="inlineStr">
        <is>
          <t>2026-02-09</t>
        </is>
      </c>
      <c r="D582" s="3" t="n">
        <v>547.4</v>
      </c>
      <c r="E582" s="2" t="inlineStr">
        <is>
          <t>ACH</t>
        </is>
      </c>
      <c r="F582" s="2" t="inlineStr">
        <is>
          <t>NG</t>
        </is>
      </c>
      <c r="G582" s="2" t="inlineStr">
        <is>
          <t>Jewelry</t>
        </is>
      </c>
    </row>
    <row r="583">
      <c r="A583" s="4" t="inlineStr">
        <is>
          <t>TXN_000546</t>
        </is>
      </c>
      <c r="B583" s="4" t="inlineStr">
        <is>
          <t>C_ORPHAN_009</t>
        </is>
      </c>
      <c r="C583" s="4" t="inlineStr">
        <is>
          <t>2026-02-09</t>
        </is>
      </c>
      <c r="D583" s="5" t="n">
        <v>912.5700000000001</v>
      </c>
      <c r="E583" s="4" t="inlineStr">
        <is>
          <t>ACH</t>
        </is>
      </c>
      <c r="F583" s="4" t="inlineStr">
        <is>
          <t>US</t>
        </is>
      </c>
      <c r="G583" s="4" t="inlineStr">
        <is>
          <t>Travel</t>
        </is>
      </c>
    </row>
    <row r="584">
      <c r="A584" s="2" t="inlineStr">
        <is>
          <t>TXN_000545</t>
        </is>
      </c>
      <c r="B584" s="2" t="inlineStr">
        <is>
          <t>C_00083</t>
        </is>
      </c>
      <c r="C584" s="2" t="inlineStr">
        <is>
          <t>2026-02-09</t>
        </is>
      </c>
      <c r="D584" s="3" t="n">
        <v>14347.9</v>
      </c>
      <c r="E584" s="2" t="inlineStr">
        <is>
          <t>Wire Transfer</t>
        </is>
      </c>
      <c r="F584" s="2" t="inlineStr">
        <is>
          <t>US</t>
        </is>
      </c>
      <c r="G584" s="2" t="inlineStr">
        <is>
          <t>Jewelry</t>
        </is>
      </c>
    </row>
    <row r="585">
      <c r="A585" s="4" t="inlineStr">
        <is>
          <t>TXN_000547</t>
        </is>
      </c>
      <c r="B585" s="4" t="inlineStr">
        <is>
          <t>C_00061</t>
        </is>
      </c>
      <c r="C585" s="4" t="inlineStr">
        <is>
          <t>2026-02-09</t>
        </is>
      </c>
      <c r="D585" s="5" t="n">
        <v>952.84</v>
      </c>
      <c r="E585" s="4" t="inlineStr">
        <is>
          <t>Cash Deposit</t>
        </is>
      </c>
      <c r="F585" s="4" t="inlineStr">
        <is>
          <t>NG</t>
        </is>
      </c>
      <c r="G585" s="4" t="inlineStr">
        <is>
          <t>Retail</t>
        </is>
      </c>
    </row>
    <row r="586">
      <c r="A586" s="2" t="inlineStr">
        <is>
          <t>TXN_000544</t>
        </is>
      </c>
      <c r="B586" s="2" t="inlineStr">
        <is>
          <t>C_00254</t>
        </is>
      </c>
      <c r="C586" s="2" t="inlineStr">
        <is>
          <t>2026-02-09</t>
        </is>
      </c>
      <c r="D586" s="3" t="n">
        <v>5162.28</v>
      </c>
      <c r="E586" s="2" t="inlineStr">
        <is>
          <t>Wire Transfer</t>
        </is>
      </c>
      <c r="F586" s="2" t="inlineStr">
        <is>
          <t>CN</t>
        </is>
      </c>
      <c r="G586" s="2" t="inlineStr">
        <is>
          <t>Electronics</t>
        </is>
      </c>
    </row>
    <row r="587">
      <c r="A587" s="4" t="inlineStr">
        <is>
          <t>TXN_000559</t>
        </is>
      </c>
      <c r="B587" s="4" t="inlineStr">
        <is>
          <t>C_00136</t>
        </is>
      </c>
      <c r="C587" s="4" t="inlineStr">
        <is>
          <t>2026-02-10</t>
        </is>
      </c>
      <c r="D587" s="5" t="n">
        <v>71071.2</v>
      </c>
      <c r="E587" s="4" t="inlineStr">
        <is>
          <t>Cash Deposit</t>
        </is>
      </c>
      <c r="F587" s="4" t="inlineStr">
        <is>
          <t>US</t>
        </is>
      </c>
      <c r="G587" s="4" t="inlineStr">
        <is>
          <t>Crypto Exchange</t>
        </is>
      </c>
    </row>
    <row r="588">
      <c r="A588" s="2" t="inlineStr">
        <is>
          <t>TXN_000558</t>
        </is>
      </c>
      <c r="B588" s="2" t="inlineStr">
        <is>
          <t>C_00054</t>
        </is>
      </c>
      <c r="C588" s="2" t="inlineStr">
        <is>
          <t>2026-02-10</t>
        </is>
      </c>
      <c r="D588" s="3" t="n">
        <v>621.5700000000001</v>
      </c>
      <c r="E588" s="2" t="inlineStr">
        <is>
          <t>Card</t>
        </is>
      </c>
      <c r="F588" s="2" t="inlineStr">
        <is>
          <t>US</t>
        </is>
      </c>
      <c r="G588" s="2" t="inlineStr">
        <is>
          <t>Electronics</t>
        </is>
      </c>
    </row>
    <row r="589">
      <c r="A589" s="4" t="inlineStr">
        <is>
          <t>TXN_000557</t>
        </is>
      </c>
      <c r="B589" s="4" t="inlineStr">
        <is>
          <t>C_00098</t>
        </is>
      </c>
      <c r="C589" s="4" t="inlineStr">
        <is>
          <t>2026-02-10</t>
        </is>
      </c>
      <c r="D589" s="5" t="n">
        <v>11973.51</v>
      </c>
      <c r="E589" s="4" t="inlineStr">
        <is>
          <t>Card</t>
        </is>
      </c>
      <c r="F589" s="4" t="inlineStr">
        <is>
          <t>NG</t>
        </is>
      </c>
      <c r="G589" s="4" t="inlineStr">
        <is>
          <t>Retail</t>
        </is>
      </c>
    </row>
    <row r="590">
      <c r="A590" s="2" t="inlineStr">
        <is>
          <t>TXN_000556</t>
        </is>
      </c>
      <c r="B590" s="2" t="inlineStr">
        <is>
          <t>C_00113</t>
        </is>
      </c>
      <c r="C590" s="2" t="inlineStr">
        <is>
          <t>2026-02-10</t>
        </is>
      </c>
      <c r="D590" s="3" t="n">
        <v>10067.85</v>
      </c>
      <c r="E590" s="2" t="inlineStr">
        <is>
          <t>Wire Transfer</t>
        </is>
      </c>
      <c r="F590" s="2" t="inlineStr">
        <is>
          <t>US</t>
        </is>
      </c>
      <c r="G590" s="2" t="inlineStr">
        <is>
          <t>Auto</t>
        </is>
      </c>
    </row>
    <row r="591">
      <c r="A591" s="4" t="inlineStr">
        <is>
          <t>TXN_001691</t>
        </is>
      </c>
      <c r="B591" s="4" t="inlineStr">
        <is>
          <t>C_00013</t>
        </is>
      </c>
      <c r="C591" s="4" t="inlineStr">
        <is>
          <t>2026-02-10</t>
        </is>
      </c>
      <c r="D591" s="5" t="n">
        <v>9882.98</v>
      </c>
      <c r="E591" s="4" t="inlineStr">
        <is>
          <t>Cash Deposit</t>
        </is>
      </c>
      <c r="F591" s="4" t="inlineStr">
        <is>
          <t>US</t>
        </is>
      </c>
      <c r="G591" s="4" t="inlineStr">
        <is>
          <t>Money Services</t>
        </is>
      </c>
    </row>
    <row r="592">
      <c r="A592" s="2" t="inlineStr">
        <is>
          <t>TXN_001633</t>
        </is>
      </c>
      <c r="B592" s="2" t="inlineStr">
        <is>
          <t>C_00001</t>
        </is>
      </c>
      <c r="C592" s="2" t="inlineStr">
        <is>
          <t>2026-02-10</t>
        </is>
      </c>
      <c r="D592" s="3" t="n">
        <v>9153.92</v>
      </c>
      <c r="E592" s="2" t="inlineStr">
        <is>
          <t>Wire Transfer</t>
        </is>
      </c>
      <c r="F592" s="2" t="inlineStr">
        <is>
          <t>US</t>
        </is>
      </c>
      <c r="G592" s="2" t="inlineStr">
        <is>
          <t>Money Services</t>
        </is>
      </c>
    </row>
    <row r="593">
      <c r="A593" s="4" t="inlineStr">
        <is>
          <t>TXN_001683</t>
        </is>
      </c>
      <c r="B593" s="4" t="inlineStr">
        <is>
          <t>C_00012</t>
        </is>
      </c>
      <c r="C593" s="4" t="inlineStr">
        <is>
          <t>2026-02-10</t>
        </is>
      </c>
      <c r="D593" s="5" t="n">
        <v>9883.33</v>
      </c>
      <c r="E593" s="4" t="inlineStr">
        <is>
          <t>Cash Deposit</t>
        </is>
      </c>
      <c r="F593" s="4" t="inlineStr">
        <is>
          <t>US</t>
        </is>
      </c>
      <c r="G593" s="4" t="inlineStr">
        <is>
          <t>Money Services</t>
        </is>
      </c>
    </row>
    <row r="594">
      <c r="A594" s="2" t="inlineStr">
        <is>
          <t>TXN_001680</t>
        </is>
      </c>
      <c r="B594" s="2" t="inlineStr">
        <is>
          <t>C_00011</t>
        </is>
      </c>
      <c r="C594" s="2" t="inlineStr">
        <is>
          <t>2026-02-10</t>
        </is>
      </c>
      <c r="D594" s="3" t="n">
        <v>9647.76</v>
      </c>
      <c r="E594" s="2" t="inlineStr">
        <is>
          <t>Cash Deposit</t>
        </is>
      </c>
      <c r="F594" s="2" t="inlineStr">
        <is>
          <t>US</t>
        </is>
      </c>
      <c r="G594" s="2" t="inlineStr">
        <is>
          <t>Money Services</t>
        </is>
      </c>
    </row>
    <row r="595">
      <c r="A595" s="4" t="inlineStr">
        <is>
          <t>TXN_001646</t>
        </is>
      </c>
      <c r="B595" s="4" t="inlineStr">
        <is>
          <t>C_00003</t>
        </is>
      </c>
      <c r="C595" s="4" t="inlineStr">
        <is>
          <t>2026-02-10</t>
        </is>
      </c>
      <c r="D595" s="5" t="n">
        <v>9597.48</v>
      </c>
      <c r="E595" s="4" t="inlineStr">
        <is>
          <t>Cash Deposit</t>
        </is>
      </c>
      <c r="F595" s="4" t="inlineStr">
        <is>
          <t>US</t>
        </is>
      </c>
      <c r="G595" s="4" t="inlineStr">
        <is>
          <t>Money Services</t>
        </is>
      </c>
    </row>
    <row r="596">
      <c r="A596" s="2" t="inlineStr">
        <is>
          <t>TXN_001702</t>
        </is>
      </c>
      <c r="B596" s="2" t="inlineStr">
        <is>
          <t>C_00015</t>
        </is>
      </c>
      <c r="C596" s="2" t="inlineStr">
        <is>
          <t>2026-02-10</t>
        </is>
      </c>
      <c r="D596" s="3" t="n">
        <v>9617.370000000001</v>
      </c>
      <c r="E596" s="2" t="inlineStr">
        <is>
          <t>Wire Transfer</t>
        </is>
      </c>
      <c r="F596" s="2" t="inlineStr">
        <is>
          <t>US</t>
        </is>
      </c>
      <c r="G596" s="2" t="inlineStr">
        <is>
          <t>Money Services</t>
        </is>
      </c>
    </row>
    <row r="597">
      <c r="A597" s="4" t="inlineStr">
        <is>
          <t>TXN_001654</t>
        </is>
      </c>
      <c r="B597" s="4" t="inlineStr">
        <is>
          <t>C_00005</t>
        </is>
      </c>
      <c r="C597" s="4" t="inlineStr">
        <is>
          <t>2026-02-10</t>
        </is>
      </c>
      <c r="D597" s="5" t="n">
        <v>9019.530000000001</v>
      </c>
      <c r="E597" s="4" t="inlineStr">
        <is>
          <t>Cash Deposit</t>
        </is>
      </c>
      <c r="F597" s="4" t="inlineStr">
        <is>
          <t>US</t>
        </is>
      </c>
      <c r="G597" s="4" t="inlineStr">
        <is>
          <t>Money Services</t>
        </is>
      </c>
    </row>
    <row r="598">
      <c r="A598" s="2" t="inlineStr">
        <is>
          <t>TXN_001656</t>
        </is>
      </c>
      <c r="B598" s="2" t="inlineStr">
        <is>
          <t>C_00006</t>
        </is>
      </c>
      <c r="C598" s="2" t="inlineStr">
        <is>
          <t>2026-02-10</t>
        </is>
      </c>
      <c r="D598" s="3" t="n">
        <v>9761.469999999999</v>
      </c>
      <c r="E598" s="2" t="inlineStr">
        <is>
          <t>Cash Deposit</t>
        </is>
      </c>
      <c r="F598" s="2" t="inlineStr">
        <is>
          <t>US</t>
        </is>
      </c>
      <c r="G598" s="2" t="inlineStr">
        <is>
          <t>Money Services</t>
        </is>
      </c>
    </row>
    <row r="599">
      <c r="A599" s="4" t="inlineStr">
        <is>
          <t>TXN_001681</t>
        </is>
      </c>
      <c r="B599" s="4" t="inlineStr">
        <is>
          <t>C_00011</t>
        </is>
      </c>
      <c r="C599" s="4" t="inlineStr">
        <is>
          <t>2026-02-10</t>
        </is>
      </c>
      <c r="D599" s="5" t="n">
        <v>9550.24</v>
      </c>
      <c r="E599" s="4" t="inlineStr">
        <is>
          <t>Wire Transfer</t>
        </is>
      </c>
      <c r="F599" s="4" t="inlineStr">
        <is>
          <t>US</t>
        </is>
      </c>
      <c r="G599" s="4" t="inlineStr">
        <is>
          <t>Money Services</t>
        </is>
      </c>
    </row>
    <row r="600">
      <c r="A600" s="2" t="inlineStr">
        <is>
          <t>TXN_000560</t>
        </is>
      </c>
      <c r="B600" s="2" t="inlineStr">
        <is>
          <t>C_00182</t>
        </is>
      </c>
      <c r="C600" s="2" t="inlineStr">
        <is>
          <t>2026-02-10</t>
        </is>
      </c>
      <c r="D600" s="3" t="n">
        <v>11329.62</v>
      </c>
      <c r="E600" s="2" t="inlineStr">
        <is>
          <t>ACH</t>
        </is>
      </c>
      <c r="F600" s="2" t="inlineStr">
        <is>
          <t>RU</t>
        </is>
      </c>
      <c r="G600" s="2" t="inlineStr">
        <is>
          <t>Auto</t>
        </is>
      </c>
    </row>
    <row r="601">
      <c r="A601" s="4" t="inlineStr">
        <is>
          <t>TXN_001685</t>
        </is>
      </c>
      <c r="B601" s="4" t="inlineStr">
        <is>
          <t>C_00012</t>
        </is>
      </c>
      <c r="C601" s="4" t="inlineStr">
        <is>
          <t>2026-02-10</t>
        </is>
      </c>
      <c r="D601" s="5" t="n">
        <v>9220.940000000001</v>
      </c>
      <c r="E601" s="4" t="inlineStr">
        <is>
          <t>Cash Deposit</t>
        </is>
      </c>
      <c r="F601" s="4" t="inlineStr">
        <is>
          <t>US</t>
        </is>
      </c>
      <c r="G601" s="4" t="inlineStr">
        <is>
          <t>Money Services</t>
        </is>
      </c>
    </row>
    <row r="602">
      <c r="A602" s="2" t="inlineStr">
        <is>
          <t>TXN_000566</t>
        </is>
      </c>
      <c r="B602" s="2" t="inlineStr">
        <is>
          <t>C_00076</t>
        </is>
      </c>
      <c r="C602" s="2" t="inlineStr">
        <is>
          <t>2026-02-10</t>
        </is>
      </c>
      <c r="D602" s="3" t="n">
        <v>2998.72</v>
      </c>
      <c r="E602" s="2" t="inlineStr">
        <is>
          <t>ACH</t>
        </is>
      </c>
      <c r="F602" s="2" t="inlineStr">
        <is>
          <t>CA</t>
        </is>
      </c>
      <c r="G602" s="2" t="inlineStr">
        <is>
          <t>Retail</t>
        </is>
      </c>
    </row>
    <row r="603">
      <c r="A603" s="4" t="inlineStr">
        <is>
          <t>TXN_000569</t>
        </is>
      </c>
      <c r="B603" s="4" t="inlineStr">
        <is>
          <t>C_00255</t>
        </is>
      </c>
      <c r="C603" s="4" t="inlineStr">
        <is>
          <t>2026-02-10</t>
        </is>
      </c>
      <c r="D603" s="5" t="n">
        <v>334.35</v>
      </c>
      <c r="E603" s="4" t="inlineStr">
        <is>
          <t>ACH</t>
        </is>
      </c>
      <c r="F603" s="4" t="inlineStr">
        <is>
          <t>US</t>
        </is>
      </c>
      <c r="G603" s="4" t="inlineStr">
        <is>
          <t>Food &amp; Beverage</t>
        </is>
      </c>
    </row>
    <row r="604">
      <c r="A604" s="2" t="inlineStr">
        <is>
          <t>TXN_000568</t>
        </is>
      </c>
      <c r="B604" s="2" t="inlineStr">
        <is>
          <t>C_00229</t>
        </is>
      </c>
      <c r="C604" s="2" t="inlineStr">
        <is>
          <t>2026-02-10</t>
        </is>
      </c>
      <c r="D604" s="3" t="n">
        <v>1986.92</v>
      </c>
      <c r="E604" s="2" t="inlineStr">
        <is>
          <t>Cash Deposit</t>
        </is>
      </c>
      <c r="F604" s="2" t="inlineStr">
        <is>
          <t>US</t>
        </is>
      </c>
      <c r="G604" s="2" t="inlineStr">
        <is>
          <t>Electronics</t>
        </is>
      </c>
    </row>
    <row r="605">
      <c r="A605" s="4" t="inlineStr">
        <is>
          <t>TXN_000567</t>
        </is>
      </c>
      <c r="B605" s="4" t="inlineStr">
        <is>
          <t>C_00211</t>
        </is>
      </c>
      <c r="C605" s="4" t="inlineStr">
        <is>
          <t>2026-02-10</t>
        </is>
      </c>
      <c r="D605" s="5" t="n">
        <v>815.8200000000001</v>
      </c>
      <c r="E605" s="4" t="inlineStr">
        <is>
          <t>Mobile App</t>
        </is>
      </c>
      <c r="F605" s="4" t="inlineStr">
        <is>
          <t>CN</t>
        </is>
      </c>
      <c r="G605" s="4" t="inlineStr">
        <is>
          <t>Healthcare</t>
        </is>
      </c>
    </row>
    <row r="606">
      <c r="A606" s="2" t="inlineStr">
        <is>
          <t>TXN_000565</t>
        </is>
      </c>
      <c r="B606" s="2" t="inlineStr">
        <is>
          <t>C_00047</t>
        </is>
      </c>
      <c r="C606" s="2" t="inlineStr">
        <is>
          <t>2026-02-10</t>
        </is>
      </c>
      <c r="D606" s="3" t="n">
        <v>2143.06</v>
      </c>
      <c r="E606" s="2" t="inlineStr">
        <is>
          <t>Card</t>
        </is>
      </c>
      <c r="F606" s="2" t="inlineStr">
        <is>
          <t>CA</t>
        </is>
      </c>
      <c r="G606" s="2" t="inlineStr">
        <is>
          <t>Healthcare</t>
        </is>
      </c>
    </row>
    <row r="607">
      <c r="A607" s="4" t="inlineStr">
        <is>
          <t>TXN_000564</t>
        </is>
      </c>
      <c r="B607" s="4" t="inlineStr">
        <is>
          <t>C_00171</t>
        </is>
      </c>
      <c r="C607" s="4" t="inlineStr">
        <is>
          <t>2026-02-10</t>
        </is>
      </c>
      <c r="D607" s="5" t="n">
        <v>7107.99</v>
      </c>
      <c r="E607" s="4" t="inlineStr">
        <is>
          <t>Card</t>
        </is>
      </c>
      <c r="F607" s="4" t="inlineStr">
        <is>
          <t>CN</t>
        </is>
      </c>
      <c r="G607" s="4" t="inlineStr">
        <is>
          <t>Auto</t>
        </is>
      </c>
    </row>
    <row r="608">
      <c r="A608" s="2" t="inlineStr">
        <is>
          <t>TXN_000561</t>
        </is>
      </c>
      <c r="B608" s="2" t="inlineStr">
        <is>
          <t>C_00241</t>
        </is>
      </c>
      <c r="C608" s="2" t="inlineStr">
        <is>
          <t>2026-02-10</t>
        </is>
      </c>
      <c r="D608" s="3" t="n">
        <v>801.9</v>
      </c>
      <c r="E608" s="2" t="inlineStr">
        <is>
          <t>Cash Deposit</t>
        </is>
      </c>
      <c r="F608" s="2" t="inlineStr">
        <is>
          <t>RU</t>
        </is>
      </c>
      <c r="G608" s="2" t="inlineStr">
        <is>
          <t>Retail</t>
        </is>
      </c>
    </row>
    <row r="609">
      <c r="A609" s="4" t="inlineStr">
        <is>
          <t>TXN_000562</t>
        </is>
      </c>
      <c r="B609" s="4" t="inlineStr">
        <is>
          <t>C_00204</t>
        </is>
      </c>
      <c r="C609" s="4" t="inlineStr">
        <is>
          <t>2026-02-10</t>
        </is>
      </c>
      <c r="D609" s="5" t="n">
        <v>122.56</v>
      </c>
      <c r="E609" s="4" t="inlineStr">
        <is>
          <t>Wire Transfer</t>
        </is>
      </c>
      <c r="F609" s="4" t="inlineStr">
        <is>
          <t>US</t>
        </is>
      </c>
      <c r="G609" s="4" t="inlineStr">
        <is>
          <t>Travel</t>
        </is>
      </c>
    </row>
    <row r="610">
      <c r="A610" s="2" t="inlineStr">
        <is>
          <t>TXN_000563</t>
        </is>
      </c>
      <c r="B610" s="2" t="inlineStr">
        <is>
          <t>C_00298</t>
        </is>
      </c>
      <c r="C610" s="2" t="inlineStr">
        <is>
          <t>2026-02-10</t>
        </is>
      </c>
      <c r="D610" s="3" t="n">
        <v>2909.37</v>
      </c>
      <c r="E610" s="2" t="inlineStr">
        <is>
          <t>Wire Transfer</t>
        </is>
      </c>
      <c r="F610" s="2" t="inlineStr">
        <is>
          <t>AE</t>
        </is>
      </c>
      <c r="G610" s="2" t="inlineStr">
        <is>
          <t>Jewelry</t>
        </is>
      </c>
    </row>
    <row r="611">
      <c r="A611" s="4" t="inlineStr">
        <is>
          <t>TXN_000574</t>
        </is>
      </c>
      <c r="B611" s="4" t="inlineStr">
        <is>
          <t>C_00078</t>
        </is>
      </c>
      <c r="C611" s="4" t="inlineStr">
        <is>
          <t>2026-02-11</t>
        </is>
      </c>
      <c r="D611" s="5" t="n">
        <v>834.35</v>
      </c>
      <c r="E611" s="4" t="inlineStr">
        <is>
          <t>Card</t>
        </is>
      </c>
      <c r="F611" s="4" t="inlineStr">
        <is>
          <t>US</t>
        </is>
      </c>
      <c r="G611" s="4" t="inlineStr">
        <is>
          <t>Auto</t>
        </is>
      </c>
    </row>
    <row r="612">
      <c r="A612" s="2" t="inlineStr">
        <is>
          <t>TXN_000575</t>
        </is>
      </c>
      <c r="B612" s="2" t="inlineStr">
        <is>
          <t>C_00276</t>
        </is>
      </c>
      <c r="C612" s="2" t="inlineStr">
        <is>
          <t>2026-02-11</t>
        </is>
      </c>
      <c r="D612" s="3" t="n">
        <v>2520.43</v>
      </c>
      <c r="E612" s="2" t="inlineStr">
        <is>
          <t>Cash Deposit</t>
        </is>
      </c>
      <c r="F612" s="2" t="inlineStr">
        <is>
          <t>US</t>
        </is>
      </c>
      <c r="G612" s="2" t="inlineStr">
        <is>
          <t>Jewelry</t>
        </is>
      </c>
    </row>
    <row r="613">
      <c r="A613" s="4" t="inlineStr">
        <is>
          <t>TXN_001638</t>
        </is>
      </c>
      <c r="B613" s="4" t="inlineStr">
        <is>
          <t>C_00002</t>
        </is>
      </c>
      <c r="C613" s="4" t="inlineStr">
        <is>
          <t>2026-02-11</t>
        </is>
      </c>
      <c r="D613" s="5" t="n">
        <v>9954.860000000001</v>
      </c>
      <c r="E613" s="4" t="inlineStr">
        <is>
          <t>Wire Transfer</t>
        </is>
      </c>
      <c r="F613" s="4" t="inlineStr">
        <is>
          <t>US</t>
        </is>
      </c>
      <c r="G613" s="4" t="inlineStr">
        <is>
          <t>Money Services</t>
        </is>
      </c>
    </row>
    <row r="614">
      <c r="A614" s="2" t="inlineStr">
        <is>
          <t>TXN_001642</t>
        </is>
      </c>
      <c r="B614" s="2" t="inlineStr">
        <is>
          <t>C_00003</t>
        </is>
      </c>
      <c r="C614" s="2" t="inlineStr">
        <is>
          <t>2026-02-11</t>
        </is>
      </c>
      <c r="D614" s="3" t="n">
        <v>9905.309999999999</v>
      </c>
      <c r="E614" s="2" t="inlineStr">
        <is>
          <t>Wire Transfer</t>
        </is>
      </c>
      <c r="F614" s="2" t="inlineStr">
        <is>
          <t>US</t>
        </is>
      </c>
      <c r="G614" s="2" t="inlineStr">
        <is>
          <t>Money Services</t>
        </is>
      </c>
    </row>
    <row r="615">
      <c r="A615" s="4" t="inlineStr">
        <is>
          <t>TXN_000580</t>
        </is>
      </c>
      <c r="B615" s="4" t="inlineStr">
        <is>
          <t>C_00146</t>
        </is>
      </c>
      <c r="C615" s="4" t="inlineStr">
        <is>
          <t>2026-02-11</t>
        </is>
      </c>
      <c r="D615" s="5" t="n">
        <v>3001.78</v>
      </c>
      <c r="E615" s="4" t="inlineStr">
        <is>
          <t>Card</t>
        </is>
      </c>
      <c r="F615" s="4" t="inlineStr">
        <is>
          <t>US</t>
        </is>
      </c>
      <c r="G615" s="4" t="inlineStr">
        <is>
          <t>Money Services</t>
        </is>
      </c>
    </row>
    <row r="616">
      <c r="A616" s="2" t="inlineStr">
        <is>
          <t>TXN_000576</t>
        </is>
      </c>
      <c r="B616" s="2" t="inlineStr">
        <is>
          <t>C_00058</t>
        </is>
      </c>
      <c r="C616" s="2" t="inlineStr">
        <is>
          <t>2026-02-11</t>
        </is>
      </c>
      <c r="D616" s="3" t="n">
        <v>5133.85</v>
      </c>
      <c r="E616" s="2" t="inlineStr">
        <is>
          <t>ACH</t>
        </is>
      </c>
      <c r="F616" s="2" t="inlineStr">
        <is>
          <t>AE</t>
        </is>
      </c>
      <c r="G616" s="2" t="inlineStr">
        <is>
          <t>Retail</t>
        </is>
      </c>
    </row>
    <row r="617">
      <c r="A617" s="4" t="inlineStr">
        <is>
          <t>TXN_001649</t>
        </is>
      </c>
      <c r="B617" s="4" t="inlineStr">
        <is>
          <t>C_00004</t>
        </is>
      </c>
      <c r="C617" s="4" t="inlineStr">
        <is>
          <t>2026-02-11</t>
        </is>
      </c>
      <c r="D617" s="5" t="n">
        <v>9479.66</v>
      </c>
      <c r="E617" s="4" t="inlineStr">
        <is>
          <t>Cash Deposit</t>
        </is>
      </c>
      <c r="F617" s="4" t="inlineStr">
        <is>
          <t>US</t>
        </is>
      </c>
      <c r="G617" s="4" t="inlineStr">
        <is>
          <t>Money Services</t>
        </is>
      </c>
    </row>
    <row r="618">
      <c r="A618" s="2" t="inlineStr">
        <is>
          <t>TXN_001650</t>
        </is>
      </c>
      <c r="B618" s="2" t="inlineStr">
        <is>
          <t>C_00004</t>
        </is>
      </c>
      <c r="C618" s="2" t="inlineStr">
        <is>
          <t>2026-02-11</t>
        </is>
      </c>
      <c r="D618" s="3" t="n">
        <v>9424.129999999999</v>
      </c>
      <c r="E618" s="2" t="inlineStr">
        <is>
          <t>Cash Deposit</t>
        </is>
      </c>
      <c r="F618" s="2" t="inlineStr">
        <is>
          <t>US</t>
        </is>
      </c>
      <c r="G618" s="2" t="inlineStr">
        <is>
          <t>Money Services</t>
        </is>
      </c>
    </row>
    <row r="619">
      <c r="A619" s="4" t="inlineStr">
        <is>
          <t>TXN_001631</t>
        </is>
      </c>
      <c r="B619" s="4" t="inlineStr">
        <is>
          <t>C_00001</t>
        </is>
      </c>
      <c r="C619" s="4" t="inlineStr">
        <is>
          <t>2026-02-11</t>
        </is>
      </c>
      <c r="D619" s="5" t="n">
        <v>9879.18</v>
      </c>
      <c r="E619" s="4" t="inlineStr">
        <is>
          <t>Wire Transfer</t>
        </is>
      </c>
      <c r="F619" s="4" t="inlineStr">
        <is>
          <t>US</t>
        </is>
      </c>
      <c r="G619" s="4" t="inlineStr">
        <is>
          <t>Money Services</t>
        </is>
      </c>
    </row>
    <row r="620">
      <c r="A620" s="2" t="inlineStr">
        <is>
          <t>TXN_001634</t>
        </is>
      </c>
      <c r="B620" s="2" t="inlineStr">
        <is>
          <t>C_00001</t>
        </is>
      </c>
      <c r="C620" s="2" t="inlineStr">
        <is>
          <t>2026-02-11</t>
        </is>
      </c>
      <c r="D620" s="3" t="n">
        <v>9653.23</v>
      </c>
      <c r="E620" s="2" t="inlineStr">
        <is>
          <t>Cash Deposit</t>
        </is>
      </c>
      <c r="F620" s="2" t="inlineStr">
        <is>
          <t>US</t>
        </is>
      </c>
      <c r="G620" s="2" t="inlineStr">
        <is>
          <t>Money Services</t>
        </is>
      </c>
    </row>
    <row r="621">
      <c r="A621" s="4" t="inlineStr">
        <is>
          <t>TXN_000577</t>
        </is>
      </c>
      <c r="B621" s="4" t="inlineStr">
        <is>
          <t>C_00200</t>
        </is>
      </c>
      <c r="C621" s="4" t="inlineStr">
        <is>
          <t>2026-02-11</t>
        </is>
      </c>
      <c r="D621" s="5" t="n">
        <v>67.53</v>
      </c>
      <c r="E621" s="4" t="inlineStr">
        <is>
          <t>Cash Deposit</t>
        </is>
      </c>
      <c r="F621" s="4" t="inlineStr">
        <is>
          <t>US</t>
        </is>
      </c>
      <c r="G621" s="4" t="inlineStr">
        <is>
          <t>Money Services</t>
        </is>
      </c>
    </row>
    <row r="622">
      <c r="A622" s="2" t="inlineStr">
        <is>
          <t>TXN_000578</t>
        </is>
      </c>
      <c r="B622" s="2" t="inlineStr">
        <is>
          <t>C_00132</t>
        </is>
      </c>
      <c r="C622" s="2" t="inlineStr">
        <is>
          <t>2026-02-11</t>
        </is>
      </c>
      <c r="D622" s="3" t="n">
        <v>734.46</v>
      </c>
      <c r="E622" s="2" t="inlineStr">
        <is>
          <t>Card</t>
        </is>
      </c>
      <c r="F622" s="2" t="inlineStr">
        <is>
          <t>NG</t>
        </is>
      </c>
      <c r="G622" s="2" t="inlineStr">
        <is>
          <t>Food &amp; Beverage</t>
        </is>
      </c>
    </row>
    <row r="623">
      <c r="A623" s="4" t="inlineStr">
        <is>
          <t>TXN_000579</t>
        </is>
      </c>
      <c r="B623" s="4" t="inlineStr">
        <is>
          <t>C_00233</t>
        </is>
      </c>
      <c r="C623" s="4" t="inlineStr">
        <is>
          <t>2026-02-11</t>
        </is>
      </c>
      <c r="D623" s="5" t="n">
        <v>1271.45</v>
      </c>
      <c r="E623" s="4" t="inlineStr">
        <is>
          <t>Card</t>
        </is>
      </c>
      <c r="F623" s="4" t="inlineStr">
        <is>
          <t>US</t>
        </is>
      </c>
      <c r="G623" s="4" t="inlineStr">
        <is>
          <t>Auto</t>
        </is>
      </c>
    </row>
    <row r="624">
      <c r="A624" s="2" t="inlineStr">
        <is>
          <t>TXN_000581</t>
        </is>
      </c>
      <c r="B624" s="2" t="inlineStr">
        <is>
          <t>C_00090</t>
        </is>
      </c>
      <c r="C624" s="2" t="inlineStr">
        <is>
          <t>2026-02-11</t>
        </is>
      </c>
      <c r="D624" s="3" t="n">
        <v>4473.09</v>
      </c>
      <c r="E624" s="2" t="inlineStr">
        <is>
          <t>Wire Transfer</t>
        </is>
      </c>
      <c r="F624" s="2" t="inlineStr">
        <is>
          <t>MX</t>
        </is>
      </c>
      <c r="G624" s="2" t="inlineStr">
        <is>
          <t>Travel</t>
        </is>
      </c>
    </row>
    <row r="625">
      <c r="A625" s="4" t="inlineStr">
        <is>
          <t>TXN_000573</t>
        </is>
      </c>
      <c r="B625" s="4" t="inlineStr">
        <is>
          <t>C_00229</t>
        </is>
      </c>
      <c r="C625" s="4" t="inlineStr">
        <is>
          <t>2026-02-11</t>
        </is>
      </c>
      <c r="D625" s="5" t="n">
        <v>5402.32</v>
      </c>
      <c r="E625" s="4" t="inlineStr">
        <is>
          <t>ACH</t>
        </is>
      </c>
      <c r="F625" s="4" t="inlineStr">
        <is>
          <t>US</t>
        </is>
      </c>
      <c r="G625" s="4" t="inlineStr">
        <is>
          <t>Electronics</t>
        </is>
      </c>
    </row>
    <row r="626">
      <c r="A626" s="2" t="inlineStr">
        <is>
          <t>TXN_000583</t>
        </is>
      </c>
      <c r="B626" s="2" t="inlineStr">
        <is>
          <t>C_00137</t>
        </is>
      </c>
      <c r="C626" s="2" t="inlineStr">
        <is>
          <t>2026-02-11</t>
        </is>
      </c>
      <c r="D626" s="3" t="n">
        <v>2255.76</v>
      </c>
      <c r="E626" s="2" t="inlineStr">
        <is>
          <t>Wire Transfer</t>
        </is>
      </c>
      <c r="F626" s="2" t="inlineStr">
        <is>
          <t>US</t>
        </is>
      </c>
      <c r="G626" s="2" t="inlineStr">
        <is>
          <t>Auto</t>
        </is>
      </c>
    </row>
    <row r="627">
      <c r="A627" s="4" t="inlineStr">
        <is>
          <t>TXN_001712</t>
        </is>
      </c>
      <c r="B627" s="4" t="inlineStr">
        <is>
          <t>C_00017</t>
        </is>
      </c>
      <c r="C627" s="4" t="inlineStr">
        <is>
          <t>2026-02-11</t>
        </is>
      </c>
      <c r="D627" s="5" t="n">
        <v>9322.32</v>
      </c>
      <c r="E627" s="4" t="inlineStr">
        <is>
          <t>Wire Transfer</t>
        </is>
      </c>
      <c r="F627" s="4" t="inlineStr">
        <is>
          <t>US</t>
        </is>
      </c>
      <c r="G627" s="4" t="inlineStr">
        <is>
          <t>Money Services</t>
        </is>
      </c>
    </row>
    <row r="628">
      <c r="A628" s="2" t="inlineStr">
        <is>
          <t>TXN_000571</t>
        </is>
      </c>
      <c r="B628" s="2" t="inlineStr">
        <is>
          <t>C_00211</t>
        </is>
      </c>
      <c r="C628" s="2" t="inlineStr">
        <is>
          <t>2026-02-11</t>
        </is>
      </c>
      <c r="D628" s="3" t="n">
        <v>17422.34</v>
      </c>
      <c r="E628" s="2" t="inlineStr">
        <is>
          <t>Card</t>
        </is>
      </c>
      <c r="F628" s="2" t="inlineStr">
        <is>
          <t>CN</t>
        </is>
      </c>
      <c r="G628" s="2" t="inlineStr">
        <is>
          <t>Auto</t>
        </is>
      </c>
    </row>
    <row r="629">
      <c r="A629" s="4" t="inlineStr">
        <is>
          <t>TXN_001700</t>
        </is>
      </c>
      <c r="B629" s="4" t="inlineStr">
        <is>
          <t>C_00015</t>
        </is>
      </c>
      <c r="C629" s="4" t="inlineStr">
        <is>
          <t>2026-02-11</t>
        </is>
      </c>
      <c r="D629" s="5" t="n">
        <v>9377.01</v>
      </c>
      <c r="E629" s="4" t="inlineStr">
        <is>
          <t>Wire Transfer</t>
        </is>
      </c>
      <c r="F629" s="4" t="inlineStr">
        <is>
          <t>US</t>
        </is>
      </c>
      <c r="G629" s="4" t="inlineStr">
        <is>
          <t>Money Services</t>
        </is>
      </c>
    </row>
    <row r="630">
      <c r="A630" s="2" t="inlineStr">
        <is>
          <t>TXN_001713</t>
        </is>
      </c>
      <c r="B630" s="2" t="inlineStr">
        <is>
          <t>C_00018</t>
        </is>
      </c>
      <c r="C630" s="2" t="inlineStr">
        <is>
          <t>2026-02-11</t>
        </is>
      </c>
      <c r="D630" s="3" t="n">
        <v>9414.85</v>
      </c>
      <c r="E630" s="2" t="inlineStr">
        <is>
          <t>Cash Deposit</t>
        </is>
      </c>
      <c r="F630" s="2" t="inlineStr">
        <is>
          <t>US</t>
        </is>
      </c>
      <c r="G630" s="2" t="inlineStr">
        <is>
          <t>Money Services</t>
        </is>
      </c>
    </row>
    <row r="631">
      <c r="A631" s="4" t="inlineStr">
        <is>
          <t>TXN_001674</t>
        </is>
      </c>
      <c r="B631" s="4" t="inlineStr">
        <is>
          <t>C_00009</t>
        </is>
      </c>
      <c r="C631" s="4" t="inlineStr">
        <is>
          <t>2026-02-11</t>
        </is>
      </c>
      <c r="D631" s="5" t="n">
        <v>9382.559999999999</v>
      </c>
      <c r="E631" s="4" t="inlineStr">
        <is>
          <t>Wire Transfer</t>
        </is>
      </c>
      <c r="F631" s="4" t="inlineStr">
        <is>
          <t>US</t>
        </is>
      </c>
      <c r="G631" s="4" t="inlineStr">
        <is>
          <t>Money Services</t>
        </is>
      </c>
    </row>
    <row r="632">
      <c r="A632" s="2" t="inlineStr">
        <is>
          <t>TXN_000570</t>
        </is>
      </c>
      <c r="B632" s="2" t="inlineStr">
        <is>
          <t>C_00094</t>
        </is>
      </c>
      <c r="C632" s="2" t="inlineStr">
        <is>
          <t>2026-02-11</t>
        </is>
      </c>
      <c r="D632" s="3" t="n">
        <v>1852.04</v>
      </c>
      <c r="E632" s="2" t="inlineStr">
        <is>
          <t>Mobile App</t>
        </is>
      </c>
      <c r="F632" s="2" t="inlineStr">
        <is>
          <t>MX</t>
        </is>
      </c>
      <c r="G632" s="2" t="inlineStr">
        <is>
          <t>Auto</t>
        </is>
      </c>
    </row>
    <row r="633">
      <c r="A633" s="4" t="inlineStr">
        <is>
          <t>TXN_001695</t>
        </is>
      </c>
      <c r="B633" s="4" t="inlineStr">
        <is>
          <t>C_00014</t>
        </is>
      </c>
      <c r="C633" s="4" t="inlineStr">
        <is>
          <t>2026-02-11</t>
        </is>
      </c>
      <c r="D633" s="5" t="n">
        <v>9008.709999999999</v>
      </c>
      <c r="E633" s="4" t="inlineStr">
        <is>
          <t>Cash Deposit</t>
        </is>
      </c>
      <c r="F633" s="4" t="inlineStr">
        <is>
          <t>US</t>
        </is>
      </c>
      <c r="G633" s="4" t="inlineStr">
        <is>
          <t>Money Services</t>
        </is>
      </c>
    </row>
    <row r="634">
      <c r="A634" s="2" t="inlineStr">
        <is>
          <t>TXN_001726</t>
        </is>
      </c>
      <c r="B634" s="2" t="inlineStr">
        <is>
          <t>C_00020</t>
        </is>
      </c>
      <c r="C634" s="2" t="inlineStr">
        <is>
          <t>2026-02-11</t>
        </is>
      </c>
      <c r="D634" s="3" t="n">
        <v>9372.57</v>
      </c>
      <c r="E634" s="2" t="inlineStr">
        <is>
          <t>Cash Deposit</t>
        </is>
      </c>
      <c r="F634" s="2" t="inlineStr">
        <is>
          <t>US</t>
        </is>
      </c>
      <c r="G634" s="2" t="inlineStr">
        <is>
          <t>Money Services</t>
        </is>
      </c>
    </row>
    <row r="635">
      <c r="A635" s="4" t="inlineStr">
        <is>
          <t>TXN_001723</t>
        </is>
      </c>
      <c r="B635" s="4" t="inlineStr">
        <is>
          <t>C_00019</t>
        </is>
      </c>
      <c r="C635" s="4" t="inlineStr">
        <is>
          <t>2026-02-11</t>
        </is>
      </c>
      <c r="D635" s="5" t="n">
        <v>9701.26</v>
      </c>
      <c r="E635" s="4" t="inlineStr">
        <is>
          <t>Wire Transfer</t>
        </is>
      </c>
      <c r="F635" s="4" t="inlineStr">
        <is>
          <t>US</t>
        </is>
      </c>
      <c r="G635" s="4" t="inlineStr">
        <is>
          <t>Money Services</t>
        </is>
      </c>
    </row>
    <row r="636">
      <c r="A636" s="2" t="inlineStr">
        <is>
          <t>TXN_000582</t>
        </is>
      </c>
      <c r="B636" s="2" t="inlineStr">
        <is>
          <t>C_00119</t>
        </is>
      </c>
      <c r="C636" s="2" t="inlineStr">
        <is>
          <t>2026-02-11</t>
        </is>
      </c>
      <c r="D636" s="3" t="n">
        <v>140.64</v>
      </c>
      <c r="E636" s="2" t="inlineStr">
        <is>
          <t>Card</t>
        </is>
      </c>
      <c r="F636" s="2" t="inlineStr">
        <is>
          <t>US</t>
        </is>
      </c>
      <c r="G636" s="2" t="inlineStr">
        <is>
          <t>Electronics</t>
        </is>
      </c>
    </row>
    <row r="637">
      <c r="A637" s="4" t="inlineStr">
        <is>
          <t>TXN_001688</t>
        </is>
      </c>
      <c r="B637" s="4" t="inlineStr">
        <is>
          <t>C_00013</t>
        </is>
      </c>
      <c r="C637" s="4" t="inlineStr">
        <is>
          <t>2026-02-11</t>
        </is>
      </c>
      <c r="D637" s="5" t="n">
        <v>9913.120000000001</v>
      </c>
      <c r="E637" s="4" t="inlineStr">
        <is>
          <t>Cash Deposit</t>
        </is>
      </c>
      <c r="F637" s="4" t="inlineStr">
        <is>
          <t>US</t>
        </is>
      </c>
      <c r="G637" s="4" t="inlineStr">
        <is>
          <t>Money Services</t>
        </is>
      </c>
    </row>
    <row r="638">
      <c r="A638" s="2" t="inlineStr">
        <is>
          <t>TXN_000572</t>
        </is>
      </c>
      <c r="B638" s="2" t="inlineStr">
        <is>
          <t>C_00253</t>
        </is>
      </c>
      <c r="C638" s="2" t="inlineStr">
        <is>
          <t>2026-02-11</t>
        </is>
      </c>
      <c r="D638" s="3" t="n">
        <v>18648.43</v>
      </c>
      <c r="E638" s="2" t="inlineStr">
        <is>
          <t>ACH</t>
        </is>
      </c>
      <c r="F638" s="2" t="inlineStr">
        <is>
          <t>RU</t>
        </is>
      </c>
      <c r="G638" s="2" t="inlineStr">
        <is>
          <t>Crypto Exchange</t>
        </is>
      </c>
    </row>
    <row r="639">
      <c r="A639" s="4" t="inlineStr">
        <is>
          <t>TXN_001637</t>
        </is>
      </c>
      <c r="B639" s="4" t="inlineStr">
        <is>
          <t>C_00002</t>
        </is>
      </c>
      <c r="C639" s="4" t="inlineStr">
        <is>
          <t>2026-02-12</t>
        </is>
      </c>
      <c r="D639" s="5" t="n">
        <v>9417.969999999999</v>
      </c>
      <c r="E639" s="4" t="inlineStr">
        <is>
          <t>Cash Deposit</t>
        </is>
      </c>
      <c r="F639" s="4" t="inlineStr">
        <is>
          <t>US</t>
        </is>
      </c>
      <c r="G639" s="4" t="inlineStr">
        <is>
          <t>Money Services</t>
        </is>
      </c>
    </row>
    <row r="640">
      <c r="A640" s="2" t="inlineStr">
        <is>
          <t>TXN_001639</t>
        </is>
      </c>
      <c r="B640" s="2" t="inlineStr">
        <is>
          <t>C_00002</t>
        </is>
      </c>
      <c r="C640" s="2" t="inlineStr">
        <is>
          <t>2026-02-12</t>
        </is>
      </c>
      <c r="D640" s="3" t="n">
        <v>9537.950000000001</v>
      </c>
      <c r="E640" s="2" t="inlineStr">
        <is>
          <t>Wire Transfer</t>
        </is>
      </c>
      <c r="F640" s="2" t="inlineStr">
        <is>
          <t>US</t>
        </is>
      </c>
      <c r="G640" s="2" t="inlineStr">
        <is>
          <t>Money Services</t>
        </is>
      </c>
    </row>
    <row r="641">
      <c r="A641" s="4" t="inlineStr">
        <is>
          <t>TXN_001640</t>
        </is>
      </c>
      <c r="B641" s="4" t="inlineStr">
        <is>
          <t>C_00002</t>
        </is>
      </c>
      <c r="C641" s="4" t="inlineStr">
        <is>
          <t>2026-02-12</t>
        </is>
      </c>
      <c r="D641" s="5" t="n">
        <v>9806.190000000001</v>
      </c>
      <c r="E641" s="4" t="inlineStr">
        <is>
          <t>Wire Transfer</t>
        </is>
      </c>
      <c r="F641" s="4" t="inlineStr">
        <is>
          <t>US</t>
        </is>
      </c>
      <c r="G641" s="4" t="inlineStr">
        <is>
          <t>Money Services</t>
        </is>
      </c>
    </row>
    <row r="642">
      <c r="A642" s="2" t="inlineStr">
        <is>
          <t>TXN_001682</t>
        </is>
      </c>
      <c r="B642" s="2" t="inlineStr">
        <is>
          <t>C_00011</t>
        </is>
      </c>
      <c r="C642" s="2" t="inlineStr">
        <is>
          <t>2026-02-12</t>
        </is>
      </c>
      <c r="D642" s="3" t="n">
        <v>9305.040000000001</v>
      </c>
      <c r="E642" s="2" t="inlineStr">
        <is>
          <t>Cash Deposit</t>
        </is>
      </c>
      <c r="F642" s="2" t="inlineStr">
        <is>
          <t>US</t>
        </is>
      </c>
      <c r="G642" s="2" t="inlineStr">
        <is>
          <t>Money Services</t>
        </is>
      </c>
    </row>
    <row r="643">
      <c r="A643" s="4" t="inlineStr">
        <is>
          <t>TXN_001645</t>
        </is>
      </c>
      <c r="B643" s="4" t="inlineStr">
        <is>
          <t>C_00003</t>
        </is>
      </c>
      <c r="C643" s="4" t="inlineStr">
        <is>
          <t>2026-02-12</t>
        </is>
      </c>
      <c r="D643" s="5" t="n">
        <v>9780.52</v>
      </c>
      <c r="E643" s="4" t="inlineStr">
        <is>
          <t>Cash Deposit</t>
        </is>
      </c>
      <c r="F643" s="4" t="inlineStr">
        <is>
          <t>US</t>
        </is>
      </c>
      <c r="G643" s="4" t="inlineStr">
        <is>
          <t>Money Services</t>
        </is>
      </c>
    </row>
    <row r="644">
      <c r="A644" s="2" t="inlineStr">
        <is>
          <t>TXN_001652</t>
        </is>
      </c>
      <c r="B644" s="2" t="inlineStr">
        <is>
          <t>C_00005</t>
        </is>
      </c>
      <c r="C644" s="2" t="inlineStr">
        <is>
          <t>2026-02-12</t>
        </is>
      </c>
      <c r="D644" s="3" t="n">
        <v>9293.299999999999</v>
      </c>
      <c r="E644" s="2" t="inlineStr">
        <is>
          <t>Wire Transfer</t>
        </is>
      </c>
      <c r="F644" s="2" t="inlineStr">
        <is>
          <t>US</t>
        </is>
      </c>
      <c r="G644" s="2" t="inlineStr">
        <is>
          <t>Money Services</t>
        </is>
      </c>
    </row>
    <row r="645">
      <c r="A645" s="4" t="inlineStr">
        <is>
          <t>TXN_001653</t>
        </is>
      </c>
      <c r="B645" s="4" t="inlineStr">
        <is>
          <t>C_00005</t>
        </is>
      </c>
      <c r="C645" s="4" t="inlineStr">
        <is>
          <t>2026-02-12</t>
        </is>
      </c>
      <c r="D645" s="5" t="n">
        <v>9789.620000000001</v>
      </c>
      <c r="E645" s="4" t="inlineStr">
        <is>
          <t>Cash Deposit</t>
        </is>
      </c>
      <c r="F645" s="4" t="inlineStr">
        <is>
          <t>US</t>
        </is>
      </c>
      <c r="G645" s="4" t="inlineStr">
        <is>
          <t>Money Services</t>
        </is>
      </c>
    </row>
    <row r="646">
      <c r="A646" s="2" t="inlineStr">
        <is>
          <t>TXN_001658</t>
        </is>
      </c>
      <c r="B646" s="2" t="inlineStr">
        <is>
          <t>C_00006</t>
        </is>
      </c>
      <c r="C646" s="2" t="inlineStr">
        <is>
          <t>2026-02-12</t>
        </is>
      </c>
      <c r="D646" s="3" t="n">
        <v>9743.030000000001</v>
      </c>
      <c r="E646" s="2" t="inlineStr">
        <is>
          <t>Wire Transfer</t>
        </is>
      </c>
      <c r="F646" s="2" t="inlineStr">
        <is>
          <t>US</t>
        </is>
      </c>
      <c r="G646" s="2" t="inlineStr">
        <is>
          <t>Money Services</t>
        </is>
      </c>
    </row>
    <row r="647">
      <c r="A647" s="4" t="inlineStr">
        <is>
          <t>TXN_001661</t>
        </is>
      </c>
      <c r="B647" s="4" t="inlineStr">
        <is>
          <t>C_00007</t>
        </is>
      </c>
      <c r="C647" s="4" t="inlineStr">
        <is>
          <t>2026-02-12</t>
        </is>
      </c>
      <c r="D647" s="5" t="n">
        <v>9443.35</v>
      </c>
      <c r="E647" s="4" t="inlineStr">
        <is>
          <t>Cash Deposit</t>
        </is>
      </c>
      <c r="F647" s="4" t="inlineStr">
        <is>
          <t>US</t>
        </is>
      </c>
      <c r="G647" s="4" t="inlineStr">
        <is>
          <t>Money Services</t>
        </is>
      </c>
    </row>
    <row r="648">
      <c r="A648" s="2" t="inlineStr">
        <is>
          <t>TXN_001673</t>
        </is>
      </c>
      <c r="B648" s="2" t="inlineStr">
        <is>
          <t>C_00009</t>
        </is>
      </c>
      <c r="C648" s="2" t="inlineStr">
        <is>
          <t>2026-02-12</t>
        </is>
      </c>
      <c r="D648" s="3" t="n">
        <v>9770.52</v>
      </c>
      <c r="E648" s="2" t="inlineStr">
        <is>
          <t>Wire Transfer</t>
        </is>
      </c>
      <c r="F648" s="2" t="inlineStr">
        <is>
          <t>US</t>
        </is>
      </c>
      <c r="G648" s="2" t="inlineStr">
        <is>
          <t>Money Services</t>
        </is>
      </c>
    </row>
    <row r="649">
      <c r="A649" s="4" t="inlineStr">
        <is>
          <t>TXN_001664</t>
        </is>
      </c>
      <c r="B649" s="4" t="inlineStr">
        <is>
          <t>C_00007</t>
        </is>
      </c>
      <c r="C649" s="4" t="inlineStr">
        <is>
          <t>2026-02-12</t>
        </is>
      </c>
      <c r="D649" s="5" t="n">
        <v>9847.43</v>
      </c>
      <c r="E649" s="4" t="inlineStr">
        <is>
          <t>Wire Transfer</t>
        </is>
      </c>
      <c r="F649" s="4" t="inlineStr">
        <is>
          <t>US</t>
        </is>
      </c>
      <c r="G649" s="4" t="inlineStr">
        <is>
          <t>Money Services</t>
        </is>
      </c>
    </row>
    <row r="650">
      <c r="A650" s="2" t="inlineStr">
        <is>
          <t>TXN_001644</t>
        </is>
      </c>
      <c r="B650" s="2" t="inlineStr">
        <is>
          <t>C_00003</t>
        </is>
      </c>
      <c r="C650" s="2" t="inlineStr">
        <is>
          <t>2026-02-12</t>
        </is>
      </c>
      <c r="D650" s="3" t="n">
        <v>9212.58</v>
      </c>
      <c r="E650" s="2" t="inlineStr">
        <is>
          <t>Cash Deposit</t>
        </is>
      </c>
      <c r="F650" s="2" t="inlineStr">
        <is>
          <t>US</t>
        </is>
      </c>
      <c r="G650" s="2" t="inlineStr">
        <is>
          <t>Money Services</t>
        </is>
      </c>
    </row>
    <row r="651">
      <c r="A651" s="4" t="inlineStr">
        <is>
          <t>TXN_001711</t>
        </is>
      </c>
      <c r="B651" s="4" t="inlineStr">
        <is>
          <t>C_00017</t>
        </is>
      </c>
      <c r="C651" s="4" t="inlineStr">
        <is>
          <t>2026-02-12</t>
        </is>
      </c>
      <c r="D651" s="5" t="n">
        <v>9065.120000000001</v>
      </c>
      <c r="E651" s="4" t="inlineStr">
        <is>
          <t>Wire Transfer</t>
        </is>
      </c>
      <c r="F651" s="4" t="inlineStr">
        <is>
          <t>US</t>
        </is>
      </c>
      <c r="G651" s="4" t="inlineStr">
        <is>
          <t>Money Services</t>
        </is>
      </c>
    </row>
    <row r="652">
      <c r="A652" s="2" t="inlineStr">
        <is>
          <t>TXN_000596</t>
        </is>
      </c>
      <c r="B652" s="2" t="inlineStr">
        <is>
          <t>C_00083</t>
        </is>
      </c>
      <c r="C652" s="2" t="inlineStr">
        <is>
          <t>2026-02-12</t>
        </is>
      </c>
      <c r="D652" s="3" t="n">
        <v>1183.35</v>
      </c>
      <c r="E652" s="2" t="inlineStr">
        <is>
          <t>Wire Transfer</t>
        </is>
      </c>
      <c r="F652" s="2" t="inlineStr">
        <is>
          <t>US</t>
        </is>
      </c>
      <c r="G652" s="2" t="inlineStr">
        <is>
          <t>Money Services</t>
        </is>
      </c>
    </row>
    <row r="653">
      <c r="A653" s="4" t="inlineStr">
        <is>
          <t>TXN_000591</t>
        </is>
      </c>
      <c r="B653" s="4" t="inlineStr">
        <is>
          <t>C_00245</t>
        </is>
      </c>
      <c r="C653" s="4" t="inlineStr">
        <is>
          <t>2026-02-12</t>
        </is>
      </c>
      <c r="D653" s="5" t="n">
        <v>12744.84</v>
      </c>
      <c r="E653" s="4" t="inlineStr">
        <is>
          <t>Cash Deposit</t>
        </is>
      </c>
      <c r="F653" s="4" t="inlineStr">
        <is>
          <t>US</t>
        </is>
      </c>
      <c r="G653" s="4" t="inlineStr">
        <is>
          <t>Auto</t>
        </is>
      </c>
    </row>
    <row r="654">
      <c r="A654" s="2" t="inlineStr">
        <is>
          <t>TXN_000598</t>
        </is>
      </c>
      <c r="B654" s="2" t="inlineStr">
        <is>
          <t>C_00244</t>
        </is>
      </c>
      <c r="C654" s="2" t="inlineStr">
        <is>
          <t>2026-02-12</t>
        </is>
      </c>
      <c r="D654" s="3" t="n">
        <v>155.45</v>
      </c>
      <c r="E654" s="2" t="inlineStr">
        <is>
          <t>Mobile App</t>
        </is>
      </c>
      <c r="F654" s="2" t="inlineStr">
        <is>
          <t>US</t>
        </is>
      </c>
      <c r="G654" s="2" t="inlineStr">
        <is>
          <t>Healthcare</t>
        </is>
      </c>
    </row>
    <row r="655">
      <c r="A655" s="4" t="inlineStr">
        <is>
          <t>TXN_000597</t>
        </is>
      </c>
      <c r="B655" s="4" t="inlineStr">
        <is>
          <t>C_00172</t>
        </is>
      </c>
      <c r="C655" s="4" t="inlineStr">
        <is>
          <t>2026-02-12</t>
        </is>
      </c>
      <c r="D655" s="5" t="n">
        <v>915.9299999999999</v>
      </c>
      <c r="E655" s="4" t="inlineStr">
        <is>
          <t>ACH</t>
        </is>
      </c>
      <c r="F655" s="4" t="inlineStr">
        <is>
          <t>MX</t>
        </is>
      </c>
      <c r="G655" s="4" t="inlineStr">
        <is>
          <t>Jewelry</t>
        </is>
      </c>
    </row>
    <row r="656">
      <c r="A656" s="2" t="inlineStr">
        <is>
          <t>TXN_000595</t>
        </is>
      </c>
      <c r="B656" s="2" t="inlineStr">
        <is>
          <t>C_00022</t>
        </is>
      </c>
      <c r="C656" s="2" t="inlineStr">
        <is>
          <t>2026-02-12</t>
        </is>
      </c>
      <c r="D656" s="3" t="n">
        <v>6453.6</v>
      </c>
      <c r="E656" s="2" t="inlineStr">
        <is>
          <t>Card</t>
        </is>
      </c>
      <c r="F656" s="2" t="inlineStr">
        <is>
          <t>AE</t>
        </is>
      </c>
      <c r="G656" s="2" t="inlineStr">
        <is>
          <t>Travel</t>
        </is>
      </c>
    </row>
    <row r="657">
      <c r="A657" s="4" t="inlineStr">
        <is>
          <t>TXN_000594</t>
        </is>
      </c>
      <c r="B657" s="4" t="inlineStr">
        <is>
          <t>C_00171</t>
        </is>
      </c>
      <c r="C657" s="4" t="inlineStr">
        <is>
          <t>2026-02-12</t>
        </is>
      </c>
      <c r="D657" s="5" t="n">
        <v>282.2</v>
      </c>
      <c r="E657" s="4" t="inlineStr">
        <is>
          <t>Card</t>
        </is>
      </c>
      <c r="F657" s="4" t="inlineStr">
        <is>
          <t>US</t>
        </is>
      </c>
      <c r="G657" s="4" t="inlineStr">
        <is>
          <t>Healthcare</t>
        </is>
      </c>
    </row>
    <row r="658">
      <c r="A658" s="2" t="inlineStr">
        <is>
          <t>TXN_000593</t>
        </is>
      </c>
      <c r="B658" s="2" t="inlineStr">
        <is>
          <t>C_00039</t>
        </is>
      </c>
      <c r="C658" s="2" t="inlineStr">
        <is>
          <t>2026-02-12</t>
        </is>
      </c>
      <c r="D658" s="3" t="n">
        <v>1210.82</v>
      </c>
      <c r="E658" s="2" t="inlineStr">
        <is>
          <t>Cash Deposit</t>
        </is>
      </c>
      <c r="F658" s="2" t="inlineStr">
        <is>
          <t>CA</t>
        </is>
      </c>
      <c r="G658" s="2" t="inlineStr">
        <is>
          <t>Healthcare</t>
        </is>
      </c>
    </row>
    <row r="659">
      <c r="A659" s="4" t="inlineStr">
        <is>
          <t>TXN_000590</t>
        </is>
      </c>
      <c r="B659" s="4" t="inlineStr">
        <is>
          <t>C_00076</t>
        </is>
      </c>
      <c r="C659" s="4" t="inlineStr">
        <is>
          <t>2026-02-12</t>
        </is>
      </c>
      <c r="D659" s="5" t="n">
        <v>12127.18</v>
      </c>
      <c r="E659" s="4" t="inlineStr">
        <is>
          <t>Wire Transfer</t>
        </is>
      </c>
      <c r="F659" s="4" t="inlineStr">
        <is>
          <t>CA</t>
        </is>
      </c>
      <c r="G659" s="4" t="inlineStr">
        <is>
          <t>Travel</t>
        </is>
      </c>
    </row>
    <row r="660">
      <c r="A660" s="2" t="inlineStr">
        <is>
          <t>TXN_000589</t>
        </is>
      </c>
      <c r="B660" s="2" t="inlineStr">
        <is>
          <t>C_00028</t>
        </is>
      </c>
      <c r="C660" s="2" t="inlineStr">
        <is>
          <t>2026-02-12</t>
        </is>
      </c>
      <c r="D660" s="3" t="n">
        <v>370.32</v>
      </c>
      <c r="E660" s="2" t="inlineStr">
        <is>
          <t>Card</t>
        </is>
      </c>
      <c r="F660" s="2" t="inlineStr">
        <is>
          <t>US</t>
        </is>
      </c>
      <c r="G660" s="2" t="inlineStr">
        <is>
          <t>Jewelry</t>
        </is>
      </c>
    </row>
    <row r="661">
      <c r="A661" s="4" t="inlineStr">
        <is>
          <t>TXN_000592</t>
        </is>
      </c>
      <c r="B661" s="4" t="inlineStr">
        <is>
          <t>C_00040</t>
        </is>
      </c>
      <c r="C661" s="4" t="inlineStr">
        <is>
          <t>2026-02-12</t>
        </is>
      </c>
      <c r="D661" s="5" t="n">
        <v>720.72</v>
      </c>
      <c r="E661" s="4" t="inlineStr">
        <is>
          <t>Cash Deposit</t>
        </is>
      </c>
      <c r="F661" s="4" t="inlineStr">
        <is>
          <t>CN</t>
        </is>
      </c>
      <c r="G661" s="4" t="inlineStr">
        <is>
          <t>Food &amp; Beverage</t>
        </is>
      </c>
    </row>
    <row r="662">
      <c r="A662" s="2" t="inlineStr">
        <is>
          <t>TXN_000585</t>
        </is>
      </c>
      <c r="B662" s="2" t="inlineStr">
        <is>
          <t>C_00057</t>
        </is>
      </c>
      <c r="C662" s="2" t="inlineStr">
        <is>
          <t>2026-02-12</t>
        </is>
      </c>
      <c r="D662" s="3" t="n">
        <v>20695.68</v>
      </c>
      <c r="E662" s="2" t="inlineStr">
        <is>
          <t>Card</t>
        </is>
      </c>
      <c r="F662" s="2" t="inlineStr">
        <is>
          <t>US</t>
        </is>
      </c>
      <c r="G662" s="2" t="inlineStr">
        <is>
          <t>Retail</t>
        </is>
      </c>
    </row>
    <row r="663">
      <c r="A663" s="4" t="inlineStr">
        <is>
          <t>TXN_000588</t>
        </is>
      </c>
      <c r="B663" s="4" t="inlineStr">
        <is>
          <t>C_00241</t>
        </is>
      </c>
      <c r="C663" s="4" t="inlineStr">
        <is>
          <t>2026-02-12</t>
        </is>
      </c>
      <c r="D663" s="5" t="n">
        <v>1623.47</v>
      </c>
      <c r="E663" s="4" t="inlineStr">
        <is>
          <t>ACH</t>
        </is>
      </c>
      <c r="F663" s="4" t="inlineStr">
        <is>
          <t>CA</t>
        </is>
      </c>
      <c r="G663" s="4" t="inlineStr">
        <is>
          <t>Retail</t>
        </is>
      </c>
    </row>
    <row r="664">
      <c r="A664" s="2" t="inlineStr">
        <is>
          <t>TXN_000587</t>
        </is>
      </c>
      <c r="B664" s="2" t="inlineStr">
        <is>
          <t>C_00145</t>
        </is>
      </c>
      <c r="C664" s="2" t="inlineStr">
        <is>
          <t>2026-02-12</t>
        </is>
      </c>
      <c r="D664" s="3" t="n">
        <v>705.49</v>
      </c>
      <c r="E664" s="2" t="inlineStr">
        <is>
          <t>Cash Deposit</t>
        </is>
      </c>
      <c r="F664" s="2" t="inlineStr">
        <is>
          <t>US</t>
        </is>
      </c>
      <c r="G664" s="2" t="inlineStr">
        <is>
          <t>Crypto Exchange</t>
        </is>
      </c>
    </row>
    <row r="665">
      <c r="A665" s="4" t="inlineStr">
        <is>
          <t>TXN_000586</t>
        </is>
      </c>
      <c r="B665" s="4" t="inlineStr">
        <is>
          <t>C_00182</t>
        </is>
      </c>
      <c r="C665" s="4" t="inlineStr">
        <is>
          <t>2026-02-12</t>
        </is>
      </c>
      <c r="D665" s="5" t="n">
        <v>1742.55</v>
      </c>
      <c r="E665" s="4" t="inlineStr">
        <is>
          <t>Card</t>
        </is>
      </c>
      <c r="F665" s="4" t="inlineStr">
        <is>
          <t>US</t>
        </is>
      </c>
      <c r="G665" s="4" t="inlineStr">
        <is>
          <t>Healthcare</t>
        </is>
      </c>
    </row>
    <row r="666">
      <c r="A666" s="2" t="inlineStr">
        <is>
          <t>TXN_000584</t>
        </is>
      </c>
      <c r="B666" s="2" t="inlineStr">
        <is>
          <t>C_00126</t>
        </is>
      </c>
      <c r="C666" s="2" t="inlineStr">
        <is>
          <t>2026-02-12</t>
        </is>
      </c>
      <c r="D666" s="3" t="n">
        <v>1870.56</v>
      </c>
      <c r="E666" s="2" t="inlineStr">
        <is>
          <t>Wire Transfer</t>
        </is>
      </c>
      <c r="F666" s="2" t="inlineStr">
        <is>
          <t>US</t>
        </is>
      </c>
      <c r="G666" s="2" t="inlineStr">
        <is>
          <t>Travel</t>
        </is>
      </c>
    </row>
    <row r="667">
      <c r="A667" s="4" t="inlineStr">
        <is>
          <t>TXN_000607</t>
        </is>
      </c>
      <c r="B667" s="4" t="inlineStr">
        <is>
          <t>C_00055</t>
        </is>
      </c>
      <c r="C667" s="4" t="inlineStr">
        <is>
          <t>2026-02-13</t>
        </is>
      </c>
      <c r="D667" s="5" t="n">
        <v>1023.09</v>
      </c>
      <c r="E667" s="4" t="inlineStr">
        <is>
          <t>Cash Deposit</t>
        </is>
      </c>
      <c r="F667" s="4" t="inlineStr">
        <is>
          <t>NG</t>
        </is>
      </c>
      <c r="G667" s="4" t="inlineStr">
        <is>
          <t>Retail</t>
        </is>
      </c>
    </row>
    <row r="668">
      <c r="A668" s="2" t="inlineStr">
        <is>
          <t>TXN_000608</t>
        </is>
      </c>
      <c r="B668" s="2" t="inlineStr">
        <is>
          <t>C_00097</t>
        </is>
      </c>
      <c r="C668" s="2" t="inlineStr">
        <is>
          <t>2026-02-13</t>
        </is>
      </c>
      <c r="D668" s="3" t="n">
        <v>2296.37</v>
      </c>
      <c r="E668" s="2" t="inlineStr">
        <is>
          <t>Card</t>
        </is>
      </c>
      <c r="F668" s="2" t="inlineStr">
        <is>
          <t>NG</t>
        </is>
      </c>
      <c r="G668" s="2" t="inlineStr">
        <is>
          <t>Auto</t>
        </is>
      </c>
    </row>
    <row r="669">
      <c r="A669" s="4" t="inlineStr">
        <is>
          <t>TXN_001689</t>
        </is>
      </c>
      <c r="B669" s="4" t="inlineStr">
        <is>
          <t>C_00013</t>
        </is>
      </c>
      <c r="C669" s="4" t="inlineStr">
        <is>
          <t>2026-02-13</t>
        </is>
      </c>
      <c r="D669" s="5" t="n">
        <v>9120.190000000001</v>
      </c>
      <c r="E669" s="4" t="inlineStr">
        <is>
          <t>Cash Deposit</t>
        </is>
      </c>
      <c r="F669" s="4" t="inlineStr">
        <is>
          <t>US</t>
        </is>
      </c>
      <c r="G669" s="4" t="inlineStr">
        <is>
          <t>Money Services</t>
        </is>
      </c>
    </row>
    <row r="670">
      <c r="A670" s="2" t="inlineStr">
        <is>
          <t>TXN_000609</t>
        </is>
      </c>
      <c r="B670" s="2" t="inlineStr">
        <is>
          <t>C_00040</t>
        </is>
      </c>
      <c r="C670" s="2" t="inlineStr">
        <is>
          <t>2026-02-13</t>
        </is>
      </c>
      <c r="D670" s="3" t="n">
        <v>1817.03</v>
      </c>
      <c r="E670" s="2" t="inlineStr">
        <is>
          <t>Card</t>
        </is>
      </c>
      <c r="F670" s="2" t="inlineStr">
        <is>
          <t>US</t>
        </is>
      </c>
      <c r="G670" s="2" t="inlineStr">
        <is>
          <t>Real Estate</t>
        </is>
      </c>
    </row>
    <row r="671">
      <c r="A671" s="4" t="inlineStr">
        <is>
          <t>TXN_001687</t>
        </is>
      </c>
      <c r="B671" s="4" t="inlineStr">
        <is>
          <t>C_00012</t>
        </is>
      </c>
      <c r="C671" s="4" t="inlineStr">
        <is>
          <t>2026-02-13</t>
        </is>
      </c>
      <c r="D671" s="5" t="n">
        <v>9298.84</v>
      </c>
      <c r="E671" s="4" t="inlineStr">
        <is>
          <t>Wire Transfer</t>
        </is>
      </c>
      <c r="F671" s="4" t="inlineStr">
        <is>
          <t>US</t>
        </is>
      </c>
      <c r="G671" s="4" t="inlineStr">
        <is>
          <t>Money Services</t>
        </is>
      </c>
    </row>
    <row r="672">
      <c r="A672" s="2" t="inlineStr">
        <is>
          <t>TXN_001675</t>
        </is>
      </c>
      <c r="B672" s="2" t="inlineStr">
        <is>
          <t>C_00010</t>
        </is>
      </c>
      <c r="C672" s="2" t="inlineStr">
        <is>
          <t>2026-02-13</t>
        </is>
      </c>
      <c r="D672" s="3" t="n">
        <v>9390.889999999999</v>
      </c>
      <c r="E672" s="2" t="inlineStr">
        <is>
          <t>Wire Transfer</t>
        </is>
      </c>
      <c r="F672" s="2" t="inlineStr">
        <is>
          <t>US</t>
        </is>
      </c>
      <c r="G672" s="2" t="inlineStr">
        <is>
          <t>Money Services</t>
        </is>
      </c>
    </row>
    <row r="673">
      <c r="A673" s="4" t="inlineStr">
        <is>
          <t>TXN_001668</t>
        </is>
      </c>
      <c r="B673" s="4" t="inlineStr">
        <is>
          <t>C_00008</t>
        </is>
      </c>
      <c r="C673" s="4" t="inlineStr">
        <is>
          <t>2026-02-13</t>
        </is>
      </c>
      <c r="D673" s="5" t="n">
        <v>9869.52</v>
      </c>
      <c r="E673" s="4" t="inlineStr">
        <is>
          <t>Cash Deposit</t>
        </is>
      </c>
      <c r="F673" s="4" t="inlineStr">
        <is>
          <t>US</t>
        </is>
      </c>
      <c r="G673" s="4" t="inlineStr">
        <is>
          <t>Money Services</t>
        </is>
      </c>
    </row>
    <row r="674">
      <c r="A674" s="2" t="inlineStr">
        <is>
          <t>TXN_000610</t>
        </is>
      </c>
      <c r="B674" s="2" t="inlineStr">
        <is>
          <t>C_00151</t>
        </is>
      </c>
      <c r="C674" s="2" t="inlineStr">
        <is>
          <t>2026-02-13</t>
        </is>
      </c>
      <c r="D674" s="3" t="n">
        <v>655.64</v>
      </c>
      <c r="E674" s="2" t="inlineStr">
        <is>
          <t>Mobile App</t>
        </is>
      </c>
      <c r="F674" s="2" t="inlineStr">
        <is>
          <t>US</t>
        </is>
      </c>
      <c r="G674" s="2" t="inlineStr">
        <is>
          <t>Auto</t>
        </is>
      </c>
    </row>
    <row r="675">
      <c r="A675" s="4" t="inlineStr">
        <is>
          <t>TXN_000606</t>
        </is>
      </c>
      <c r="B675" s="4" t="inlineStr">
        <is>
          <t>C_00098</t>
        </is>
      </c>
      <c r="C675" s="4" t="inlineStr">
        <is>
          <t>2026-02-13</t>
        </is>
      </c>
      <c r="D675" s="5" t="n">
        <v>1650.9</v>
      </c>
      <c r="E675" s="4" t="inlineStr">
        <is>
          <t>Cash Deposit</t>
        </is>
      </c>
      <c r="F675" s="4" t="inlineStr">
        <is>
          <t>CN</t>
        </is>
      </c>
      <c r="G675" s="4" t="inlineStr">
        <is>
          <t>Crypto Exchange</t>
        </is>
      </c>
    </row>
    <row r="676">
      <c r="A676" s="2" t="inlineStr">
        <is>
          <t>TXN_000611</t>
        </is>
      </c>
      <c r="B676" s="2" t="inlineStr">
        <is>
          <t>C_00030</t>
        </is>
      </c>
      <c r="C676" s="2" t="inlineStr">
        <is>
          <t>2026-02-13</t>
        </is>
      </c>
      <c r="D676" s="3" t="n">
        <v>4558.91</v>
      </c>
      <c r="E676" s="2" t="inlineStr">
        <is>
          <t>Card</t>
        </is>
      </c>
      <c r="F676" s="2" t="inlineStr">
        <is>
          <t>US</t>
        </is>
      </c>
      <c r="G676" s="2" t="inlineStr">
        <is>
          <t>Auto</t>
        </is>
      </c>
    </row>
    <row r="677">
      <c r="A677" s="4" t="inlineStr">
        <is>
          <t>TXN_000612</t>
        </is>
      </c>
      <c r="B677" s="4" t="inlineStr">
        <is>
          <t>C_00115</t>
        </is>
      </c>
      <c r="C677" s="4" t="inlineStr">
        <is>
          <t>2026-02-13</t>
        </is>
      </c>
      <c r="D677" s="5" t="n">
        <v>228.05</v>
      </c>
      <c r="E677" s="4" t="inlineStr">
        <is>
          <t>Wire Transfer</t>
        </is>
      </c>
      <c r="F677" s="4" t="inlineStr">
        <is>
          <t>US</t>
        </is>
      </c>
      <c r="G677" s="4" t="inlineStr">
        <is>
          <t>Real Estate</t>
        </is>
      </c>
    </row>
    <row r="678">
      <c r="A678" s="2" t="inlineStr">
        <is>
          <t>TXN_000605</t>
        </is>
      </c>
      <c r="B678" s="2" t="inlineStr">
        <is>
          <t>C_00245</t>
        </is>
      </c>
      <c r="C678" s="2" t="inlineStr">
        <is>
          <t>2026-02-13</t>
        </is>
      </c>
      <c r="D678" s="3" t="n">
        <v>9979.33</v>
      </c>
      <c r="E678" s="2" t="inlineStr">
        <is>
          <t>ACH</t>
        </is>
      </c>
      <c r="F678" s="2" t="inlineStr">
        <is>
          <t>US</t>
        </is>
      </c>
      <c r="G678" s="2" t="inlineStr">
        <is>
          <t>Food &amp; Beverage</t>
        </is>
      </c>
    </row>
    <row r="679">
      <c r="A679" s="4" t="inlineStr">
        <is>
          <t>TXN_000600</t>
        </is>
      </c>
      <c r="B679" s="4" t="inlineStr">
        <is>
          <t>C_00036</t>
        </is>
      </c>
      <c r="C679" s="4" t="inlineStr">
        <is>
          <t>2026-02-13</t>
        </is>
      </c>
      <c r="D679" s="5" t="n">
        <v>2508.77</v>
      </c>
      <c r="E679" s="4" t="inlineStr">
        <is>
          <t>Mobile App</t>
        </is>
      </c>
      <c r="F679" s="4" t="inlineStr">
        <is>
          <t>US</t>
        </is>
      </c>
      <c r="G679" s="4" t="inlineStr">
        <is>
          <t>Crypto Exchange</t>
        </is>
      </c>
    </row>
    <row r="680">
      <c r="A680" s="2" t="inlineStr">
        <is>
          <t>TXN_000603</t>
        </is>
      </c>
      <c r="B680" s="2" t="inlineStr">
        <is>
          <t>C_00022</t>
        </is>
      </c>
      <c r="C680" s="2" t="inlineStr">
        <is>
          <t>2026-02-13</t>
        </is>
      </c>
      <c r="D680" s="3" t="n">
        <v>1567.39</v>
      </c>
      <c r="E680" s="2" t="inlineStr">
        <is>
          <t>Cash Deposit</t>
        </is>
      </c>
      <c r="F680" s="2" t="inlineStr">
        <is>
          <t>US</t>
        </is>
      </c>
      <c r="G680" s="2" t="inlineStr">
        <is>
          <t>Food &amp; Beverage</t>
        </is>
      </c>
    </row>
    <row r="681">
      <c r="A681" s="4" t="inlineStr">
        <is>
          <t>TXN_000602</t>
        </is>
      </c>
      <c r="B681" s="4" t="inlineStr">
        <is>
          <t>C_00099</t>
        </is>
      </c>
      <c r="C681" s="4" t="inlineStr">
        <is>
          <t>2026-02-13</t>
        </is>
      </c>
      <c r="D681" s="5" t="n">
        <v>1611.53</v>
      </c>
      <c r="E681" s="4" t="inlineStr">
        <is>
          <t>ACH</t>
        </is>
      </c>
      <c r="F681" s="4" t="inlineStr">
        <is>
          <t>US</t>
        </is>
      </c>
      <c r="G681" s="4" t="inlineStr">
        <is>
          <t>Money Services</t>
        </is>
      </c>
    </row>
    <row r="682">
      <c r="A682" s="2" t="inlineStr">
        <is>
          <t>TXN_000601</t>
        </is>
      </c>
      <c r="B682" s="2" t="inlineStr">
        <is>
          <t>C_00183</t>
        </is>
      </c>
      <c r="C682" s="2" t="inlineStr">
        <is>
          <t>2026-02-13</t>
        </is>
      </c>
      <c r="D682" s="3" t="n">
        <v>2775.41</v>
      </c>
      <c r="E682" s="2" t="inlineStr">
        <is>
          <t>ACH</t>
        </is>
      </c>
      <c r="F682" s="2" t="inlineStr">
        <is>
          <t>MX</t>
        </is>
      </c>
      <c r="G682" s="2" t="inlineStr">
        <is>
          <t>Food &amp; Beverage</t>
        </is>
      </c>
    </row>
    <row r="683">
      <c r="A683" s="4" t="inlineStr">
        <is>
          <t>TXN_001703</t>
        </is>
      </c>
      <c r="B683" s="4" t="inlineStr">
        <is>
          <t>C_00015</t>
        </is>
      </c>
      <c r="C683" s="4" t="inlineStr">
        <is>
          <t>2026-02-13</t>
        </is>
      </c>
      <c r="D683" s="5" t="n">
        <v>9438.940000000001</v>
      </c>
      <c r="E683" s="4" t="inlineStr">
        <is>
          <t>Cash Deposit</t>
        </is>
      </c>
      <c r="F683" s="4" t="inlineStr">
        <is>
          <t>US</t>
        </is>
      </c>
      <c r="G683" s="4" t="inlineStr">
        <is>
          <t>Money Services</t>
        </is>
      </c>
    </row>
    <row r="684">
      <c r="A684" s="2" t="inlineStr">
        <is>
          <t>TXN_001704</t>
        </is>
      </c>
      <c r="B684" s="2" t="inlineStr">
        <is>
          <t>C_00016</t>
        </is>
      </c>
      <c r="C684" s="2" t="inlineStr">
        <is>
          <t>2026-02-13</t>
        </is>
      </c>
      <c r="D684" s="3" t="n">
        <v>9615.58</v>
      </c>
      <c r="E684" s="2" t="inlineStr">
        <is>
          <t>Wire Transfer</t>
        </is>
      </c>
      <c r="F684" s="2" t="inlineStr">
        <is>
          <t>US</t>
        </is>
      </c>
      <c r="G684" s="2" t="inlineStr">
        <is>
          <t>Money Services</t>
        </is>
      </c>
    </row>
    <row r="685">
      <c r="A685" s="4" t="inlineStr">
        <is>
          <t>TXN_001666</t>
        </is>
      </c>
      <c r="B685" s="4" t="inlineStr">
        <is>
          <t>C_00008</t>
        </is>
      </c>
      <c r="C685" s="4" t="inlineStr">
        <is>
          <t>2026-02-13</t>
        </is>
      </c>
      <c r="D685" s="5" t="n">
        <v>9697.6</v>
      </c>
      <c r="E685" s="4" t="inlineStr">
        <is>
          <t>Cash Deposit</t>
        </is>
      </c>
      <c r="F685" s="4" t="inlineStr">
        <is>
          <t>US</t>
        </is>
      </c>
      <c r="G685" s="4" t="inlineStr">
        <is>
          <t>Money Services</t>
        </is>
      </c>
    </row>
    <row r="686">
      <c r="A686" s="2" t="inlineStr">
        <is>
          <t>TXN_000599</t>
        </is>
      </c>
      <c r="B686" s="2" t="inlineStr">
        <is>
          <t>C_00110</t>
        </is>
      </c>
      <c r="C686" s="2" t="inlineStr">
        <is>
          <t>2026-02-13</t>
        </is>
      </c>
      <c r="D686" s="3" t="n">
        <v>1836.99</v>
      </c>
      <c r="E686" s="2" t="inlineStr">
        <is>
          <t>ACH</t>
        </is>
      </c>
      <c r="F686" s="2" t="inlineStr">
        <is>
          <t>US</t>
        </is>
      </c>
      <c r="G686" s="2" t="inlineStr">
        <is>
          <t>Healthcare</t>
        </is>
      </c>
    </row>
    <row r="687">
      <c r="A687" s="4" t="inlineStr">
        <is>
          <t>TXN_001718</t>
        </is>
      </c>
      <c r="B687" s="4" t="inlineStr">
        <is>
          <t>C_00018</t>
        </is>
      </c>
      <c r="C687" s="4" t="inlineStr">
        <is>
          <t>2026-02-13</t>
        </is>
      </c>
      <c r="D687" s="5" t="n">
        <v>9741.15</v>
      </c>
      <c r="E687" s="4" t="inlineStr">
        <is>
          <t>Cash Deposit</t>
        </is>
      </c>
      <c r="F687" s="4" t="inlineStr">
        <is>
          <t>US</t>
        </is>
      </c>
      <c r="G687" s="4" t="inlineStr">
        <is>
          <t>Money Services</t>
        </is>
      </c>
    </row>
    <row r="688">
      <c r="A688" s="2" t="inlineStr">
        <is>
          <t>TXN_001720</t>
        </is>
      </c>
      <c r="B688" s="2" t="inlineStr">
        <is>
          <t>C_00019</t>
        </is>
      </c>
      <c r="C688" s="2" t="inlineStr">
        <is>
          <t>2026-02-13</t>
        </is>
      </c>
      <c r="D688" s="3" t="n">
        <v>9900.99</v>
      </c>
      <c r="E688" s="2" t="inlineStr">
        <is>
          <t>Wire Transfer</t>
        </is>
      </c>
      <c r="F688" s="2" t="inlineStr">
        <is>
          <t>US</t>
        </is>
      </c>
      <c r="G688" s="2" t="inlineStr">
        <is>
          <t>Money Services</t>
        </is>
      </c>
    </row>
    <row r="689">
      <c r="A689" s="4" t="inlineStr">
        <is>
          <t>TXN_001724</t>
        </is>
      </c>
      <c r="B689" s="4" t="inlineStr">
        <is>
          <t>C_00020</t>
        </is>
      </c>
      <c r="C689" s="4" t="inlineStr">
        <is>
          <t>2026-02-13</t>
        </is>
      </c>
      <c r="D689" s="5" t="n">
        <v>9496.42</v>
      </c>
      <c r="E689" s="4" t="inlineStr">
        <is>
          <t>Wire Transfer</t>
        </is>
      </c>
      <c r="F689" s="4" t="inlineStr">
        <is>
          <t>US</t>
        </is>
      </c>
      <c r="G689" s="4" t="inlineStr">
        <is>
          <t>Money Services</t>
        </is>
      </c>
    </row>
    <row r="690">
      <c r="A690" s="2" t="inlineStr">
        <is>
          <t>TXN_001725</t>
        </is>
      </c>
      <c r="B690" s="2" t="inlineStr">
        <is>
          <t>C_00020</t>
        </is>
      </c>
      <c r="C690" s="2" t="inlineStr">
        <is>
          <t>2026-02-13</t>
        </is>
      </c>
      <c r="D690" s="3" t="n">
        <v>9572.049999999999</v>
      </c>
      <c r="E690" s="2" t="inlineStr">
        <is>
          <t>Wire Transfer</t>
        </is>
      </c>
      <c r="F690" s="2" t="inlineStr">
        <is>
          <t>US</t>
        </is>
      </c>
      <c r="G690" s="2" t="inlineStr">
        <is>
          <t>Money Services</t>
        </is>
      </c>
    </row>
    <row r="691">
      <c r="A691" s="4" t="inlineStr">
        <is>
          <t>TXN_001728</t>
        </is>
      </c>
      <c r="B691" s="4" t="inlineStr">
        <is>
          <t>C_00020</t>
        </is>
      </c>
      <c r="C691" s="4" t="inlineStr">
        <is>
          <t>2026-02-13</t>
        </is>
      </c>
      <c r="D691" s="5" t="n">
        <v>9326.83</v>
      </c>
      <c r="E691" s="4" t="inlineStr">
        <is>
          <t>Wire Transfer</t>
        </is>
      </c>
      <c r="F691" s="4" t="inlineStr">
        <is>
          <t>US</t>
        </is>
      </c>
      <c r="G691" s="4" t="inlineStr">
        <is>
          <t>Money Services</t>
        </is>
      </c>
    </row>
    <row r="692">
      <c r="A692" s="2" t="inlineStr">
        <is>
          <t>TXN_000604</t>
        </is>
      </c>
      <c r="B692" s="2" t="inlineStr">
        <is>
          <t>C_00248</t>
        </is>
      </c>
      <c r="C692" s="2" t="inlineStr">
        <is>
          <t>2026-02-13</t>
        </is>
      </c>
      <c r="D692" s="3" t="n">
        <v>1154.92</v>
      </c>
      <c r="E692" s="2" t="inlineStr">
        <is>
          <t>ACH</t>
        </is>
      </c>
      <c r="F692" s="2" t="inlineStr">
        <is>
          <t>CN</t>
        </is>
      </c>
      <c r="G692" s="2" t="inlineStr">
        <is>
          <t>Food &amp; Beverage</t>
        </is>
      </c>
    </row>
    <row r="693">
      <c r="A693" s="4" t="inlineStr">
        <is>
          <t>TXN_001660</t>
        </is>
      </c>
      <c r="B693" s="4" t="inlineStr">
        <is>
          <t>C_00007</t>
        </is>
      </c>
      <c r="C693" s="4" t="inlineStr">
        <is>
          <t>2026-02-13</t>
        </is>
      </c>
      <c r="D693" s="5" t="n">
        <v>9731.66</v>
      </c>
      <c r="E693" s="4" t="inlineStr">
        <is>
          <t>Wire Transfer</t>
        </is>
      </c>
      <c r="F693" s="4" t="inlineStr">
        <is>
          <t>US</t>
        </is>
      </c>
      <c r="G693" s="4" t="inlineStr">
        <is>
          <t>Money Services</t>
        </is>
      </c>
    </row>
    <row r="694">
      <c r="A694" s="2" t="inlineStr">
        <is>
          <t>TXN_001669</t>
        </is>
      </c>
      <c r="B694" s="2" t="inlineStr">
        <is>
          <t>C_00008</t>
        </is>
      </c>
      <c r="C694" s="2" t="inlineStr">
        <is>
          <t>2026-02-13</t>
        </is>
      </c>
      <c r="D694" s="3" t="n">
        <v>9362.299999999999</v>
      </c>
      <c r="E694" s="2" t="inlineStr">
        <is>
          <t>Wire Transfer</t>
        </is>
      </c>
      <c r="F694" s="2" t="inlineStr">
        <is>
          <t>US</t>
        </is>
      </c>
      <c r="G694" s="2" t="inlineStr">
        <is>
          <t>Money Services</t>
        </is>
      </c>
    </row>
    <row r="695">
      <c r="A695" s="4" t="inlineStr">
        <is>
          <t>TXN_001643</t>
        </is>
      </c>
      <c r="B695" s="4" t="inlineStr">
        <is>
          <t>C_00003</t>
        </is>
      </c>
      <c r="C695" s="4" t="inlineStr">
        <is>
          <t>2026-02-13</t>
        </is>
      </c>
      <c r="D695" s="5" t="n">
        <v>9003.48</v>
      </c>
      <c r="E695" s="4" t="inlineStr">
        <is>
          <t>Wire Transfer</t>
        </is>
      </c>
      <c r="F695" s="4" t="inlineStr">
        <is>
          <t>US</t>
        </is>
      </c>
      <c r="G695" s="4" t="inlineStr">
        <is>
          <t>Money Services</t>
        </is>
      </c>
    </row>
    <row r="696">
      <c r="A696" s="2" t="inlineStr">
        <is>
          <t>TXN_001636</t>
        </is>
      </c>
      <c r="B696" s="2" t="inlineStr">
        <is>
          <t>C_00002</t>
        </is>
      </c>
      <c r="C696" s="2" t="inlineStr">
        <is>
          <t>2026-02-13</t>
        </is>
      </c>
      <c r="D696" s="3" t="n">
        <v>9313.85</v>
      </c>
      <c r="E696" s="2" t="inlineStr">
        <is>
          <t>Cash Deposit</t>
        </is>
      </c>
      <c r="F696" s="2" t="inlineStr">
        <is>
          <t>US</t>
        </is>
      </c>
      <c r="G696" s="2" t="inlineStr">
        <is>
          <t>Money Services</t>
        </is>
      </c>
    </row>
    <row r="697">
      <c r="A697" s="4" t="inlineStr">
        <is>
          <t>TXN_001648</t>
        </is>
      </c>
      <c r="B697" s="4" t="inlineStr">
        <is>
          <t>C_00004</t>
        </is>
      </c>
      <c r="C697" s="4" t="inlineStr">
        <is>
          <t>2026-02-14</t>
        </is>
      </c>
      <c r="D697" s="5" t="n">
        <v>9520.860000000001</v>
      </c>
      <c r="E697" s="4" t="inlineStr">
        <is>
          <t>Cash Deposit</t>
        </is>
      </c>
      <c r="F697" s="4" t="inlineStr">
        <is>
          <t>US</t>
        </is>
      </c>
      <c r="G697" s="4" t="inlineStr">
        <is>
          <t>Money Services</t>
        </is>
      </c>
    </row>
    <row r="698">
      <c r="A698" s="2" t="inlineStr">
        <is>
          <t>TXN_000619</t>
        </is>
      </c>
      <c r="B698" s="2" t="inlineStr">
        <is>
          <t>C_00195</t>
        </is>
      </c>
      <c r="C698" s="2" t="inlineStr">
        <is>
          <t>2026-02-14</t>
        </is>
      </c>
      <c r="D698" s="3" t="n">
        <v>2117.85</v>
      </c>
      <c r="E698" s="2" t="inlineStr">
        <is>
          <t>Mobile App</t>
        </is>
      </c>
      <c r="F698" s="2" t="inlineStr">
        <is>
          <t>US</t>
        </is>
      </c>
      <c r="G698" s="2" t="inlineStr">
        <is>
          <t>Jewelry</t>
        </is>
      </c>
    </row>
    <row r="699">
      <c r="A699" s="4" t="inlineStr">
        <is>
          <t>TXN_001677</t>
        </is>
      </c>
      <c r="B699" s="4" t="inlineStr">
        <is>
          <t>C_00010</t>
        </is>
      </c>
      <c r="C699" s="4" t="inlineStr">
        <is>
          <t>2026-02-14</t>
        </is>
      </c>
      <c r="D699" s="5" t="n">
        <v>9960.57</v>
      </c>
      <c r="E699" s="4" t="inlineStr">
        <is>
          <t>Wire Transfer</t>
        </is>
      </c>
      <c r="F699" s="4" t="inlineStr">
        <is>
          <t>US</t>
        </is>
      </c>
      <c r="G699" s="4" t="inlineStr">
        <is>
          <t>Money Services</t>
        </is>
      </c>
    </row>
    <row r="700">
      <c r="A700" s="2" t="inlineStr">
        <is>
          <t>TXN_000618</t>
        </is>
      </c>
      <c r="B700" s="2" t="inlineStr">
        <is>
          <t>C_00056</t>
        </is>
      </c>
      <c r="C700" s="2" t="inlineStr">
        <is>
          <t>2026-02-14</t>
        </is>
      </c>
      <c r="D700" s="3" t="n">
        <v>6394.37</v>
      </c>
      <c r="E700" s="2" t="inlineStr">
        <is>
          <t>Mobile App</t>
        </is>
      </c>
      <c r="F700" s="2" t="inlineStr">
        <is>
          <t>RU</t>
        </is>
      </c>
      <c r="G700" s="2" t="inlineStr">
        <is>
          <t>Retail</t>
        </is>
      </c>
    </row>
    <row r="701">
      <c r="A701" s="4" t="inlineStr">
        <is>
          <t>TXN_000617</t>
        </is>
      </c>
      <c r="B701" s="4" t="inlineStr">
        <is>
          <t>C_00069</t>
        </is>
      </c>
      <c r="C701" s="4" t="inlineStr">
        <is>
          <t>2026-02-14</t>
        </is>
      </c>
      <c r="D701" s="5" t="n">
        <v>3676.02</v>
      </c>
      <c r="E701" s="4" t="inlineStr">
        <is>
          <t>Card</t>
        </is>
      </c>
      <c r="F701" s="4" t="inlineStr">
        <is>
          <t>CA</t>
        </is>
      </c>
      <c r="G701" s="4" t="inlineStr">
        <is>
          <t>Crypto Exchange</t>
        </is>
      </c>
    </row>
    <row r="702">
      <c r="A702" s="2" t="inlineStr">
        <is>
          <t>TXN_000616</t>
        </is>
      </c>
      <c r="B702" s="2" t="inlineStr">
        <is>
          <t>C_00172</t>
        </is>
      </c>
      <c r="C702" s="2" t="inlineStr">
        <is>
          <t>2026-02-14</t>
        </is>
      </c>
      <c r="D702" s="3" t="n">
        <v>463.81</v>
      </c>
      <c r="E702" s="2" t="inlineStr">
        <is>
          <t>Wire Transfer</t>
        </is>
      </c>
      <c r="F702" s="2" t="inlineStr">
        <is>
          <t>US</t>
        </is>
      </c>
      <c r="G702" s="2" t="inlineStr">
        <is>
          <t>Healthcare</t>
        </is>
      </c>
    </row>
    <row r="703">
      <c r="A703" s="4" t="inlineStr">
        <is>
          <t>TXN_000615</t>
        </is>
      </c>
      <c r="B703" s="4" t="inlineStr">
        <is>
          <t>C_00042</t>
        </is>
      </c>
      <c r="C703" s="4" t="inlineStr">
        <is>
          <t>2026-02-14</t>
        </is>
      </c>
      <c r="D703" s="5" t="n">
        <v>813.97</v>
      </c>
      <c r="E703" s="4" t="inlineStr">
        <is>
          <t>Card</t>
        </is>
      </c>
      <c r="F703" s="4" t="inlineStr">
        <is>
          <t>US</t>
        </is>
      </c>
      <c r="G703" s="4" t="inlineStr">
        <is>
          <t>Retail</t>
        </is>
      </c>
    </row>
    <row r="704">
      <c r="A704" s="2" t="inlineStr">
        <is>
          <t>TXN_000614</t>
        </is>
      </c>
      <c r="B704" s="2" t="inlineStr">
        <is>
          <t>C_00238</t>
        </is>
      </c>
      <c r="C704" s="2" t="inlineStr">
        <is>
          <t>2026-02-14</t>
        </is>
      </c>
      <c r="D704" s="3" t="n">
        <v>610.0599999999999</v>
      </c>
      <c r="E704" s="2" t="inlineStr">
        <is>
          <t>Mobile App</t>
        </is>
      </c>
      <c r="F704" s="2" t="inlineStr">
        <is>
          <t>US</t>
        </is>
      </c>
      <c r="G704" s="2" t="inlineStr">
        <is>
          <t>Food &amp; Beverage</t>
        </is>
      </c>
    </row>
    <row r="705">
      <c r="A705" s="4" t="inlineStr">
        <is>
          <t>TXN_000613</t>
        </is>
      </c>
      <c r="B705" s="4" t="inlineStr">
        <is>
          <t>C_00033</t>
        </is>
      </c>
      <c r="C705" s="4" t="inlineStr">
        <is>
          <t>2026-02-14</t>
        </is>
      </c>
      <c r="D705" s="5" t="n">
        <v>965.9400000000001</v>
      </c>
      <c r="E705" s="4" t="inlineStr">
        <is>
          <t>Wire Transfer</t>
        </is>
      </c>
      <c r="F705" s="4" t="inlineStr">
        <is>
          <t>AE</t>
        </is>
      </c>
      <c r="G705" s="4" t="inlineStr">
        <is>
          <t>Healthcare</t>
        </is>
      </c>
    </row>
    <row r="706">
      <c r="A706" s="2" t="inlineStr">
        <is>
          <t>TXN_001699</t>
        </is>
      </c>
      <c r="B706" s="2" t="inlineStr">
        <is>
          <t>C_00015</t>
        </is>
      </c>
      <c r="C706" s="2" t="inlineStr">
        <is>
          <t>2026-02-14</t>
        </is>
      </c>
      <c r="D706" s="3" t="n">
        <v>9789.860000000001</v>
      </c>
      <c r="E706" s="2" t="inlineStr">
        <is>
          <t>Cash Deposit</t>
        </is>
      </c>
      <c r="F706" s="2" t="inlineStr">
        <is>
          <t>US</t>
        </is>
      </c>
      <c r="G706" s="2" t="inlineStr">
        <is>
          <t>Money Services</t>
        </is>
      </c>
    </row>
    <row r="707">
      <c r="A707" s="4" t="inlineStr">
        <is>
          <t>TXN_001707</t>
        </is>
      </c>
      <c r="B707" s="4" t="inlineStr">
        <is>
          <t>C_00016</t>
        </is>
      </c>
      <c r="C707" s="4" t="inlineStr">
        <is>
          <t>2026-02-14</t>
        </is>
      </c>
      <c r="D707" s="5" t="n">
        <v>9404.040000000001</v>
      </c>
      <c r="E707" s="4" t="inlineStr">
        <is>
          <t>Cash Deposit</t>
        </is>
      </c>
      <c r="F707" s="4" t="inlineStr">
        <is>
          <t>US</t>
        </is>
      </c>
      <c r="G707" s="4" t="inlineStr">
        <is>
          <t>Money Services</t>
        </is>
      </c>
    </row>
    <row r="708">
      <c r="A708" s="2" t="inlineStr">
        <is>
          <t>TXN_001714</t>
        </is>
      </c>
      <c r="B708" s="2" t="inlineStr">
        <is>
          <t>C_00018</t>
        </is>
      </c>
      <c r="C708" s="2" t="inlineStr">
        <is>
          <t>2026-02-14</t>
        </is>
      </c>
      <c r="D708" s="3" t="n">
        <v>9808.120000000001</v>
      </c>
      <c r="E708" s="2" t="inlineStr">
        <is>
          <t>Cash Deposit</t>
        </is>
      </c>
      <c r="F708" s="2" t="inlineStr">
        <is>
          <t>US</t>
        </is>
      </c>
      <c r="G708" s="2" t="inlineStr">
        <is>
          <t>Money Services</t>
        </is>
      </c>
    </row>
    <row r="709">
      <c r="A709" s="4" t="inlineStr">
        <is>
          <t>TXN_001716</t>
        </is>
      </c>
      <c r="B709" s="4" t="inlineStr">
        <is>
          <t>C_00018</t>
        </is>
      </c>
      <c r="C709" s="4" t="inlineStr">
        <is>
          <t>2026-02-14</t>
        </is>
      </c>
      <c r="D709" s="5" t="n">
        <v>9725.48</v>
      </c>
      <c r="E709" s="4" t="inlineStr">
        <is>
          <t>Wire Transfer</t>
        </is>
      </c>
      <c r="F709" s="4" t="inlineStr">
        <is>
          <t>US</t>
        </is>
      </c>
      <c r="G709" s="4" t="inlineStr">
        <is>
          <t>Money Services</t>
        </is>
      </c>
    </row>
    <row r="710">
      <c r="A710" s="2" t="inlineStr">
        <is>
          <t>TXN_000620</t>
        </is>
      </c>
      <c r="B710" s="2" t="inlineStr">
        <is>
          <t>C_00028</t>
        </is>
      </c>
      <c r="C710" s="2" t="inlineStr">
        <is>
          <t>2026-02-14</t>
        </is>
      </c>
      <c r="D710" s="3" t="n">
        <v>7774.3</v>
      </c>
      <c r="E710" s="2" t="inlineStr">
        <is>
          <t>Wire Transfer</t>
        </is>
      </c>
      <c r="F710" s="2" t="inlineStr">
        <is>
          <t>US</t>
        </is>
      </c>
      <c r="G710" s="2" t="inlineStr">
        <is>
          <t>Money Services</t>
        </is>
      </c>
    </row>
    <row r="711">
      <c r="A711" s="4" t="inlineStr">
        <is>
          <t>TXN_000621</t>
        </is>
      </c>
      <c r="B711" s="4" t="inlineStr">
        <is>
          <t>C_00061</t>
        </is>
      </c>
      <c r="C711" s="4" t="inlineStr">
        <is>
          <t>2026-02-14</t>
        </is>
      </c>
      <c r="D711" s="5" t="n">
        <v>4440.74</v>
      </c>
      <c r="E711" s="4" t="inlineStr">
        <is>
          <t>Wire Transfer</t>
        </is>
      </c>
      <c r="F711" s="4" t="inlineStr">
        <is>
          <t>US</t>
        </is>
      </c>
      <c r="G711" s="4" t="inlineStr">
        <is>
          <t>Food &amp; Beverage</t>
        </is>
      </c>
    </row>
    <row r="712">
      <c r="A712" s="2" t="inlineStr">
        <is>
          <t>TXN_001690</t>
        </is>
      </c>
      <c r="B712" s="2" t="inlineStr">
        <is>
          <t>C_00013</t>
        </is>
      </c>
      <c r="C712" s="2" t="inlineStr">
        <is>
          <t>2026-02-14</t>
        </is>
      </c>
      <c r="D712" s="3" t="n">
        <v>9439.559999999999</v>
      </c>
      <c r="E712" s="2" t="inlineStr">
        <is>
          <t>Cash Deposit</t>
        </is>
      </c>
      <c r="F712" s="2" t="inlineStr">
        <is>
          <t>US</t>
        </is>
      </c>
      <c r="G712" s="2" t="inlineStr">
        <is>
          <t>Money Services</t>
        </is>
      </c>
    </row>
    <row r="713">
      <c r="A713" s="4" t="inlineStr">
        <is>
          <t>TXN_000634</t>
        </is>
      </c>
      <c r="B713" s="4" t="inlineStr">
        <is>
          <t>C_00057</t>
        </is>
      </c>
      <c r="C713" s="4" t="inlineStr">
        <is>
          <t>2026-02-15</t>
        </is>
      </c>
      <c r="D713" s="5" t="n">
        <v>6483.73</v>
      </c>
      <c r="E713" s="4" t="inlineStr">
        <is>
          <t>Wire Transfer</t>
        </is>
      </c>
      <c r="F713" s="4" t="inlineStr">
        <is>
          <t>US</t>
        </is>
      </c>
      <c r="G713" s="4" t="inlineStr">
        <is>
          <t>Real Estate</t>
        </is>
      </c>
    </row>
    <row r="714">
      <c r="A714" s="2" t="inlineStr">
        <is>
          <t>TXN_001696</t>
        </is>
      </c>
      <c r="B714" s="2" t="inlineStr">
        <is>
          <t>C_00014</t>
        </is>
      </c>
      <c r="C714" s="2" t="inlineStr">
        <is>
          <t>2026-02-15</t>
        </is>
      </c>
      <c r="D714" s="3" t="n">
        <v>9980.200000000001</v>
      </c>
      <c r="E714" s="2" t="inlineStr">
        <is>
          <t>Wire Transfer</t>
        </is>
      </c>
      <c r="F714" s="2" t="inlineStr">
        <is>
          <t>US</t>
        </is>
      </c>
      <c r="G714" s="2" t="inlineStr">
        <is>
          <t>Money Services</t>
        </is>
      </c>
    </row>
    <row r="715">
      <c r="A715" s="4" t="inlineStr">
        <is>
          <t>TXN_001692</t>
        </is>
      </c>
      <c r="B715" s="4" t="inlineStr">
        <is>
          <t>C_00013</t>
        </is>
      </c>
      <c r="C715" s="4" t="inlineStr">
        <is>
          <t>2026-02-15</t>
        </is>
      </c>
      <c r="D715" s="5" t="n">
        <v>9036.6</v>
      </c>
      <c r="E715" s="4" t="inlineStr">
        <is>
          <t>Wire Transfer</t>
        </is>
      </c>
      <c r="F715" s="4" t="inlineStr">
        <is>
          <t>US</t>
        </is>
      </c>
      <c r="G715" s="4" t="inlineStr">
        <is>
          <t>Money Services</t>
        </is>
      </c>
    </row>
    <row r="716">
      <c r="A716" s="2" t="inlineStr">
        <is>
          <t>TXN_001635</t>
        </is>
      </c>
      <c r="B716" s="2" t="inlineStr">
        <is>
          <t>C_00001</t>
        </is>
      </c>
      <c r="C716" s="2" t="inlineStr">
        <is>
          <t>2026-02-15</t>
        </is>
      </c>
      <c r="D716" s="3" t="n">
        <v>9641.620000000001</v>
      </c>
      <c r="E716" s="2" t="inlineStr">
        <is>
          <t>Cash Deposit</t>
        </is>
      </c>
      <c r="F716" s="2" t="inlineStr">
        <is>
          <t>US</t>
        </is>
      </c>
      <c r="G716" s="2" t="inlineStr">
        <is>
          <t>Money Services</t>
        </is>
      </c>
    </row>
    <row r="717">
      <c r="A717" s="4" t="inlineStr">
        <is>
          <t>TXN_001647</t>
        </is>
      </c>
      <c r="B717" s="4" t="inlineStr">
        <is>
          <t>C_00004</t>
        </is>
      </c>
      <c r="C717" s="4" t="inlineStr">
        <is>
          <t>2026-02-15</t>
        </is>
      </c>
      <c r="D717" s="5" t="n">
        <v>9460.4</v>
      </c>
      <c r="E717" s="4" t="inlineStr">
        <is>
          <t>Cash Deposit</t>
        </is>
      </c>
      <c r="F717" s="4" t="inlineStr">
        <is>
          <t>US</t>
        </is>
      </c>
      <c r="G717" s="4" t="inlineStr">
        <is>
          <t>Money Services</t>
        </is>
      </c>
    </row>
    <row r="718">
      <c r="A718" s="2" t="inlineStr">
        <is>
          <t>TXN_000625</t>
        </is>
      </c>
      <c r="B718" s="2" t="inlineStr">
        <is>
          <t>C_00080</t>
        </is>
      </c>
      <c r="C718" s="2" t="inlineStr">
        <is>
          <t>2026-02-15</t>
        </is>
      </c>
      <c r="D718" s="3" t="n">
        <v>468.76</v>
      </c>
      <c r="E718" s="2" t="inlineStr">
        <is>
          <t>Wire Transfer</t>
        </is>
      </c>
      <c r="F718" s="2" t="inlineStr">
        <is>
          <t>CN</t>
        </is>
      </c>
      <c r="G718" s="2" t="inlineStr">
        <is>
          <t>Real Estate</t>
        </is>
      </c>
    </row>
    <row r="719">
      <c r="A719" s="4" t="inlineStr">
        <is>
          <t>TXN_001705</t>
        </is>
      </c>
      <c r="B719" s="4" t="inlineStr">
        <is>
          <t>C_00016</t>
        </is>
      </c>
      <c r="C719" s="4" t="inlineStr">
        <is>
          <t>2026-02-15</t>
        </is>
      </c>
      <c r="D719" s="5" t="n">
        <v>9887.07</v>
      </c>
      <c r="E719" s="4" t="inlineStr">
        <is>
          <t>Wire Transfer</t>
        </is>
      </c>
      <c r="F719" s="4" t="inlineStr">
        <is>
          <t>US</t>
        </is>
      </c>
      <c r="G719" s="4" t="inlineStr">
        <is>
          <t>Money Services</t>
        </is>
      </c>
    </row>
    <row r="720">
      <c r="A720" s="2" t="inlineStr">
        <is>
          <t>TXN_001706</t>
        </is>
      </c>
      <c r="B720" s="2" t="inlineStr">
        <is>
          <t>C_00016</t>
        </is>
      </c>
      <c r="C720" s="2" t="inlineStr">
        <is>
          <t>2026-02-15</t>
        </is>
      </c>
      <c r="D720" s="3" t="n">
        <v>9703</v>
      </c>
      <c r="E720" s="2" t="inlineStr">
        <is>
          <t>Cash Deposit</t>
        </is>
      </c>
      <c r="F720" s="2" t="inlineStr">
        <is>
          <t>US</t>
        </is>
      </c>
      <c r="G720" s="2" t="inlineStr">
        <is>
          <t>Money Services</t>
        </is>
      </c>
    </row>
    <row r="721">
      <c r="A721" s="4" t="inlineStr">
        <is>
          <t>TXN_001651</t>
        </is>
      </c>
      <c r="B721" s="4" t="inlineStr">
        <is>
          <t>C_00005</t>
        </is>
      </c>
      <c r="C721" s="4" t="inlineStr">
        <is>
          <t>2026-02-15</t>
        </is>
      </c>
      <c r="D721" s="5" t="n">
        <v>9549.58</v>
      </c>
      <c r="E721" s="4" t="inlineStr">
        <is>
          <t>Cash Deposit</t>
        </is>
      </c>
      <c r="F721" s="4" t="inlineStr">
        <is>
          <t>US</t>
        </is>
      </c>
      <c r="G721" s="4" t="inlineStr">
        <is>
          <t>Money Services</t>
        </is>
      </c>
    </row>
    <row r="722">
      <c r="A722" s="2" t="inlineStr">
        <is>
          <t>TXN_001709</t>
        </is>
      </c>
      <c r="B722" s="2" t="inlineStr">
        <is>
          <t>C_00017</t>
        </is>
      </c>
      <c r="C722" s="2" t="inlineStr">
        <is>
          <t>2026-02-15</t>
        </is>
      </c>
      <c r="D722" s="3" t="n">
        <v>9896.42</v>
      </c>
      <c r="E722" s="2" t="inlineStr">
        <is>
          <t>Wire Transfer</t>
        </is>
      </c>
      <c r="F722" s="2" t="inlineStr">
        <is>
          <t>US</t>
        </is>
      </c>
      <c r="G722" s="2" t="inlineStr">
        <is>
          <t>Money Services</t>
        </is>
      </c>
    </row>
    <row r="723">
      <c r="A723" s="4" t="inlineStr">
        <is>
          <t>TXN_000635</t>
        </is>
      </c>
      <c r="B723" s="4" t="inlineStr">
        <is>
          <t>C_00192</t>
        </is>
      </c>
      <c r="C723" s="4" t="inlineStr">
        <is>
          <t>2026-02-15</t>
        </is>
      </c>
      <c r="D723" s="5" t="n">
        <v>4592.45</v>
      </c>
      <c r="E723" s="4" t="inlineStr">
        <is>
          <t>Mobile App</t>
        </is>
      </c>
      <c r="F723" s="4" t="inlineStr">
        <is>
          <t>US</t>
        </is>
      </c>
      <c r="G723" s="4" t="inlineStr">
        <is>
          <t>Healthcare</t>
        </is>
      </c>
    </row>
    <row r="724">
      <c r="A724" s="2" t="inlineStr">
        <is>
          <t>TXN_000632</t>
        </is>
      </c>
      <c r="B724" s="2" t="inlineStr">
        <is>
          <t>C_00146</t>
        </is>
      </c>
      <c r="C724" s="2" t="inlineStr">
        <is>
          <t>2026-02-15</t>
        </is>
      </c>
      <c r="D724" s="3" t="n">
        <v>3518.38</v>
      </c>
      <c r="E724" s="2" t="inlineStr">
        <is>
          <t>Mobile App</t>
        </is>
      </c>
      <c r="F724" s="2" t="inlineStr">
        <is>
          <t>US</t>
        </is>
      </c>
      <c r="G724" s="2" t="inlineStr">
        <is>
          <t>Real Estate</t>
        </is>
      </c>
    </row>
    <row r="725">
      <c r="A725" s="4" t="inlineStr">
        <is>
          <t>TXN_001655</t>
        </is>
      </c>
      <c r="B725" s="4" t="inlineStr">
        <is>
          <t>C_00005</t>
        </is>
      </c>
      <c r="C725" s="4" t="inlineStr">
        <is>
          <t>2026-02-15</t>
        </is>
      </c>
      <c r="D725" s="5" t="n">
        <v>9160.57</v>
      </c>
      <c r="E725" s="4" t="inlineStr">
        <is>
          <t>Cash Deposit</t>
        </is>
      </c>
      <c r="F725" s="4" t="inlineStr">
        <is>
          <t>US</t>
        </is>
      </c>
      <c r="G725" s="4" t="inlineStr">
        <is>
          <t>Money Services</t>
        </is>
      </c>
    </row>
    <row r="726">
      <c r="A726" s="2" t="inlineStr">
        <is>
          <t>TXN_000631</t>
        </is>
      </c>
      <c r="B726" s="2" t="inlineStr">
        <is>
          <t>C_00057</t>
        </is>
      </c>
      <c r="C726" s="2" t="inlineStr">
        <is>
          <t>2026-02-15</t>
        </is>
      </c>
      <c r="D726" s="3" t="n">
        <v>314.7</v>
      </c>
      <c r="E726" s="2" t="inlineStr">
        <is>
          <t>Cash Deposit</t>
        </is>
      </c>
      <c r="F726" s="2" t="inlineStr">
        <is>
          <t>CA</t>
        </is>
      </c>
      <c r="G726" s="2" t="inlineStr">
        <is>
          <t>Food &amp; Beverage</t>
        </is>
      </c>
    </row>
    <row r="727">
      <c r="A727" s="4" t="inlineStr">
        <is>
          <t>TXN_001657</t>
        </is>
      </c>
      <c r="B727" s="4" t="inlineStr">
        <is>
          <t>C_00006</t>
        </is>
      </c>
      <c r="C727" s="4" t="inlineStr">
        <is>
          <t>2026-02-15</t>
        </is>
      </c>
      <c r="D727" s="5" t="n">
        <v>9898.049999999999</v>
      </c>
      <c r="E727" s="4" t="inlineStr">
        <is>
          <t>Cash Deposit</t>
        </is>
      </c>
      <c r="F727" s="4" t="inlineStr">
        <is>
          <t>US</t>
        </is>
      </c>
      <c r="G727" s="4" t="inlineStr">
        <is>
          <t>Money Services</t>
        </is>
      </c>
    </row>
    <row r="728">
      <c r="A728" s="2" t="inlineStr">
        <is>
          <t>TXN_000630</t>
        </is>
      </c>
      <c r="B728" s="2" t="inlineStr">
        <is>
          <t>C_00103</t>
        </is>
      </c>
      <c r="C728" s="2" t="inlineStr">
        <is>
          <t>2026-02-15</t>
        </is>
      </c>
      <c r="D728" s="3" t="n">
        <v>871.41</v>
      </c>
      <c r="E728" s="2" t="inlineStr">
        <is>
          <t>Card</t>
        </is>
      </c>
      <c r="F728" s="2" t="inlineStr">
        <is>
          <t>US</t>
        </is>
      </c>
      <c r="G728" s="2" t="inlineStr">
        <is>
          <t>Jewelry</t>
        </is>
      </c>
    </row>
    <row r="729">
      <c r="A729" s="4" t="inlineStr">
        <is>
          <t>TXN_001659</t>
        </is>
      </c>
      <c r="B729" s="4" t="inlineStr">
        <is>
          <t>C_00006</t>
        </is>
      </c>
      <c r="C729" s="4" t="inlineStr">
        <is>
          <t>2026-02-15</t>
        </is>
      </c>
      <c r="D729" s="5" t="n">
        <v>9501.780000000001</v>
      </c>
      <c r="E729" s="4" t="inlineStr">
        <is>
          <t>Cash Deposit</t>
        </is>
      </c>
      <c r="F729" s="4" t="inlineStr">
        <is>
          <t>US</t>
        </is>
      </c>
      <c r="G729" s="4" t="inlineStr">
        <is>
          <t>Money Services</t>
        </is>
      </c>
    </row>
    <row r="730">
      <c r="A730" s="2" t="inlineStr">
        <is>
          <t>TXN_000637</t>
        </is>
      </c>
      <c r="B730" s="2" t="inlineStr">
        <is>
          <t>C_00045</t>
        </is>
      </c>
      <c r="C730" s="2" t="inlineStr">
        <is>
          <t>2026-02-15</t>
        </is>
      </c>
      <c r="D730" s="3" t="n">
        <v>769.34</v>
      </c>
      <c r="E730" s="2" t="inlineStr">
        <is>
          <t>Wire Transfer</t>
        </is>
      </c>
      <c r="F730" s="2" t="inlineStr">
        <is>
          <t>US</t>
        </is>
      </c>
      <c r="G730" s="2" t="inlineStr">
        <is>
          <t>Electronics</t>
        </is>
      </c>
    </row>
    <row r="731">
      <c r="A731" s="4" t="inlineStr">
        <is>
          <t>TXN_000629</t>
        </is>
      </c>
      <c r="B731" s="4" t="inlineStr">
        <is>
          <t>C_00073</t>
        </is>
      </c>
      <c r="C731" s="4" t="inlineStr">
        <is>
          <t>2026-02-15</t>
        </is>
      </c>
      <c r="D731" s="5" t="n">
        <v>2501.34</v>
      </c>
      <c r="E731" s="4" t="inlineStr">
        <is>
          <t>Wire Transfer</t>
        </is>
      </c>
      <c r="F731" s="4" t="inlineStr">
        <is>
          <t>US</t>
        </is>
      </c>
      <c r="G731" s="4" t="inlineStr">
        <is>
          <t>Crypto Exchange</t>
        </is>
      </c>
    </row>
    <row r="732">
      <c r="A732" s="2" t="inlineStr">
        <is>
          <t>TXN_000628</t>
        </is>
      </c>
      <c r="B732" s="2" t="inlineStr">
        <is>
          <t>C_00255</t>
        </is>
      </c>
      <c r="C732" s="2" t="inlineStr">
        <is>
          <t>2026-02-15</t>
        </is>
      </c>
      <c r="D732" s="3" t="n">
        <v>4928.24</v>
      </c>
      <c r="E732" s="2" t="inlineStr">
        <is>
          <t>ACH</t>
        </is>
      </c>
      <c r="F732" s="2" t="inlineStr">
        <is>
          <t>US</t>
        </is>
      </c>
      <c r="G732" s="2" t="inlineStr">
        <is>
          <t>Money Services</t>
        </is>
      </c>
    </row>
    <row r="733">
      <c r="A733" s="4" t="inlineStr">
        <is>
          <t>TXN_000627</t>
        </is>
      </c>
      <c r="B733" s="4" t="inlineStr">
        <is>
          <t>C_00092</t>
        </is>
      </c>
      <c r="C733" s="4" t="inlineStr">
        <is>
          <t>2026-02-15</t>
        </is>
      </c>
      <c r="D733" s="5" t="n">
        <v>1376.04</v>
      </c>
      <c r="E733" s="4" t="inlineStr">
        <is>
          <t>ACH</t>
        </is>
      </c>
      <c r="F733" s="4" t="inlineStr">
        <is>
          <t>US</t>
        </is>
      </c>
      <c r="G733" s="4" t="inlineStr">
        <is>
          <t>Travel</t>
        </is>
      </c>
    </row>
    <row r="734">
      <c r="A734" s="2" t="inlineStr">
        <is>
          <t>TXN_000626</t>
        </is>
      </c>
      <c r="B734" s="2" t="inlineStr">
        <is>
          <t>C_00292</t>
        </is>
      </c>
      <c r="C734" s="2" t="inlineStr">
        <is>
          <t>2026-02-15</t>
        </is>
      </c>
      <c r="D734" s="3" t="n">
        <v>19276.37</v>
      </c>
      <c r="E734" s="2" t="inlineStr">
        <is>
          <t>Card</t>
        </is>
      </c>
      <c r="F734" s="2" t="inlineStr">
        <is>
          <t>RU</t>
        </is>
      </c>
      <c r="G734" s="2" t="inlineStr">
        <is>
          <t>Food &amp; Beverage</t>
        </is>
      </c>
    </row>
    <row r="735">
      <c r="A735" s="4" t="inlineStr">
        <is>
          <t>TXN_000622</t>
        </is>
      </c>
      <c r="B735" s="4" t="inlineStr">
        <is>
          <t>C_00092</t>
        </is>
      </c>
      <c r="C735" s="4" t="inlineStr">
        <is>
          <t>2026-02-15</t>
        </is>
      </c>
      <c r="D735" s="5" t="n">
        <v>3481.9</v>
      </c>
      <c r="E735" s="4" t="inlineStr">
        <is>
          <t>Cash Deposit</t>
        </is>
      </c>
      <c r="F735" s="4" t="inlineStr">
        <is>
          <t>NG</t>
        </is>
      </c>
      <c r="G735" s="4" t="inlineStr">
        <is>
          <t>Food &amp; Beverage</t>
        </is>
      </c>
    </row>
    <row r="736">
      <c r="A736" s="2" t="inlineStr">
        <is>
          <t>TXN_001671</t>
        </is>
      </c>
      <c r="B736" s="2" t="inlineStr">
        <is>
          <t>C_00009</t>
        </is>
      </c>
      <c r="C736" s="2" t="inlineStr">
        <is>
          <t>2026-02-15</t>
        </is>
      </c>
      <c r="D736" s="3" t="n">
        <v>9189.139999999999</v>
      </c>
      <c r="E736" s="2" t="inlineStr">
        <is>
          <t>Cash Deposit</t>
        </is>
      </c>
      <c r="F736" s="2" t="inlineStr">
        <is>
          <t>US</t>
        </is>
      </c>
      <c r="G736" s="2" t="inlineStr">
        <is>
          <t>Money Services</t>
        </is>
      </c>
    </row>
    <row r="737">
      <c r="A737" s="4" t="inlineStr">
        <is>
          <t>TXN_000623</t>
        </is>
      </c>
      <c r="B737" s="4" t="inlineStr">
        <is>
          <t>C_00171</t>
        </is>
      </c>
      <c r="C737" s="4" t="inlineStr">
        <is>
          <t>2026-02-15</t>
        </is>
      </c>
      <c r="D737" s="5" t="n">
        <v>2967.48</v>
      </c>
      <c r="E737" s="4" t="inlineStr">
        <is>
          <t>Card</t>
        </is>
      </c>
      <c r="F737" s="4" t="inlineStr">
        <is>
          <t>US</t>
        </is>
      </c>
      <c r="G737" s="4" t="inlineStr">
        <is>
          <t>Healthcare</t>
        </is>
      </c>
    </row>
    <row r="738">
      <c r="A738" s="2" t="inlineStr">
        <is>
          <t>TXN_000636</t>
        </is>
      </c>
      <c r="B738" s="2" t="inlineStr">
        <is>
          <t>C_00136</t>
        </is>
      </c>
      <c r="C738" s="2" t="inlineStr">
        <is>
          <t>2026-02-15</t>
        </is>
      </c>
      <c r="D738" s="3" t="n">
        <v>3837.33</v>
      </c>
      <c r="E738" s="2" t="inlineStr">
        <is>
          <t>ACH</t>
        </is>
      </c>
      <c r="F738" s="2" t="inlineStr">
        <is>
          <t>RU</t>
        </is>
      </c>
      <c r="G738" s="2" t="inlineStr">
        <is>
          <t>Retail</t>
        </is>
      </c>
    </row>
    <row r="739">
      <c r="A739" s="4" t="inlineStr">
        <is>
          <t>TXN_001722</t>
        </is>
      </c>
      <c r="B739" s="4" t="inlineStr">
        <is>
          <t>C_00019</t>
        </is>
      </c>
      <c r="C739" s="4" t="inlineStr">
        <is>
          <t>2026-02-15</t>
        </is>
      </c>
      <c r="D739" s="5" t="n">
        <v>9508.370000000001</v>
      </c>
      <c r="E739" s="4" t="inlineStr">
        <is>
          <t>Wire Transfer</t>
        </is>
      </c>
      <c r="F739" s="4" t="inlineStr">
        <is>
          <t>US</t>
        </is>
      </c>
      <c r="G739" s="4" t="inlineStr">
        <is>
          <t>Money Services</t>
        </is>
      </c>
    </row>
    <row r="740">
      <c r="A740" s="2" t="inlineStr">
        <is>
          <t>TXN_000624</t>
        </is>
      </c>
      <c r="B740" s="2" t="inlineStr">
        <is>
          <t>C_00168</t>
        </is>
      </c>
      <c r="C740" s="2" t="inlineStr">
        <is>
          <t>2026-02-15</t>
        </is>
      </c>
      <c r="D740" s="3" t="n">
        <v>809.47</v>
      </c>
      <c r="E740" s="2" t="inlineStr">
        <is>
          <t>Mobile App</t>
        </is>
      </c>
      <c r="F740" s="2" t="inlineStr">
        <is>
          <t>US</t>
        </is>
      </c>
      <c r="G740" s="2" t="inlineStr">
        <is>
          <t>Retail</t>
        </is>
      </c>
    </row>
    <row r="741">
      <c r="A741" s="4" t="inlineStr">
        <is>
          <t>TXN_001694</t>
        </is>
      </c>
      <c r="B741" s="4" t="inlineStr">
        <is>
          <t>C_00014</t>
        </is>
      </c>
      <c r="C741" s="4" t="inlineStr">
        <is>
          <t>2026-02-15</t>
        </is>
      </c>
      <c r="D741" s="5" t="n">
        <v>9075.58</v>
      </c>
      <c r="E741" s="4" t="inlineStr">
        <is>
          <t>Cash Deposit</t>
        </is>
      </c>
      <c r="F741" s="4" t="inlineStr">
        <is>
          <t>US</t>
        </is>
      </c>
      <c r="G741" s="4" t="inlineStr">
        <is>
          <t>Money Services</t>
        </is>
      </c>
    </row>
    <row r="742">
      <c r="A742" s="2" t="inlineStr">
        <is>
          <t>TXN_000633</t>
        </is>
      </c>
      <c r="B742" s="2" t="inlineStr">
        <is>
          <t>C_00205</t>
        </is>
      </c>
      <c r="C742" s="2" t="inlineStr">
        <is>
          <t>2026-02-15</t>
        </is>
      </c>
      <c r="D742" s="3" t="n">
        <v>631.9</v>
      </c>
      <c r="E742" s="2" t="inlineStr">
        <is>
          <t>Mobile App</t>
        </is>
      </c>
      <c r="F742" s="2" t="inlineStr">
        <is>
          <t>RU</t>
        </is>
      </c>
      <c r="G742" s="2" t="inlineStr">
        <is>
          <t>Healthcare</t>
        </is>
      </c>
    </row>
    <row r="743">
      <c r="A743" s="4" t="inlineStr">
        <is>
          <t>TXN_000638</t>
        </is>
      </c>
      <c r="B743" s="4" t="inlineStr">
        <is>
          <t>C_00104</t>
        </is>
      </c>
      <c r="C743" s="4" t="inlineStr">
        <is>
          <t>2026-02-16</t>
        </is>
      </c>
      <c r="D743" s="5" t="n">
        <v>1177.6</v>
      </c>
      <c r="E743" s="4" t="inlineStr">
        <is>
          <t>Wire Transfer</t>
        </is>
      </c>
      <c r="F743" s="4" t="inlineStr">
        <is>
          <t>US</t>
        </is>
      </c>
      <c r="G743" s="4" t="inlineStr">
        <is>
          <t>Real Estate</t>
        </is>
      </c>
    </row>
    <row r="744">
      <c r="A744" s="2" t="inlineStr">
        <is>
          <t>TXN_000642</t>
        </is>
      </c>
      <c r="B744" s="2" t="inlineStr">
        <is>
          <t>C_00060</t>
        </is>
      </c>
      <c r="C744" s="2" t="inlineStr">
        <is>
          <t>2026-02-16</t>
        </is>
      </c>
      <c r="D744" s="3" t="n">
        <v>3025.28</v>
      </c>
      <c r="E744" s="2" t="inlineStr">
        <is>
          <t>ACH</t>
        </is>
      </c>
      <c r="F744" s="2" t="inlineStr">
        <is>
          <t>CN</t>
        </is>
      </c>
      <c r="G744" s="2" t="inlineStr">
        <is>
          <t>Crypto Exchange</t>
        </is>
      </c>
    </row>
    <row r="745">
      <c r="A745" s="4" t="inlineStr">
        <is>
          <t>TXN_000640</t>
        </is>
      </c>
      <c r="B745" s="4" t="inlineStr">
        <is>
          <t>C_00283</t>
        </is>
      </c>
      <c r="C745" s="4" t="inlineStr">
        <is>
          <t>2026-02-16</t>
        </is>
      </c>
      <c r="D745" s="5" t="n">
        <v>379.12</v>
      </c>
      <c r="E745" s="4" t="inlineStr">
        <is>
          <t>Mobile App</t>
        </is>
      </c>
      <c r="F745" s="4" t="inlineStr">
        <is>
          <t>US</t>
        </is>
      </c>
      <c r="G745" s="4" t="inlineStr">
        <is>
          <t>Crypto Exchange</t>
        </is>
      </c>
    </row>
    <row r="746">
      <c r="A746" s="2" t="inlineStr">
        <is>
          <t>TXN_000641</t>
        </is>
      </c>
      <c r="B746" s="2" t="inlineStr">
        <is>
          <t>C_00180</t>
        </is>
      </c>
      <c r="C746" s="2" t="inlineStr">
        <is>
          <t>2026-02-16</t>
        </is>
      </c>
      <c r="D746" s="3" t="n">
        <v>908.3200000000001</v>
      </c>
      <c r="E746" s="2" t="inlineStr">
        <is>
          <t>Card</t>
        </is>
      </c>
      <c r="F746" s="2" t="inlineStr">
        <is>
          <t>US</t>
        </is>
      </c>
      <c r="G746" s="2" t="inlineStr">
        <is>
          <t>Jewelry</t>
        </is>
      </c>
    </row>
    <row r="747">
      <c r="A747" s="4" t="inlineStr">
        <is>
          <t>TXN_000639</t>
        </is>
      </c>
      <c r="B747" s="4" t="inlineStr">
        <is>
          <t>C_00160</t>
        </is>
      </c>
      <c r="C747" s="4" t="inlineStr">
        <is>
          <t>2026-02-16</t>
        </is>
      </c>
      <c r="D747" s="5" t="n">
        <v>2005.21</v>
      </c>
      <c r="E747" s="4" t="inlineStr">
        <is>
          <t>Wire Transfer</t>
        </is>
      </c>
      <c r="F747" s="4" t="inlineStr">
        <is>
          <t>US</t>
        </is>
      </c>
      <c r="G747" s="4" t="inlineStr">
        <is>
          <t>Healthcare</t>
        </is>
      </c>
    </row>
    <row r="748">
      <c r="A748" s="2" t="inlineStr">
        <is>
          <t>TXN_000647</t>
        </is>
      </c>
      <c r="B748" s="2" t="inlineStr">
        <is>
          <t>C_00145</t>
        </is>
      </c>
      <c r="C748" s="2" t="inlineStr">
        <is>
          <t>2026-02-17</t>
        </is>
      </c>
      <c r="D748" s="3" t="n">
        <v>3784.63</v>
      </c>
      <c r="E748" s="2" t="inlineStr">
        <is>
          <t>ACH</t>
        </is>
      </c>
      <c r="F748" s="2" t="inlineStr">
        <is>
          <t>US</t>
        </is>
      </c>
      <c r="G748" s="2" t="inlineStr">
        <is>
          <t>Retail</t>
        </is>
      </c>
    </row>
    <row r="749">
      <c r="A749" s="4" t="inlineStr">
        <is>
          <t>TXN_000643</t>
        </is>
      </c>
      <c r="B749" s="4" t="inlineStr">
        <is>
          <t>C_00029</t>
        </is>
      </c>
      <c r="C749" s="4" t="inlineStr">
        <is>
          <t>2026-02-17</t>
        </is>
      </c>
      <c r="D749" s="5" t="n">
        <v>4208.99</v>
      </c>
      <c r="E749" s="4" t="inlineStr">
        <is>
          <t>Card</t>
        </is>
      </c>
      <c r="F749" s="4" t="inlineStr">
        <is>
          <t>US</t>
        </is>
      </c>
      <c r="G749" s="4" t="inlineStr">
        <is>
          <t>Retail</t>
        </is>
      </c>
    </row>
    <row r="750">
      <c r="A750" s="2" t="inlineStr">
        <is>
          <t>TXN_000644</t>
        </is>
      </c>
      <c r="B750" s="2" t="inlineStr">
        <is>
          <t>C_00150</t>
        </is>
      </c>
      <c r="C750" s="2" t="inlineStr">
        <is>
          <t>2026-02-17</t>
        </is>
      </c>
      <c r="D750" s="3" t="n">
        <v>372.3</v>
      </c>
      <c r="E750" s="2" t="inlineStr">
        <is>
          <t>ACH</t>
        </is>
      </c>
      <c r="F750" s="2" t="inlineStr">
        <is>
          <t>RU</t>
        </is>
      </c>
      <c r="G750" s="2" t="inlineStr">
        <is>
          <t>Electronics</t>
        </is>
      </c>
    </row>
    <row r="751">
      <c r="A751" s="4" t="inlineStr">
        <is>
          <t>TXN_000646</t>
        </is>
      </c>
      <c r="B751" s="4" t="inlineStr">
        <is>
          <t>C_00262</t>
        </is>
      </c>
      <c r="C751" s="4" t="inlineStr">
        <is>
          <t>2026-02-17</t>
        </is>
      </c>
      <c r="D751" s="5" t="n">
        <v>2455.53</v>
      </c>
      <c r="E751" s="4" t="inlineStr">
        <is>
          <t>Cash Deposit</t>
        </is>
      </c>
      <c r="F751" s="4" t="inlineStr">
        <is>
          <t>US</t>
        </is>
      </c>
      <c r="G751" s="4" t="inlineStr">
        <is>
          <t>Healthcare</t>
        </is>
      </c>
    </row>
    <row r="752">
      <c r="A752" s="2" t="inlineStr">
        <is>
          <t>TXN_000650</t>
        </is>
      </c>
      <c r="B752" s="2" t="inlineStr">
        <is>
          <t>C_00074</t>
        </is>
      </c>
      <c r="C752" s="2" t="inlineStr">
        <is>
          <t>2026-02-17</t>
        </is>
      </c>
      <c r="D752" s="3" t="n">
        <v>6880.12</v>
      </c>
      <c r="E752" s="2" t="inlineStr">
        <is>
          <t>Card</t>
        </is>
      </c>
      <c r="F752" s="2" t="inlineStr">
        <is>
          <t>US</t>
        </is>
      </c>
      <c r="G752" s="2" t="inlineStr">
        <is>
          <t>Retail</t>
        </is>
      </c>
    </row>
    <row r="753">
      <c r="A753" s="4" t="inlineStr">
        <is>
          <t>TXN_000649</t>
        </is>
      </c>
      <c r="B753" s="4" t="inlineStr">
        <is>
          <t>C_00169</t>
        </is>
      </c>
      <c r="C753" s="4" t="inlineStr">
        <is>
          <t>2026-02-17</t>
        </is>
      </c>
      <c r="D753" s="5" t="n">
        <v>6746.59</v>
      </c>
      <c r="E753" s="4" t="inlineStr">
        <is>
          <t>Cash Deposit</t>
        </is>
      </c>
      <c r="F753" s="4" t="inlineStr">
        <is>
          <t>MX</t>
        </is>
      </c>
      <c r="G753" s="4" t="inlineStr">
        <is>
          <t>Travel</t>
        </is>
      </c>
    </row>
    <row r="754">
      <c r="A754" s="2" t="inlineStr">
        <is>
          <t>TXN_000645</t>
        </is>
      </c>
      <c r="B754" s="2" t="inlineStr">
        <is>
          <t>C_00087</t>
        </is>
      </c>
      <c r="C754" s="2" t="inlineStr">
        <is>
          <t>2026-02-17</t>
        </is>
      </c>
      <c r="D754" s="3" t="n">
        <v>10020.43</v>
      </c>
      <c r="E754" s="2" t="inlineStr">
        <is>
          <t>Cash Deposit</t>
        </is>
      </c>
      <c r="F754" s="2" t="inlineStr">
        <is>
          <t>US</t>
        </is>
      </c>
      <c r="G754" s="2" t="inlineStr">
        <is>
          <t>Money Services</t>
        </is>
      </c>
    </row>
    <row r="755">
      <c r="A755" s="4" t="inlineStr">
        <is>
          <t>TXN_000648</t>
        </is>
      </c>
      <c r="B755" s="4" t="inlineStr">
        <is>
          <t>C_ORPHAN_010</t>
        </is>
      </c>
      <c r="C755" s="4" t="inlineStr">
        <is>
          <t>2026-02-17</t>
        </is>
      </c>
      <c r="D755" s="5" t="n">
        <v>497.53</v>
      </c>
      <c r="E755" s="4" t="inlineStr">
        <is>
          <t>Cash Deposit</t>
        </is>
      </c>
      <c r="F755" s="4" t="inlineStr">
        <is>
          <t>US</t>
        </is>
      </c>
      <c r="G755" s="4" t="inlineStr">
        <is>
          <t>Healthcare</t>
        </is>
      </c>
    </row>
    <row r="756">
      <c r="A756" s="2" t="inlineStr">
        <is>
          <t>TXN_000654</t>
        </is>
      </c>
      <c r="B756" s="2" t="inlineStr">
        <is>
          <t>C_00147</t>
        </is>
      </c>
      <c r="C756" s="2" t="inlineStr">
        <is>
          <t>2026-02-18</t>
        </is>
      </c>
      <c r="D756" s="3" t="n">
        <v>631.52</v>
      </c>
      <c r="E756" s="2" t="inlineStr">
        <is>
          <t>ACH</t>
        </is>
      </c>
      <c r="F756" s="2" t="inlineStr">
        <is>
          <t>US</t>
        </is>
      </c>
      <c r="G756" s="2" t="inlineStr">
        <is>
          <t>Electronics</t>
        </is>
      </c>
    </row>
    <row r="757">
      <c r="A757" s="4" t="inlineStr">
        <is>
          <t>TXN_000653</t>
        </is>
      </c>
      <c r="B757" s="4" t="inlineStr">
        <is>
          <t>C_00039</t>
        </is>
      </c>
      <c r="C757" s="4" t="inlineStr">
        <is>
          <t>2026-02-18</t>
        </is>
      </c>
      <c r="D757" s="5" t="n">
        <v>1159.28</v>
      </c>
      <c r="E757" s="4" t="inlineStr">
        <is>
          <t>Mobile App</t>
        </is>
      </c>
      <c r="F757" s="4" t="inlineStr">
        <is>
          <t>RU</t>
        </is>
      </c>
      <c r="G757" s="4" t="inlineStr">
        <is>
          <t>Retail</t>
        </is>
      </c>
    </row>
    <row r="758">
      <c r="A758" s="2" t="inlineStr">
        <is>
          <t>TXN_000656</t>
        </is>
      </c>
      <c r="B758" s="2" t="inlineStr">
        <is>
          <t>C_00125</t>
        </is>
      </c>
      <c r="C758" s="2" t="inlineStr">
        <is>
          <t>2026-02-18</t>
        </is>
      </c>
      <c r="D758" s="3" t="n">
        <v>66.73</v>
      </c>
      <c r="E758" s="2" t="inlineStr">
        <is>
          <t>Wire Transfer</t>
        </is>
      </c>
      <c r="F758" s="2" t="inlineStr">
        <is>
          <t>RU</t>
        </is>
      </c>
      <c r="G758" s="2" t="inlineStr">
        <is>
          <t>Electronics</t>
        </is>
      </c>
    </row>
    <row r="759">
      <c r="A759" s="4" t="inlineStr">
        <is>
          <t>TXN_000657</t>
        </is>
      </c>
      <c r="B759" s="4" t="inlineStr">
        <is>
          <t>C_00253</t>
        </is>
      </c>
      <c r="C759" s="4" t="inlineStr">
        <is>
          <t>2026-02-18</t>
        </is>
      </c>
      <c r="D759" s="5" t="n">
        <v>6619.27</v>
      </c>
      <c r="E759" s="4" t="inlineStr">
        <is>
          <t>Card</t>
        </is>
      </c>
      <c r="F759" s="4" t="inlineStr">
        <is>
          <t>US</t>
        </is>
      </c>
      <c r="G759" s="4" t="inlineStr">
        <is>
          <t>Money Services</t>
        </is>
      </c>
    </row>
    <row r="760">
      <c r="A760" s="2" t="inlineStr">
        <is>
          <t>TXN_000658</t>
        </is>
      </c>
      <c r="B760" s="2" t="inlineStr">
        <is>
          <t>C_00270</t>
        </is>
      </c>
      <c r="C760" s="2" t="inlineStr">
        <is>
          <t>2026-02-18</t>
        </is>
      </c>
      <c r="D760" s="3" t="n">
        <v>181.24</v>
      </c>
      <c r="E760" s="2" t="inlineStr">
        <is>
          <t>Wire Transfer</t>
        </is>
      </c>
      <c r="F760" s="2" t="inlineStr">
        <is>
          <t>US</t>
        </is>
      </c>
      <c r="G760" s="2" t="inlineStr">
        <is>
          <t>Retail</t>
        </is>
      </c>
    </row>
    <row r="761">
      <c r="A761" s="4" t="inlineStr">
        <is>
          <t>TXN_000659</t>
        </is>
      </c>
      <c r="B761" s="4" t="inlineStr">
        <is>
          <t>C_00077</t>
        </is>
      </c>
      <c r="C761" s="4" t="inlineStr">
        <is>
          <t>2026-02-18</t>
        </is>
      </c>
      <c r="D761" s="5" t="n">
        <v>720.84</v>
      </c>
      <c r="E761" s="4" t="inlineStr">
        <is>
          <t>Cash Deposit</t>
        </is>
      </c>
      <c r="F761" s="4" t="inlineStr">
        <is>
          <t>NG</t>
        </is>
      </c>
      <c r="G761" s="4" t="inlineStr">
        <is>
          <t>Electronics</t>
        </is>
      </c>
    </row>
    <row r="762">
      <c r="A762" s="2" t="inlineStr">
        <is>
          <t>TXN_000660</t>
        </is>
      </c>
      <c r="B762" s="2" t="inlineStr">
        <is>
          <t>C_00178</t>
        </is>
      </c>
      <c r="C762" s="2" t="inlineStr">
        <is>
          <t>2026-02-18</t>
        </is>
      </c>
      <c r="D762" s="3" t="n">
        <v>926.48</v>
      </c>
      <c r="E762" s="2" t="inlineStr">
        <is>
          <t>Card</t>
        </is>
      </c>
      <c r="F762" s="2" t="inlineStr">
        <is>
          <t>US</t>
        </is>
      </c>
      <c r="G762" s="2" t="inlineStr">
        <is>
          <t>Real Estate</t>
        </is>
      </c>
    </row>
    <row r="763">
      <c r="A763" s="4" t="inlineStr">
        <is>
          <t>TXN_000661</t>
        </is>
      </c>
      <c r="B763" s="4" t="inlineStr">
        <is>
          <t>C_00098</t>
        </is>
      </c>
      <c r="C763" s="4" t="inlineStr">
        <is>
          <t>2026-02-18</t>
        </is>
      </c>
      <c r="D763" s="5" t="n">
        <v>354.02</v>
      </c>
      <c r="E763" s="4" t="inlineStr">
        <is>
          <t>Cash Deposit</t>
        </is>
      </c>
      <c r="F763" s="4" t="inlineStr">
        <is>
          <t>US</t>
        </is>
      </c>
      <c r="G763" s="4" t="inlineStr">
        <is>
          <t>Real Estate</t>
        </is>
      </c>
    </row>
    <row r="764">
      <c r="A764" s="2" t="inlineStr">
        <is>
          <t>TXN_000655</t>
        </is>
      </c>
      <c r="B764" s="2" t="inlineStr">
        <is>
          <t>C_00246</t>
        </is>
      </c>
      <c r="C764" s="2" t="inlineStr">
        <is>
          <t>2026-02-18</t>
        </is>
      </c>
      <c r="D764" s="3" t="n">
        <v>2688.19</v>
      </c>
      <c r="E764" s="2" t="inlineStr">
        <is>
          <t>ACH</t>
        </is>
      </c>
      <c r="F764" s="2" t="inlineStr">
        <is>
          <t>US</t>
        </is>
      </c>
      <c r="G764" s="2" t="inlineStr">
        <is>
          <t>Real Estate</t>
        </is>
      </c>
    </row>
    <row r="765">
      <c r="A765" s="4" t="inlineStr">
        <is>
          <t>TXN_000662</t>
        </is>
      </c>
      <c r="B765" s="4" t="inlineStr">
        <is>
          <t>C_00185</t>
        </is>
      </c>
      <c r="C765" s="4" t="inlineStr">
        <is>
          <t>2026-02-18</t>
        </is>
      </c>
      <c r="D765" s="5" t="n">
        <v>1393.3</v>
      </c>
      <c r="E765" s="4" t="inlineStr">
        <is>
          <t>Card</t>
        </is>
      </c>
      <c r="F765" s="4" t="inlineStr">
        <is>
          <t>US</t>
        </is>
      </c>
      <c r="G765" s="4" t="inlineStr">
        <is>
          <t>Food &amp; Beverage</t>
        </is>
      </c>
    </row>
    <row r="766">
      <c r="A766" s="2" t="inlineStr">
        <is>
          <t>TXN_000652</t>
        </is>
      </c>
      <c r="B766" s="2" t="inlineStr">
        <is>
          <t>C_00281</t>
        </is>
      </c>
      <c r="C766" s="2" t="inlineStr">
        <is>
          <t>2026-02-18</t>
        </is>
      </c>
      <c r="D766" s="3" t="n">
        <v>7181.42</v>
      </c>
      <c r="E766" s="2" t="inlineStr">
        <is>
          <t>Cash Deposit</t>
        </is>
      </c>
      <c r="F766" s="2" t="inlineStr">
        <is>
          <t>US</t>
        </is>
      </c>
      <c r="G766" s="2" t="inlineStr">
        <is>
          <t>Electronics</t>
        </is>
      </c>
    </row>
    <row r="767">
      <c r="A767" s="4" t="inlineStr">
        <is>
          <t>TXN_000651</t>
        </is>
      </c>
      <c r="B767" s="4" t="inlineStr">
        <is>
          <t>C_00244</t>
        </is>
      </c>
      <c r="C767" s="4" t="inlineStr">
        <is>
          <t>2026-02-18</t>
        </is>
      </c>
      <c r="D767" s="5" t="n">
        <v>656.83</v>
      </c>
      <c r="E767" s="4" t="inlineStr">
        <is>
          <t>Card</t>
        </is>
      </c>
      <c r="F767" s="4" t="inlineStr">
        <is>
          <t>NG</t>
        </is>
      </c>
      <c r="G767" s="4" t="inlineStr">
        <is>
          <t>Crypto Exchange</t>
        </is>
      </c>
    </row>
    <row r="768">
      <c r="A768" s="2" t="inlineStr">
        <is>
          <t>TXN_000663</t>
        </is>
      </c>
      <c r="B768" s="2" t="inlineStr">
        <is>
          <t>C_00264</t>
        </is>
      </c>
      <c r="C768" s="2" t="inlineStr">
        <is>
          <t>2026-02-19</t>
        </is>
      </c>
      <c r="D768" s="3" t="n">
        <v>3073.79</v>
      </c>
      <c r="E768" s="2" t="inlineStr">
        <is>
          <t>Mobile App</t>
        </is>
      </c>
      <c r="F768" s="2" t="inlineStr">
        <is>
          <t>US</t>
        </is>
      </c>
      <c r="G768" s="2" t="inlineStr">
        <is>
          <t>Electronics</t>
        </is>
      </c>
    </row>
    <row r="769">
      <c r="A769" s="4" t="inlineStr">
        <is>
          <t>TXN_000665</t>
        </is>
      </c>
      <c r="B769" s="4" t="inlineStr">
        <is>
          <t>C_00030</t>
        </is>
      </c>
      <c r="C769" s="4" t="inlineStr">
        <is>
          <t>2026-02-19</t>
        </is>
      </c>
      <c r="D769" s="5" t="n">
        <v>73586.34</v>
      </c>
      <c r="E769" s="4" t="inlineStr">
        <is>
          <t>ACH</t>
        </is>
      </c>
      <c r="F769" s="4" t="inlineStr">
        <is>
          <t>CA</t>
        </is>
      </c>
      <c r="G769" s="4" t="inlineStr">
        <is>
          <t>Healthcare</t>
        </is>
      </c>
    </row>
    <row r="770">
      <c r="A770" s="2" t="inlineStr">
        <is>
          <t>TXN_000666</t>
        </is>
      </c>
      <c r="B770" s="2" t="inlineStr">
        <is>
          <t>C_00165</t>
        </is>
      </c>
      <c r="C770" s="2" t="inlineStr">
        <is>
          <t>2026-02-19</t>
        </is>
      </c>
      <c r="D770" s="3" t="n">
        <v>538.74</v>
      </c>
      <c r="E770" s="2" t="inlineStr">
        <is>
          <t>ACH</t>
        </is>
      </c>
      <c r="F770" s="2" t="inlineStr">
        <is>
          <t>US</t>
        </is>
      </c>
      <c r="G770" s="2" t="inlineStr">
        <is>
          <t>Electronics</t>
        </is>
      </c>
    </row>
    <row r="771">
      <c r="A771" s="4" t="inlineStr">
        <is>
          <t>TXN_000668</t>
        </is>
      </c>
      <c r="B771" s="4" t="inlineStr">
        <is>
          <t>C_00088</t>
        </is>
      </c>
      <c r="C771" s="4" t="inlineStr">
        <is>
          <t>2026-02-19</t>
        </is>
      </c>
      <c r="D771" s="5" t="n">
        <v>1489.11</v>
      </c>
      <c r="E771" s="4" t="inlineStr">
        <is>
          <t>Mobile App</t>
        </is>
      </c>
      <c r="F771" s="4" t="inlineStr">
        <is>
          <t>US</t>
        </is>
      </c>
      <c r="G771" s="4" t="inlineStr">
        <is>
          <t>Money Services</t>
        </is>
      </c>
    </row>
    <row r="772">
      <c r="A772" s="2" t="inlineStr">
        <is>
          <t>TXN_000669</t>
        </is>
      </c>
      <c r="B772" s="2" t="inlineStr">
        <is>
          <t>C_00259</t>
        </is>
      </c>
      <c r="C772" s="2" t="inlineStr">
        <is>
          <t>2026-02-19</t>
        </is>
      </c>
      <c r="D772" s="3" t="n">
        <v>263.09</v>
      </c>
      <c r="E772" s="2" t="inlineStr">
        <is>
          <t>Wire Transfer</t>
        </is>
      </c>
      <c r="F772" s="2" t="inlineStr">
        <is>
          <t>US</t>
        </is>
      </c>
      <c r="G772" s="2" t="inlineStr">
        <is>
          <t>Crypto Exchange</t>
        </is>
      </c>
    </row>
    <row r="773">
      <c r="A773" s="4" t="inlineStr">
        <is>
          <t>TXN_000670</t>
        </is>
      </c>
      <c r="B773" s="4" t="inlineStr">
        <is>
          <t>C_00259</t>
        </is>
      </c>
      <c r="C773" s="4" t="inlineStr">
        <is>
          <t>2026-02-19</t>
        </is>
      </c>
      <c r="D773" s="5" t="n">
        <v>5389.04</v>
      </c>
      <c r="E773" s="4" t="inlineStr">
        <is>
          <t>Wire Transfer</t>
        </is>
      </c>
      <c r="F773" s="4" t="inlineStr">
        <is>
          <t>MX</t>
        </is>
      </c>
      <c r="G773" s="4" t="inlineStr">
        <is>
          <t>Electronics</t>
        </is>
      </c>
    </row>
    <row r="774">
      <c r="A774" s="2" t="inlineStr">
        <is>
          <t>TXN_000671</t>
        </is>
      </c>
      <c r="B774" s="2" t="inlineStr">
        <is>
          <t>C_00034</t>
        </is>
      </c>
      <c r="C774" s="2" t="inlineStr">
        <is>
          <t>2026-02-19</t>
        </is>
      </c>
      <c r="D774" s="3" t="n">
        <v>805.4299999999999</v>
      </c>
      <c r="E774" s="2" t="inlineStr">
        <is>
          <t>Mobile App</t>
        </is>
      </c>
      <c r="F774" s="2" t="inlineStr">
        <is>
          <t>MX</t>
        </is>
      </c>
      <c r="G774" s="2" t="inlineStr">
        <is>
          <t>Electronics</t>
        </is>
      </c>
    </row>
    <row r="775">
      <c r="A775" s="4" t="inlineStr">
        <is>
          <t>TXN_000672</t>
        </is>
      </c>
      <c r="B775" s="4" t="inlineStr">
        <is>
          <t>C_00266</t>
        </is>
      </c>
      <c r="C775" s="4" t="inlineStr">
        <is>
          <t>2026-02-19</t>
        </is>
      </c>
      <c r="D775" s="5" t="n">
        <v>188.16</v>
      </c>
      <c r="E775" s="4" t="inlineStr">
        <is>
          <t>Cash Deposit</t>
        </is>
      </c>
      <c r="F775" s="4" t="inlineStr">
        <is>
          <t>AE</t>
        </is>
      </c>
      <c r="G775" s="4" t="inlineStr">
        <is>
          <t>Crypto Exchange</t>
        </is>
      </c>
    </row>
    <row r="776">
      <c r="A776" s="2" t="inlineStr">
        <is>
          <t>TXN_000673</t>
        </is>
      </c>
      <c r="B776" s="2" t="inlineStr">
        <is>
          <t>C_00172</t>
        </is>
      </c>
      <c r="C776" s="2" t="inlineStr">
        <is>
          <t>2026-02-19</t>
        </is>
      </c>
      <c r="D776" s="3" t="n">
        <v>1344.55</v>
      </c>
      <c r="E776" s="2" t="inlineStr">
        <is>
          <t>Cash Deposit</t>
        </is>
      </c>
      <c r="F776" s="2" t="inlineStr">
        <is>
          <t>CA</t>
        </is>
      </c>
      <c r="G776" s="2" t="inlineStr">
        <is>
          <t>Travel</t>
        </is>
      </c>
    </row>
    <row r="777">
      <c r="A777" s="4" t="inlineStr">
        <is>
          <t>TXN_000674</t>
        </is>
      </c>
      <c r="B777" s="4" t="inlineStr">
        <is>
          <t>C_00142</t>
        </is>
      </c>
      <c r="C777" s="4" t="inlineStr">
        <is>
          <t>2026-02-19</t>
        </is>
      </c>
      <c r="D777" s="5" t="n">
        <v>1190.58</v>
      </c>
      <c r="E777" s="4" t="inlineStr">
        <is>
          <t>Card</t>
        </is>
      </c>
      <c r="F777" s="4" t="inlineStr">
        <is>
          <t>RU</t>
        </is>
      </c>
      <c r="G777" s="4" t="inlineStr">
        <is>
          <t>Retail</t>
        </is>
      </c>
    </row>
    <row r="778">
      <c r="A778" s="2" t="inlineStr">
        <is>
          <t>TXN_000675</t>
        </is>
      </c>
      <c r="B778" s="2" t="inlineStr">
        <is>
          <t>C_00100</t>
        </is>
      </c>
      <c r="C778" s="2" t="inlineStr">
        <is>
          <t>2026-02-19</t>
        </is>
      </c>
      <c r="D778" s="3" t="n">
        <v>310.47</v>
      </c>
      <c r="E778" s="2" t="inlineStr">
        <is>
          <t>Mobile App</t>
        </is>
      </c>
      <c r="F778" s="2" t="inlineStr">
        <is>
          <t>US</t>
        </is>
      </c>
      <c r="G778" s="2" t="inlineStr">
        <is>
          <t>Crypto Exchange</t>
        </is>
      </c>
    </row>
    <row r="779">
      <c r="A779" s="4" t="inlineStr">
        <is>
          <t>TXN_000664</t>
        </is>
      </c>
      <c r="B779" s="4" t="inlineStr">
        <is>
          <t>C_00192</t>
        </is>
      </c>
      <c r="C779" s="4" t="inlineStr">
        <is>
          <t>2026-02-19</t>
        </is>
      </c>
      <c r="D779" s="5" t="n">
        <v>3499.25</v>
      </c>
      <c r="E779" s="4" t="inlineStr">
        <is>
          <t>Wire Transfer</t>
        </is>
      </c>
      <c r="F779" s="4" t="inlineStr">
        <is>
          <t>CA</t>
        </is>
      </c>
      <c r="G779" s="4" t="inlineStr">
        <is>
          <t>Jewelry</t>
        </is>
      </c>
    </row>
    <row r="780">
      <c r="A780" s="2" t="inlineStr">
        <is>
          <t>TXN_000667</t>
        </is>
      </c>
      <c r="B780" s="2" t="inlineStr">
        <is>
          <t>C_00167</t>
        </is>
      </c>
      <c r="C780" s="2" t="inlineStr">
        <is>
          <t>2026-02-19</t>
        </is>
      </c>
      <c r="D780" s="3" t="n">
        <v>1467.02</v>
      </c>
      <c r="E780" s="2" t="inlineStr">
        <is>
          <t>Cash Deposit</t>
        </is>
      </c>
      <c r="F780" s="2" t="inlineStr">
        <is>
          <t>US</t>
        </is>
      </c>
      <c r="G780" s="2" t="inlineStr">
        <is>
          <t>Food &amp; Beverage</t>
        </is>
      </c>
    </row>
    <row r="781">
      <c r="A781" s="4" t="inlineStr">
        <is>
          <t>TXN_000684</t>
        </is>
      </c>
      <c r="B781" s="4" t="inlineStr">
        <is>
          <t>C_00029</t>
        </is>
      </c>
      <c r="C781" s="4" t="inlineStr">
        <is>
          <t>2026-02-20</t>
        </is>
      </c>
      <c r="D781" s="5" t="n">
        <v>2670.07</v>
      </c>
      <c r="E781" s="4" t="inlineStr">
        <is>
          <t>Wire Transfer</t>
        </is>
      </c>
      <c r="F781" s="4" t="inlineStr">
        <is>
          <t>US</t>
        </is>
      </c>
      <c r="G781" s="4" t="inlineStr">
        <is>
          <t>Jewelry</t>
        </is>
      </c>
    </row>
    <row r="782">
      <c r="A782" s="2" t="inlineStr">
        <is>
          <t>TXN_000681</t>
        </is>
      </c>
      <c r="B782" s="2" t="inlineStr">
        <is>
          <t>C_00026</t>
        </is>
      </c>
      <c r="C782" s="2" t="inlineStr">
        <is>
          <t>2026-02-20</t>
        </is>
      </c>
      <c r="D782" s="3" t="n">
        <v>2099.88</v>
      </c>
      <c r="E782" s="2" t="inlineStr">
        <is>
          <t>Card</t>
        </is>
      </c>
      <c r="F782" s="2" t="inlineStr">
        <is>
          <t>US</t>
        </is>
      </c>
      <c r="G782" s="2" t="inlineStr">
        <is>
          <t>Real Estate</t>
        </is>
      </c>
    </row>
    <row r="783">
      <c r="A783" s="4" t="inlineStr">
        <is>
          <t>TXN_000688</t>
        </is>
      </c>
      <c r="B783" s="4" t="inlineStr">
        <is>
          <t>C_00126</t>
        </is>
      </c>
      <c r="C783" s="4" t="inlineStr">
        <is>
          <t>2026-02-20</t>
        </is>
      </c>
      <c r="D783" s="5" t="n">
        <v>1323.09</v>
      </c>
      <c r="E783" s="4" t="inlineStr">
        <is>
          <t>Cash Deposit</t>
        </is>
      </c>
      <c r="F783" s="4" t="inlineStr">
        <is>
          <t>US</t>
        </is>
      </c>
      <c r="G783" s="4" t="inlineStr">
        <is>
          <t>Auto</t>
        </is>
      </c>
    </row>
    <row r="784">
      <c r="A784" s="2" t="inlineStr">
        <is>
          <t>TXN_000687</t>
        </is>
      </c>
      <c r="B784" s="2" t="inlineStr">
        <is>
          <t>C_00249</t>
        </is>
      </c>
      <c r="C784" s="2" t="inlineStr">
        <is>
          <t>2026-02-20</t>
        </is>
      </c>
      <c r="D784" s="3" t="n">
        <v>514.65</v>
      </c>
      <c r="E784" s="2" t="inlineStr">
        <is>
          <t>Cash Deposit</t>
        </is>
      </c>
      <c r="F784" s="2" t="inlineStr">
        <is>
          <t>AE</t>
        </is>
      </c>
      <c r="G784" s="2" t="inlineStr">
        <is>
          <t>Electronics</t>
        </is>
      </c>
    </row>
    <row r="785">
      <c r="A785" s="4" t="inlineStr">
        <is>
          <t>TXN_000685</t>
        </is>
      </c>
      <c r="B785" s="4" t="inlineStr">
        <is>
          <t>C_00118</t>
        </is>
      </c>
      <c r="C785" s="4" t="inlineStr">
        <is>
          <t>2026-02-20</t>
        </is>
      </c>
      <c r="D785" s="5" t="n">
        <v>3014.98</v>
      </c>
      <c r="E785" s="4" t="inlineStr">
        <is>
          <t>Wire Transfer</t>
        </is>
      </c>
      <c r="F785" s="4" t="inlineStr">
        <is>
          <t>RU</t>
        </is>
      </c>
      <c r="G785" s="4" t="inlineStr">
        <is>
          <t>Money Services</t>
        </is>
      </c>
    </row>
    <row r="786">
      <c r="A786" s="2" t="inlineStr">
        <is>
          <t>TXN_000683</t>
        </is>
      </c>
      <c r="B786" s="2" t="inlineStr">
        <is>
          <t>C_00065</t>
        </is>
      </c>
      <c r="C786" s="2" t="inlineStr">
        <is>
          <t>2026-02-20</t>
        </is>
      </c>
      <c r="D786" s="3" t="n">
        <v>1293.28</v>
      </c>
      <c r="E786" s="2" t="inlineStr">
        <is>
          <t>Mobile App</t>
        </is>
      </c>
      <c r="F786" s="2" t="inlineStr">
        <is>
          <t>US</t>
        </is>
      </c>
      <c r="G786" s="2" t="inlineStr">
        <is>
          <t>Healthcare</t>
        </is>
      </c>
    </row>
    <row r="787">
      <c r="A787" s="4" t="inlineStr">
        <is>
          <t>TXN_000682</t>
        </is>
      </c>
      <c r="B787" s="4" t="inlineStr">
        <is>
          <t>C_00031</t>
        </is>
      </c>
      <c r="C787" s="4" t="inlineStr">
        <is>
          <t>2026-02-20</t>
        </is>
      </c>
      <c r="D787" s="5" t="n">
        <v>897.25</v>
      </c>
      <c r="E787" s="4" t="inlineStr">
        <is>
          <t>Card</t>
        </is>
      </c>
      <c r="F787" s="4" t="inlineStr">
        <is>
          <t>CN</t>
        </is>
      </c>
      <c r="G787" s="4" t="inlineStr">
        <is>
          <t>Retail</t>
        </is>
      </c>
    </row>
    <row r="788">
      <c r="A788" s="2" t="inlineStr">
        <is>
          <t>TXN_000686</t>
        </is>
      </c>
      <c r="B788" s="2" t="inlineStr">
        <is>
          <t>C_00040</t>
        </is>
      </c>
      <c r="C788" s="2" t="inlineStr">
        <is>
          <t>2026-02-20</t>
        </is>
      </c>
      <c r="D788" s="3" t="n">
        <v>979.46</v>
      </c>
      <c r="E788" s="2" t="inlineStr">
        <is>
          <t>Card</t>
        </is>
      </c>
      <c r="F788" s="2" t="inlineStr">
        <is>
          <t>CA</t>
        </is>
      </c>
      <c r="G788" s="2" t="inlineStr">
        <is>
          <t>Real Estate</t>
        </is>
      </c>
    </row>
    <row r="789">
      <c r="A789" s="4" t="inlineStr">
        <is>
          <t>TXN_000679</t>
        </is>
      </c>
      <c r="B789" s="4" t="inlineStr">
        <is>
          <t>C_00144</t>
        </is>
      </c>
      <c r="C789" s="4" t="inlineStr">
        <is>
          <t>2026-02-20</t>
        </is>
      </c>
      <c r="D789" s="5" t="n">
        <v>120.17</v>
      </c>
      <c r="E789" s="4" t="inlineStr">
        <is>
          <t>Wire Transfer</t>
        </is>
      </c>
      <c r="F789" s="4" t="inlineStr">
        <is>
          <t>US</t>
        </is>
      </c>
      <c r="G789" s="4" t="inlineStr">
        <is>
          <t>Travel</t>
        </is>
      </c>
    </row>
    <row r="790">
      <c r="A790" s="2" t="inlineStr">
        <is>
          <t>TXN_000678</t>
        </is>
      </c>
      <c r="B790" s="2" t="inlineStr">
        <is>
          <t>C_00230</t>
        </is>
      </c>
      <c r="C790" s="2" t="inlineStr">
        <is>
          <t>2026-02-20</t>
        </is>
      </c>
      <c r="D790" s="3" t="n">
        <v>963.62</v>
      </c>
      <c r="E790" s="2" t="inlineStr">
        <is>
          <t>Wire Transfer</t>
        </is>
      </c>
      <c r="F790" s="2" t="inlineStr">
        <is>
          <t>US</t>
        </is>
      </c>
      <c r="G790" s="2" t="inlineStr">
        <is>
          <t>Real Estate</t>
        </is>
      </c>
    </row>
    <row r="791">
      <c r="A791" s="4" t="inlineStr">
        <is>
          <t>TXN_000677</t>
        </is>
      </c>
      <c r="B791" s="4" t="inlineStr">
        <is>
          <t>C_00224</t>
        </is>
      </c>
      <c r="C791" s="4" t="inlineStr">
        <is>
          <t>2026-02-20</t>
        </is>
      </c>
      <c r="D791" s="5" t="n">
        <v>1194.89</v>
      </c>
      <c r="E791" s="4" t="inlineStr">
        <is>
          <t>Cash Deposit</t>
        </is>
      </c>
      <c r="F791" s="4" t="inlineStr">
        <is>
          <t>US</t>
        </is>
      </c>
      <c r="G791" s="4" t="inlineStr">
        <is>
          <t>Healthcare</t>
        </is>
      </c>
    </row>
    <row r="792">
      <c r="A792" s="2" t="inlineStr">
        <is>
          <t>TXN_000676</t>
        </is>
      </c>
      <c r="B792" s="2" t="inlineStr">
        <is>
          <t>C_00210</t>
        </is>
      </c>
      <c r="C792" s="2" t="inlineStr">
        <is>
          <t>2026-02-20</t>
        </is>
      </c>
      <c r="D792" s="3" t="n">
        <v>1954.58</v>
      </c>
      <c r="E792" s="2" t="inlineStr">
        <is>
          <t>Wire Transfer</t>
        </is>
      </c>
      <c r="F792" s="2" t="inlineStr">
        <is>
          <t>RU</t>
        </is>
      </c>
      <c r="G792" s="2" t="inlineStr">
        <is>
          <t>Healthcare</t>
        </is>
      </c>
    </row>
    <row r="793">
      <c r="A793" s="4" t="inlineStr">
        <is>
          <t>TXN_000680</t>
        </is>
      </c>
      <c r="B793" s="4" t="inlineStr">
        <is>
          <t>C_00034</t>
        </is>
      </c>
      <c r="C793" s="4" t="inlineStr">
        <is>
          <t>2026-02-20</t>
        </is>
      </c>
      <c r="D793" s="5" t="n">
        <v>388.3</v>
      </c>
      <c r="E793" s="4" t="inlineStr">
        <is>
          <t>Wire Transfer</t>
        </is>
      </c>
      <c r="F793" s="4" t="inlineStr">
        <is>
          <t>US</t>
        </is>
      </c>
      <c r="G793" s="4" t="inlineStr">
        <is>
          <t>Auto</t>
        </is>
      </c>
    </row>
    <row r="794">
      <c r="A794" s="2" t="inlineStr">
        <is>
          <t>TXN_000697</t>
        </is>
      </c>
      <c r="B794" s="2" t="inlineStr">
        <is>
          <t>C_00145</t>
        </is>
      </c>
      <c r="C794" s="2" t="inlineStr">
        <is>
          <t>2026-02-21</t>
        </is>
      </c>
      <c r="D794" s="3" t="n">
        <v>2056.14</v>
      </c>
      <c r="E794" s="2" t="inlineStr">
        <is>
          <t>Mobile App</t>
        </is>
      </c>
      <c r="F794" s="2" t="inlineStr">
        <is>
          <t>US</t>
        </is>
      </c>
      <c r="G794" s="2" t="inlineStr">
        <is>
          <t>Crypto Exchange</t>
        </is>
      </c>
    </row>
    <row r="795">
      <c r="A795" s="4" t="inlineStr">
        <is>
          <t>TXN_000703</t>
        </is>
      </c>
      <c r="B795" s="4" t="inlineStr">
        <is>
          <t>C_00248</t>
        </is>
      </c>
      <c r="C795" s="4" t="inlineStr">
        <is>
          <t>2026-02-21</t>
        </is>
      </c>
      <c r="D795" s="5" t="n">
        <v>583.01</v>
      </c>
      <c r="E795" s="4" t="inlineStr">
        <is>
          <t>Wire Transfer</t>
        </is>
      </c>
      <c r="F795" s="4" t="inlineStr">
        <is>
          <t>US</t>
        </is>
      </c>
      <c r="G795" s="4" t="inlineStr">
        <is>
          <t>Auto</t>
        </is>
      </c>
    </row>
    <row r="796">
      <c r="A796" s="2" t="inlineStr">
        <is>
          <t>TXN_000702</t>
        </is>
      </c>
      <c r="B796" s="2" t="inlineStr">
        <is>
          <t>C_00196</t>
        </is>
      </c>
      <c r="C796" s="2" t="inlineStr">
        <is>
          <t>2026-02-21</t>
        </is>
      </c>
      <c r="D796" s="3" t="n">
        <v>4296.13</v>
      </c>
      <c r="E796" s="2" t="inlineStr">
        <is>
          <t>Card</t>
        </is>
      </c>
      <c r="F796" s="2" t="inlineStr">
        <is>
          <t>CN</t>
        </is>
      </c>
      <c r="G796" s="2" t="inlineStr">
        <is>
          <t>Travel</t>
        </is>
      </c>
    </row>
    <row r="797">
      <c r="A797" s="4" t="inlineStr">
        <is>
          <t>TXN_000701</t>
        </is>
      </c>
      <c r="B797" s="4" t="inlineStr">
        <is>
          <t>C_00156</t>
        </is>
      </c>
      <c r="C797" s="4" t="inlineStr">
        <is>
          <t>2026-02-21</t>
        </is>
      </c>
      <c r="D797" s="5" t="n">
        <v>1727.96</v>
      </c>
      <c r="E797" s="4" t="inlineStr">
        <is>
          <t>Wire Transfer</t>
        </is>
      </c>
      <c r="F797" s="4" t="inlineStr">
        <is>
          <t>US</t>
        </is>
      </c>
      <c r="G797" s="4" t="inlineStr">
        <is>
          <t>Jewelry</t>
        </is>
      </c>
    </row>
    <row r="798">
      <c r="A798" s="2" t="inlineStr">
        <is>
          <t>TXN_000699</t>
        </is>
      </c>
      <c r="B798" s="2" t="inlineStr">
        <is>
          <t>C_00256</t>
        </is>
      </c>
      <c r="C798" s="2" t="inlineStr">
        <is>
          <t>2026-02-21</t>
        </is>
      </c>
      <c r="D798" s="3" t="n">
        <v>1911.83</v>
      </c>
      <c r="E798" s="2" t="inlineStr">
        <is>
          <t>Wire Transfer</t>
        </is>
      </c>
      <c r="F798" s="2" t="inlineStr">
        <is>
          <t>AE</t>
        </is>
      </c>
      <c r="G798" s="2" t="inlineStr">
        <is>
          <t>Electronics</t>
        </is>
      </c>
    </row>
    <row r="799">
      <c r="A799" s="4" t="inlineStr">
        <is>
          <t>TXN_000698</t>
        </is>
      </c>
      <c r="B799" s="4" t="inlineStr">
        <is>
          <t>C_00040</t>
        </is>
      </c>
      <c r="C799" s="4" t="inlineStr">
        <is>
          <t>2026-02-21</t>
        </is>
      </c>
      <c r="D799" s="5" t="n">
        <v>2038.98</v>
      </c>
      <c r="E799" s="4" t="inlineStr">
        <is>
          <t>Cash Deposit</t>
        </is>
      </c>
      <c r="F799" s="4" t="inlineStr">
        <is>
          <t>CA</t>
        </is>
      </c>
      <c r="G799" s="4" t="inlineStr">
        <is>
          <t>Electronics</t>
        </is>
      </c>
    </row>
    <row r="800">
      <c r="A800" s="2" t="inlineStr">
        <is>
          <t>TXN_000696</t>
        </is>
      </c>
      <c r="B800" s="2" t="inlineStr">
        <is>
          <t>C_00166</t>
        </is>
      </c>
      <c r="C800" s="2" t="inlineStr">
        <is>
          <t>2026-02-21</t>
        </is>
      </c>
      <c r="D800" s="3" t="n">
        <v>4679.79</v>
      </c>
      <c r="E800" s="2" t="inlineStr">
        <is>
          <t>Mobile App</t>
        </is>
      </c>
      <c r="F800" s="2" t="inlineStr">
        <is>
          <t>US</t>
        </is>
      </c>
      <c r="G800" s="2" t="inlineStr">
        <is>
          <t>Healthcare</t>
        </is>
      </c>
    </row>
    <row r="801">
      <c r="A801" s="4" t="inlineStr">
        <is>
          <t>TXN_000700</t>
        </is>
      </c>
      <c r="B801" s="4" t="inlineStr">
        <is>
          <t>C_00211</t>
        </is>
      </c>
      <c r="C801" s="4" t="inlineStr">
        <is>
          <t>2026-02-21</t>
        </is>
      </c>
      <c r="D801" s="5" t="n">
        <v>1218.4</v>
      </c>
      <c r="E801" s="4" t="inlineStr">
        <is>
          <t>Wire Transfer</t>
        </is>
      </c>
      <c r="F801" s="4" t="inlineStr">
        <is>
          <t>US</t>
        </is>
      </c>
      <c r="G801" s="4" t="inlineStr">
        <is>
          <t>Auto</t>
        </is>
      </c>
    </row>
    <row r="802">
      <c r="A802" s="2" t="inlineStr">
        <is>
          <t>TXN_000694</t>
        </is>
      </c>
      <c r="B802" s="2" t="inlineStr">
        <is>
          <t>C_00128</t>
        </is>
      </c>
      <c r="C802" s="2" t="inlineStr">
        <is>
          <t>2026-02-21</t>
        </is>
      </c>
      <c r="D802" s="3" t="n">
        <v>1574.35</v>
      </c>
      <c r="E802" s="2" t="inlineStr">
        <is>
          <t>Wire Transfer</t>
        </is>
      </c>
      <c r="F802" s="2" t="inlineStr">
        <is>
          <t>US</t>
        </is>
      </c>
      <c r="G802" s="2" t="inlineStr">
        <is>
          <t>Money Services</t>
        </is>
      </c>
    </row>
    <row r="803">
      <c r="A803" s="4" t="inlineStr">
        <is>
          <t>TXN_000693</t>
        </is>
      </c>
      <c r="B803" s="4" t="inlineStr">
        <is>
          <t>C_00116</t>
        </is>
      </c>
      <c r="C803" s="4" t="inlineStr">
        <is>
          <t>2026-02-21</t>
        </is>
      </c>
      <c r="D803" s="5" t="n">
        <v>5615.57</v>
      </c>
      <c r="E803" s="4" t="inlineStr">
        <is>
          <t>ACH</t>
        </is>
      </c>
      <c r="F803" s="4" t="inlineStr">
        <is>
          <t>US</t>
        </is>
      </c>
      <c r="G803" s="4" t="inlineStr">
        <is>
          <t>Jewelry</t>
        </is>
      </c>
    </row>
    <row r="804">
      <c r="A804" s="2" t="inlineStr">
        <is>
          <t>TXN_000692</t>
        </is>
      </c>
      <c r="B804" s="2" t="inlineStr">
        <is>
          <t>C_00124</t>
        </is>
      </c>
      <c r="C804" s="2" t="inlineStr">
        <is>
          <t>2026-02-21</t>
        </is>
      </c>
      <c r="D804" s="3" t="n">
        <v>1176.53</v>
      </c>
      <c r="E804" s="2" t="inlineStr">
        <is>
          <t>Wire Transfer</t>
        </is>
      </c>
      <c r="F804" s="2" t="inlineStr">
        <is>
          <t>US</t>
        </is>
      </c>
      <c r="G804" s="2" t="inlineStr">
        <is>
          <t>Money Services</t>
        </is>
      </c>
    </row>
    <row r="805">
      <c r="A805" s="4" t="inlineStr">
        <is>
          <t>TXN_000691</t>
        </is>
      </c>
      <c r="B805" s="4" t="inlineStr">
        <is>
          <t>C_00103</t>
        </is>
      </c>
      <c r="C805" s="4" t="inlineStr">
        <is>
          <t>2026-02-21</t>
        </is>
      </c>
      <c r="D805" s="5" t="n">
        <v>1722.6</v>
      </c>
      <c r="E805" s="4" t="inlineStr">
        <is>
          <t>Cash Deposit</t>
        </is>
      </c>
      <c r="F805" s="4" t="inlineStr">
        <is>
          <t>US</t>
        </is>
      </c>
      <c r="G805" s="4" t="inlineStr">
        <is>
          <t>Auto</t>
        </is>
      </c>
    </row>
    <row r="806">
      <c r="A806" s="2" t="inlineStr">
        <is>
          <t>TXN_000690</t>
        </is>
      </c>
      <c r="B806" s="2" t="inlineStr">
        <is>
          <t>C_00082</t>
        </is>
      </c>
      <c r="C806" s="2" t="inlineStr">
        <is>
          <t>2026-02-21</t>
        </is>
      </c>
      <c r="D806" s="3" t="n">
        <v>13431.33</v>
      </c>
      <c r="E806" s="2" t="inlineStr">
        <is>
          <t>Card</t>
        </is>
      </c>
      <c r="F806" s="2" t="inlineStr">
        <is>
          <t>AE</t>
        </is>
      </c>
      <c r="G806" s="2" t="inlineStr">
        <is>
          <t>Travel</t>
        </is>
      </c>
    </row>
    <row r="807">
      <c r="A807" s="4" t="inlineStr">
        <is>
          <t>TXN_000689</t>
        </is>
      </c>
      <c r="B807" s="4" t="inlineStr">
        <is>
          <t>C_00043</t>
        </is>
      </c>
      <c r="C807" s="4" t="inlineStr">
        <is>
          <t>2026-02-21</t>
        </is>
      </c>
      <c r="D807" s="5" t="n">
        <v>404.58</v>
      </c>
      <c r="E807" s="4" t="inlineStr">
        <is>
          <t>Mobile App</t>
        </is>
      </c>
      <c r="F807" s="4" t="inlineStr">
        <is>
          <t>NG</t>
        </is>
      </c>
      <c r="G807" s="4" t="inlineStr">
        <is>
          <t>Crypto Exchange</t>
        </is>
      </c>
    </row>
    <row r="808">
      <c r="A808" s="2" t="inlineStr">
        <is>
          <t>TXN_000695</t>
        </is>
      </c>
      <c r="B808" s="2" t="inlineStr">
        <is>
          <t>C_00228</t>
        </is>
      </c>
      <c r="C808" s="2" t="inlineStr">
        <is>
          <t>2026-02-21</t>
        </is>
      </c>
      <c r="D808" s="3" t="n">
        <v>2836.45</v>
      </c>
      <c r="E808" s="2" t="inlineStr">
        <is>
          <t>Cash Deposit</t>
        </is>
      </c>
      <c r="F808" s="2" t="inlineStr">
        <is>
          <t>CN</t>
        </is>
      </c>
      <c r="G808" s="2" t="inlineStr">
        <is>
          <t>Crypto Exchange</t>
        </is>
      </c>
    </row>
    <row r="809">
      <c r="A809" s="4" t="inlineStr">
        <is>
          <t>TXN_000717</t>
        </is>
      </c>
      <c r="B809" s="4" t="inlineStr">
        <is>
          <t>C_00179</t>
        </is>
      </c>
      <c r="C809" s="4" t="inlineStr">
        <is>
          <t>2026-02-22</t>
        </is>
      </c>
      <c r="D809" s="5" t="n">
        <v>1549.94</v>
      </c>
      <c r="E809" s="4" t="inlineStr">
        <is>
          <t>Mobile App</t>
        </is>
      </c>
      <c r="F809" s="4" t="inlineStr">
        <is>
          <t>US</t>
        </is>
      </c>
      <c r="G809" s="4" t="inlineStr">
        <is>
          <t>Healthcare</t>
        </is>
      </c>
    </row>
    <row r="810">
      <c r="A810" s="2" t="inlineStr">
        <is>
          <t>TXN_000716</t>
        </is>
      </c>
      <c r="B810" s="2" t="inlineStr">
        <is>
          <t>C_00085</t>
        </is>
      </c>
      <c r="C810" s="2" t="inlineStr">
        <is>
          <t>2026-02-22</t>
        </is>
      </c>
      <c r="D810" s="3" t="n">
        <v>339.47</v>
      </c>
      <c r="E810" s="2" t="inlineStr">
        <is>
          <t>Mobile App</t>
        </is>
      </c>
      <c r="F810" s="2" t="inlineStr">
        <is>
          <t>US</t>
        </is>
      </c>
      <c r="G810" s="2" t="inlineStr">
        <is>
          <t>Retail</t>
        </is>
      </c>
    </row>
    <row r="811">
      <c r="A811" s="4" t="inlineStr">
        <is>
          <t>TXN_000715</t>
        </is>
      </c>
      <c r="B811" s="4" t="inlineStr">
        <is>
          <t>C_00229</t>
        </is>
      </c>
      <c r="C811" s="4" t="inlineStr">
        <is>
          <t>2026-02-22</t>
        </is>
      </c>
      <c r="D811" s="5" t="n">
        <v>3094.12</v>
      </c>
      <c r="E811" s="4" t="inlineStr">
        <is>
          <t>Card</t>
        </is>
      </c>
      <c r="F811" s="4" t="inlineStr">
        <is>
          <t>MX</t>
        </is>
      </c>
      <c r="G811" s="4" t="inlineStr">
        <is>
          <t>Auto</t>
        </is>
      </c>
    </row>
    <row r="812">
      <c r="A812" s="2" t="inlineStr">
        <is>
          <t>TXN_000714</t>
        </is>
      </c>
      <c r="B812" s="2" t="inlineStr">
        <is>
          <t>C_00132</t>
        </is>
      </c>
      <c r="C812" s="2" t="inlineStr">
        <is>
          <t>2026-02-22</t>
        </is>
      </c>
      <c r="D812" s="3" t="n">
        <v>433.3</v>
      </c>
      <c r="E812" s="2" t="inlineStr">
        <is>
          <t>Mobile App</t>
        </is>
      </c>
      <c r="F812" s="2" t="inlineStr">
        <is>
          <t>US</t>
        </is>
      </c>
      <c r="G812" s="2" t="inlineStr">
        <is>
          <t>Real Estate</t>
        </is>
      </c>
    </row>
    <row r="813">
      <c r="A813" s="4" t="inlineStr">
        <is>
          <t>TXN_000713</t>
        </is>
      </c>
      <c r="B813" s="4" t="inlineStr">
        <is>
          <t>C_00033</t>
        </is>
      </c>
      <c r="C813" s="4" t="inlineStr">
        <is>
          <t>2026-02-22</t>
        </is>
      </c>
      <c r="D813" s="5" t="n">
        <v>3690.91</v>
      </c>
      <c r="E813" s="4" t="inlineStr">
        <is>
          <t>Card</t>
        </is>
      </c>
      <c r="F813" s="4" t="inlineStr">
        <is>
          <t>CN</t>
        </is>
      </c>
      <c r="G813" s="4" t="inlineStr">
        <is>
          <t>Jewelry</t>
        </is>
      </c>
    </row>
    <row r="814">
      <c r="A814" s="2" t="inlineStr">
        <is>
          <t>TXN_000712</t>
        </is>
      </c>
      <c r="B814" s="2" t="inlineStr">
        <is>
          <t>C_00060</t>
        </is>
      </c>
      <c r="C814" s="2" t="inlineStr">
        <is>
          <t>2026-02-22</t>
        </is>
      </c>
      <c r="D814" s="3" t="n">
        <v>1719.59</v>
      </c>
      <c r="E814" s="2" t="inlineStr">
        <is>
          <t>Mobile App</t>
        </is>
      </c>
      <c r="F814" s="2" t="inlineStr">
        <is>
          <t>RU</t>
        </is>
      </c>
      <c r="G814" s="2" t="inlineStr">
        <is>
          <t>Money Services</t>
        </is>
      </c>
    </row>
    <row r="815">
      <c r="A815" s="4" t="inlineStr">
        <is>
          <t>TXN_000711</t>
        </is>
      </c>
      <c r="B815" s="4" t="inlineStr">
        <is>
          <t>C_00086</t>
        </is>
      </c>
      <c r="C815" s="4" t="inlineStr">
        <is>
          <t>2026-02-22</t>
        </is>
      </c>
      <c r="D815" s="5" t="n">
        <v>574.5700000000001</v>
      </c>
      <c r="E815" s="4" t="inlineStr">
        <is>
          <t>ACH</t>
        </is>
      </c>
      <c r="F815" s="4" t="inlineStr">
        <is>
          <t>US</t>
        </is>
      </c>
      <c r="G815" s="4" t="inlineStr">
        <is>
          <t>Real Estate</t>
        </is>
      </c>
    </row>
    <row r="816">
      <c r="A816" s="2" t="inlineStr">
        <is>
          <t>TXN_000710</t>
        </is>
      </c>
      <c r="B816" s="2" t="inlineStr">
        <is>
          <t>C_00179</t>
        </is>
      </c>
      <c r="C816" s="2" t="inlineStr">
        <is>
          <t>2026-02-22</t>
        </is>
      </c>
      <c r="D816" s="3" t="n">
        <v>2486.51</v>
      </c>
      <c r="E816" s="2" t="inlineStr">
        <is>
          <t>Mobile App</t>
        </is>
      </c>
      <c r="F816" s="2" t="inlineStr">
        <is>
          <t>US</t>
        </is>
      </c>
      <c r="G816" s="2" t="inlineStr">
        <is>
          <t>Money Services</t>
        </is>
      </c>
    </row>
    <row r="817">
      <c r="A817" s="4" t="inlineStr">
        <is>
          <t>TXN_000708</t>
        </is>
      </c>
      <c r="B817" s="4" t="inlineStr">
        <is>
          <t>C_00167</t>
        </is>
      </c>
      <c r="C817" s="4" t="inlineStr">
        <is>
          <t>2026-02-22</t>
        </is>
      </c>
      <c r="D817" s="5" t="n">
        <v>1848.4</v>
      </c>
      <c r="E817" s="4" t="inlineStr">
        <is>
          <t>Card</t>
        </is>
      </c>
      <c r="F817" s="4" t="inlineStr">
        <is>
          <t>US</t>
        </is>
      </c>
      <c r="G817" s="4" t="inlineStr">
        <is>
          <t>Healthcare</t>
        </is>
      </c>
    </row>
    <row r="818">
      <c r="A818" s="2" t="inlineStr">
        <is>
          <t>TXN_000707</t>
        </is>
      </c>
      <c r="B818" s="2" t="inlineStr">
        <is>
          <t>C_00283</t>
        </is>
      </c>
      <c r="C818" s="2" t="inlineStr">
        <is>
          <t>2026-02-22</t>
        </is>
      </c>
      <c r="D818" s="3" t="n">
        <v>3762.69</v>
      </c>
      <c r="E818" s="2" t="inlineStr">
        <is>
          <t>Cash Deposit</t>
        </is>
      </c>
      <c r="F818" s="2" t="inlineStr">
        <is>
          <t>CA</t>
        </is>
      </c>
      <c r="G818" s="2" t="inlineStr">
        <is>
          <t>Crypto Exchange</t>
        </is>
      </c>
    </row>
    <row r="819">
      <c r="A819" s="4" t="inlineStr">
        <is>
          <t>TXN_000706</t>
        </is>
      </c>
      <c r="B819" s="4" t="inlineStr">
        <is>
          <t>C_00099</t>
        </is>
      </c>
      <c r="C819" s="4" t="inlineStr">
        <is>
          <t>2026-02-22</t>
        </is>
      </c>
      <c r="D819" s="5" t="n">
        <v>1256.59</v>
      </c>
      <c r="E819" s="4" t="inlineStr">
        <is>
          <t>ACH</t>
        </is>
      </c>
      <c r="F819" s="4" t="inlineStr">
        <is>
          <t>US</t>
        </is>
      </c>
      <c r="G819" s="4" t="inlineStr">
        <is>
          <t>Travel</t>
        </is>
      </c>
    </row>
    <row r="820">
      <c r="A820" s="2" t="inlineStr">
        <is>
          <t>TXN_000705</t>
        </is>
      </c>
      <c r="B820" s="2" t="inlineStr">
        <is>
          <t>C_00066</t>
        </is>
      </c>
      <c r="C820" s="2" t="inlineStr">
        <is>
          <t>2026-02-22</t>
        </is>
      </c>
      <c r="D820" s="3" t="n">
        <v>185.83</v>
      </c>
      <c r="E820" s="2" t="inlineStr">
        <is>
          <t>Wire Transfer</t>
        </is>
      </c>
      <c r="F820" s="2" t="inlineStr">
        <is>
          <t>MX</t>
        </is>
      </c>
      <c r="G820" s="2" t="inlineStr">
        <is>
          <t>Auto</t>
        </is>
      </c>
    </row>
    <row r="821">
      <c r="A821" s="4" t="inlineStr">
        <is>
          <t>TXN_000704</t>
        </is>
      </c>
      <c r="B821" s="4" t="inlineStr">
        <is>
          <t>C_00059</t>
        </is>
      </c>
      <c r="C821" s="4" t="inlineStr">
        <is>
          <t>2026-02-22</t>
        </is>
      </c>
      <c r="D821" s="5" t="n">
        <v>344.68</v>
      </c>
      <c r="E821" s="4" t="inlineStr">
        <is>
          <t>ACH</t>
        </is>
      </c>
      <c r="F821" s="4" t="inlineStr">
        <is>
          <t>MX</t>
        </is>
      </c>
      <c r="G821" s="4" t="inlineStr">
        <is>
          <t>Jewelry</t>
        </is>
      </c>
    </row>
    <row r="822">
      <c r="A822" s="2" t="inlineStr">
        <is>
          <t>TXN_000709</t>
        </is>
      </c>
      <c r="B822" s="2" t="inlineStr">
        <is>
          <t>C_00103</t>
        </is>
      </c>
      <c r="C822" s="2" t="inlineStr">
        <is>
          <t>2026-02-22</t>
        </is>
      </c>
      <c r="D822" s="3" t="n">
        <v>8708.440000000001</v>
      </c>
      <c r="E822" s="2" t="inlineStr">
        <is>
          <t>Mobile App</t>
        </is>
      </c>
      <c r="F822" s="2" t="inlineStr">
        <is>
          <t>AE</t>
        </is>
      </c>
      <c r="G822" s="2" t="inlineStr">
        <is>
          <t>Auto</t>
        </is>
      </c>
    </row>
    <row r="823">
      <c r="A823" s="4" t="inlineStr">
        <is>
          <t>TXN_000726</t>
        </is>
      </c>
      <c r="B823" s="4" t="inlineStr">
        <is>
          <t>C_00153</t>
        </is>
      </c>
      <c r="C823" s="4" t="inlineStr">
        <is>
          <t>2026-02-23</t>
        </is>
      </c>
      <c r="D823" s="5" t="n">
        <v>436.32</v>
      </c>
      <c r="E823" s="4" t="inlineStr">
        <is>
          <t>Cash Deposit</t>
        </is>
      </c>
      <c r="F823" s="4" t="inlineStr">
        <is>
          <t>NG</t>
        </is>
      </c>
      <c r="G823" s="4" t="inlineStr">
        <is>
          <t>Auto</t>
        </is>
      </c>
    </row>
    <row r="824">
      <c r="A824" s="2" t="inlineStr">
        <is>
          <t>TXN_000730</t>
        </is>
      </c>
      <c r="B824" s="2" t="inlineStr">
        <is>
          <t>C_00234</t>
        </is>
      </c>
      <c r="C824" s="2" t="inlineStr">
        <is>
          <t>2026-02-23</t>
        </is>
      </c>
      <c r="D824" s="3" t="n">
        <v>433.37</v>
      </c>
      <c r="E824" s="2" t="inlineStr">
        <is>
          <t>ACH</t>
        </is>
      </c>
      <c r="F824" s="2" t="inlineStr">
        <is>
          <t>US</t>
        </is>
      </c>
      <c r="G824" s="2" t="inlineStr">
        <is>
          <t>Real Estate</t>
        </is>
      </c>
    </row>
    <row r="825">
      <c r="A825" s="4" t="inlineStr">
        <is>
          <t>TXN_000729</t>
        </is>
      </c>
      <c r="B825" s="4" t="inlineStr">
        <is>
          <t>C_00098</t>
        </is>
      </c>
      <c r="C825" s="4" t="inlineStr">
        <is>
          <t>2026-02-23</t>
        </is>
      </c>
      <c r="D825" s="5" t="n">
        <v>1474.61</v>
      </c>
      <c r="E825" s="4" t="inlineStr">
        <is>
          <t>ACH</t>
        </is>
      </c>
      <c r="F825" s="4" t="inlineStr">
        <is>
          <t>US</t>
        </is>
      </c>
      <c r="G825" s="4" t="inlineStr">
        <is>
          <t>Travel</t>
        </is>
      </c>
    </row>
    <row r="826">
      <c r="A826" s="2" t="inlineStr">
        <is>
          <t>TXN_000728</t>
        </is>
      </c>
      <c r="B826" s="2" t="inlineStr">
        <is>
          <t>C_00052</t>
        </is>
      </c>
      <c r="C826" s="2" t="inlineStr">
        <is>
          <t>2026-02-23</t>
        </is>
      </c>
      <c r="D826" s="3" t="n">
        <v>670.74</v>
      </c>
      <c r="E826" s="2" t="inlineStr">
        <is>
          <t>Mobile App</t>
        </is>
      </c>
      <c r="F826" s="2" t="inlineStr">
        <is>
          <t>MX</t>
        </is>
      </c>
      <c r="G826" s="2" t="inlineStr">
        <is>
          <t>Retail</t>
        </is>
      </c>
    </row>
    <row r="827">
      <c r="A827" s="4" t="inlineStr">
        <is>
          <t>TXN_000727</t>
        </is>
      </c>
      <c r="B827" s="4" t="inlineStr">
        <is>
          <t>C_00094</t>
        </is>
      </c>
      <c r="C827" s="4" t="inlineStr">
        <is>
          <t>2026-02-23</t>
        </is>
      </c>
      <c r="D827" s="5" t="n">
        <v>1335.06</v>
      </c>
      <c r="E827" s="4" t="inlineStr">
        <is>
          <t>Mobile App</t>
        </is>
      </c>
      <c r="F827" s="4" t="inlineStr">
        <is>
          <t>CN</t>
        </is>
      </c>
      <c r="G827" s="4" t="inlineStr">
        <is>
          <t>Travel</t>
        </is>
      </c>
    </row>
    <row r="828">
      <c r="A828" s="2" t="inlineStr">
        <is>
          <t>TXN_000725</t>
        </is>
      </c>
      <c r="B828" s="2" t="inlineStr">
        <is>
          <t>C_00077</t>
        </is>
      </c>
      <c r="C828" s="2" t="inlineStr">
        <is>
          <t>2026-02-23</t>
        </is>
      </c>
      <c r="D828" s="3" t="n">
        <v>6366.11</v>
      </c>
      <c r="E828" s="2" t="inlineStr">
        <is>
          <t>Wire Transfer</t>
        </is>
      </c>
      <c r="F828" s="2" t="inlineStr">
        <is>
          <t>CA</t>
        </is>
      </c>
      <c r="G828" s="2" t="inlineStr">
        <is>
          <t>Electronics</t>
        </is>
      </c>
    </row>
    <row r="829">
      <c r="A829" s="4" t="inlineStr">
        <is>
          <t>TXN_000722</t>
        </is>
      </c>
      <c r="B829" s="4" t="inlineStr">
        <is>
          <t>C_00256</t>
        </is>
      </c>
      <c r="C829" s="4" t="inlineStr">
        <is>
          <t>2026-02-23</t>
        </is>
      </c>
      <c r="D829" s="5" t="n">
        <v>363.99</v>
      </c>
      <c r="E829" s="4" t="inlineStr">
        <is>
          <t>ACH</t>
        </is>
      </c>
      <c r="F829" s="4" t="inlineStr">
        <is>
          <t>CA</t>
        </is>
      </c>
      <c r="G829" s="4" t="inlineStr">
        <is>
          <t>Crypto Exchange</t>
        </is>
      </c>
    </row>
    <row r="830">
      <c r="A830" s="2" t="inlineStr">
        <is>
          <t>TXN_000723</t>
        </is>
      </c>
      <c r="B830" s="2" t="inlineStr">
        <is>
          <t>C_00224</t>
        </is>
      </c>
      <c r="C830" s="2" t="inlineStr">
        <is>
          <t>2026-02-23</t>
        </is>
      </c>
      <c r="D830" s="3" t="n">
        <v>680.61</v>
      </c>
      <c r="E830" s="2" t="inlineStr">
        <is>
          <t>Cash Deposit</t>
        </is>
      </c>
      <c r="F830" s="2" t="inlineStr">
        <is>
          <t>MX</t>
        </is>
      </c>
      <c r="G830" s="2" t="inlineStr">
        <is>
          <t>Crypto Exchange</t>
        </is>
      </c>
    </row>
    <row r="831">
      <c r="A831" s="4" t="inlineStr">
        <is>
          <t>TXN_000718</t>
        </is>
      </c>
      <c r="B831" s="4" t="inlineStr">
        <is>
          <t>C_00022</t>
        </is>
      </c>
      <c r="C831" s="4" t="inlineStr">
        <is>
          <t>2026-02-23</t>
        </is>
      </c>
      <c r="D831" s="5" t="n">
        <v>3976.6</v>
      </c>
      <c r="E831" s="4" t="inlineStr">
        <is>
          <t>Cash Deposit</t>
        </is>
      </c>
      <c r="F831" s="4" t="inlineStr">
        <is>
          <t>MX</t>
        </is>
      </c>
      <c r="G831" s="4" t="inlineStr">
        <is>
          <t>Healthcare</t>
        </is>
      </c>
    </row>
    <row r="832">
      <c r="A832" s="2" t="inlineStr">
        <is>
          <t>TXN_000719</t>
        </is>
      </c>
      <c r="B832" s="2" t="inlineStr">
        <is>
          <t>C_ORPHAN_011</t>
        </is>
      </c>
      <c r="C832" s="2" t="inlineStr">
        <is>
          <t>2026-02-23</t>
        </is>
      </c>
      <c r="D832" s="3" t="n">
        <v>269.69</v>
      </c>
      <c r="E832" s="2" t="inlineStr">
        <is>
          <t>Wire Transfer</t>
        </is>
      </c>
      <c r="F832" s="2" t="inlineStr">
        <is>
          <t>CN</t>
        </is>
      </c>
      <c r="G832" s="2" t="inlineStr">
        <is>
          <t>Food &amp; Beverage</t>
        </is>
      </c>
    </row>
    <row r="833">
      <c r="A833" s="4" t="inlineStr">
        <is>
          <t>TXN_000724</t>
        </is>
      </c>
      <c r="B833" s="4" t="inlineStr">
        <is>
          <t>C_00238</t>
        </is>
      </c>
      <c r="C833" s="4" t="inlineStr">
        <is>
          <t>2026-02-23</t>
        </is>
      </c>
      <c r="D833" s="5" t="n">
        <v>2937.91</v>
      </c>
      <c r="E833" s="4" t="inlineStr">
        <is>
          <t>Mobile App</t>
        </is>
      </c>
      <c r="F833" s="4" t="inlineStr">
        <is>
          <t>US</t>
        </is>
      </c>
      <c r="G833" s="4" t="inlineStr">
        <is>
          <t>Crypto Exchange</t>
        </is>
      </c>
    </row>
    <row r="834">
      <c r="A834" s="2" t="inlineStr">
        <is>
          <t>TXN_000721</t>
        </is>
      </c>
      <c r="B834" s="2" t="inlineStr">
        <is>
          <t>C_00277</t>
        </is>
      </c>
      <c r="C834" s="2" t="inlineStr">
        <is>
          <t>2026-02-23</t>
        </is>
      </c>
      <c r="D834" s="3" t="n">
        <v>1445.04</v>
      </c>
      <c r="E834" s="2" t="inlineStr">
        <is>
          <t>Card</t>
        </is>
      </c>
      <c r="F834" s="2" t="inlineStr">
        <is>
          <t>MX</t>
        </is>
      </c>
      <c r="G834" s="2" t="inlineStr">
        <is>
          <t>Real Estate</t>
        </is>
      </c>
    </row>
    <row r="835">
      <c r="A835" s="4" t="inlineStr">
        <is>
          <t>TXN_000720</t>
        </is>
      </c>
      <c r="B835" s="4" t="inlineStr">
        <is>
          <t>C_00120</t>
        </is>
      </c>
      <c r="C835" s="4" t="inlineStr">
        <is>
          <t>2026-02-23</t>
        </is>
      </c>
      <c r="D835" s="5" t="n">
        <v>369.33</v>
      </c>
      <c r="E835" s="4" t="inlineStr">
        <is>
          <t>Card</t>
        </is>
      </c>
      <c r="F835" s="4" t="inlineStr">
        <is>
          <t>CA</t>
        </is>
      </c>
      <c r="G835" s="4" t="inlineStr">
        <is>
          <t>Crypto Exchange</t>
        </is>
      </c>
    </row>
    <row r="836">
      <c r="A836" s="2" t="inlineStr">
        <is>
          <t>TXN_000740</t>
        </is>
      </c>
      <c r="B836" s="2" t="inlineStr">
        <is>
          <t>C_00241</t>
        </is>
      </c>
      <c r="C836" s="2" t="inlineStr">
        <is>
          <t>2026-02-24</t>
        </is>
      </c>
      <c r="D836" s="3" t="n">
        <v>1725.56</v>
      </c>
      <c r="E836" s="2" t="inlineStr">
        <is>
          <t>Cash Deposit</t>
        </is>
      </c>
      <c r="F836" s="2" t="inlineStr">
        <is>
          <t>US</t>
        </is>
      </c>
      <c r="G836" s="2" t="inlineStr">
        <is>
          <t>Jewelry</t>
        </is>
      </c>
    </row>
    <row r="837">
      <c r="A837" s="4" t="inlineStr">
        <is>
          <t>TXN_000739</t>
        </is>
      </c>
      <c r="B837" s="4" t="inlineStr">
        <is>
          <t>C_00119</t>
        </is>
      </c>
      <c r="C837" s="4" t="inlineStr">
        <is>
          <t>2026-02-24</t>
        </is>
      </c>
      <c r="D837" s="5" t="n">
        <v>4756.75</v>
      </c>
      <c r="E837" s="4" t="inlineStr">
        <is>
          <t>ACH</t>
        </is>
      </c>
      <c r="F837" s="4" t="inlineStr">
        <is>
          <t>US</t>
        </is>
      </c>
      <c r="G837" s="4" t="inlineStr">
        <is>
          <t>Crypto Exchange</t>
        </is>
      </c>
    </row>
    <row r="838">
      <c r="A838" s="2" t="inlineStr">
        <is>
          <t>TXN_000738</t>
        </is>
      </c>
      <c r="B838" s="2" t="inlineStr">
        <is>
          <t>C_00234</t>
        </is>
      </c>
      <c r="C838" s="2" t="inlineStr">
        <is>
          <t>2026-02-24</t>
        </is>
      </c>
      <c r="D838" s="3" t="n">
        <v>32904.56</v>
      </c>
      <c r="E838" s="2" t="inlineStr">
        <is>
          <t>Wire Transfer</t>
        </is>
      </c>
      <c r="F838" s="2" t="inlineStr">
        <is>
          <t>US</t>
        </is>
      </c>
      <c r="G838" s="2" t="inlineStr">
        <is>
          <t>Healthcare</t>
        </is>
      </c>
    </row>
    <row r="839">
      <c r="A839" s="4" t="inlineStr">
        <is>
          <t>TXN_000736</t>
        </is>
      </c>
      <c r="B839" s="4" t="inlineStr">
        <is>
          <t>C_00280</t>
        </is>
      </c>
      <c r="C839" s="4" t="inlineStr">
        <is>
          <t>2026-02-24</t>
        </is>
      </c>
      <c r="D839" s="5" t="n">
        <v>3095.7</v>
      </c>
      <c r="E839" s="4" t="inlineStr">
        <is>
          <t>Cash Deposit</t>
        </is>
      </c>
      <c r="F839" s="4" t="inlineStr">
        <is>
          <t>US</t>
        </is>
      </c>
      <c r="G839" s="4" t="inlineStr">
        <is>
          <t>Retail</t>
        </is>
      </c>
    </row>
    <row r="840">
      <c r="A840" s="2" t="inlineStr">
        <is>
          <t>TXN_000737</t>
        </is>
      </c>
      <c r="B840" s="2" t="inlineStr">
        <is>
          <t>C_00021</t>
        </is>
      </c>
      <c r="C840" s="2" t="inlineStr">
        <is>
          <t>2026-02-24</t>
        </is>
      </c>
      <c r="D840" s="3" t="n">
        <v>911.09</v>
      </c>
      <c r="E840" s="2" t="inlineStr">
        <is>
          <t>Wire Transfer</t>
        </is>
      </c>
      <c r="F840" s="2" t="inlineStr">
        <is>
          <t>RU</t>
        </is>
      </c>
      <c r="G840" s="2" t="inlineStr">
        <is>
          <t>Jewelry</t>
        </is>
      </c>
    </row>
    <row r="841">
      <c r="A841" s="4" t="inlineStr">
        <is>
          <t>TXN_000734</t>
        </is>
      </c>
      <c r="B841" s="4" t="inlineStr">
        <is>
          <t>C_00051</t>
        </is>
      </c>
      <c r="C841" s="4" t="inlineStr">
        <is>
          <t>2026-02-24</t>
        </is>
      </c>
      <c r="D841" s="5" t="n">
        <v>20718.96</v>
      </c>
      <c r="E841" s="4" t="inlineStr">
        <is>
          <t>Cash Deposit</t>
        </is>
      </c>
      <c r="F841" s="4" t="inlineStr">
        <is>
          <t>US</t>
        </is>
      </c>
      <c r="G841" s="4" t="inlineStr">
        <is>
          <t>Crypto Exchange</t>
        </is>
      </c>
    </row>
    <row r="842">
      <c r="A842" s="2" t="inlineStr">
        <is>
          <t>TXN_000733</t>
        </is>
      </c>
      <c r="B842" s="2" t="inlineStr">
        <is>
          <t>C_00091</t>
        </is>
      </c>
      <c r="C842" s="2" t="inlineStr">
        <is>
          <t>2026-02-24</t>
        </is>
      </c>
      <c r="D842" s="3" t="n">
        <v>21278.54</v>
      </c>
      <c r="E842" s="2" t="inlineStr">
        <is>
          <t>Cash Deposit</t>
        </is>
      </c>
      <c r="F842" s="2" t="inlineStr">
        <is>
          <t>US</t>
        </is>
      </c>
      <c r="G842" s="2" t="inlineStr">
        <is>
          <t>Food &amp; Beverage</t>
        </is>
      </c>
    </row>
    <row r="843">
      <c r="A843" s="4" t="inlineStr">
        <is>
          <t>TXN_000732</t>
        </is>
      </c>
      <c r="B843" s="4" t="inlineStr">
        <is>
          <t>C_00276</t>
        </is>
      </c>
      <c r="C843" s="4" t="inlineStr">
        <is>
          <t>2026-02-24</t>
        </is>
      </c>
      <c r="D843" s="5" t="n">
        <v>2260.32</v>
      </c>
      <c r="E843" s="4" t="inlineStr">
        <is>
          <t>Mobile App</t>
        </is>
      </c>
      <c r="F843" s="4" t="inlineStr">
        <is>
          <t>US</t>
        </is>
      </c>
      <c r="G843" s="4" t="inlineStr">
        <is>
          <t>Crypto Exchange</t>
        </is>
      </c>
    </row>
    <row r="844">
      <c r="A844" s="2" t="inlineStr">
        <is>
          <t>TXN_000731</t>
        </is>
      </c>
      <c r="B844" s="2" t="inlineStr">
        <is>
          <t>C_00161</t>
        </is>
      </c>
      <c r="C844" s="2" t="inlineStr">
        <is>
          <t>2026-02-24</t>
        </is>
      </c>
      <c r="D844" s="3" t="n">
        <v>1657.57</v>
      </c>
      <c r="E844" s="2" t="inlineStr">
        <is>
          <t>Wire Transfer</t>
        </is>
      </c>
      <c r="F844" s="2" t="inlineStr">
        <is>
          <t>NG</t>
        </is>
      </c>
      <c r="G844" s="2" t="inlineStr">
        <is>
          <t>Retail</t>
        </is>
      </c>
    </row>
    <row r="845">
      <c r="A845" s="4" t="inlineStr">
        <is>
          <t>TXN_000735</t>
        </is>
      </c>
      <c r="B845" s="4" t="inlineStr">
        <is>
          <t>C_00031</t>
        </is>
      </c>
      <c r="C845" s="4" t="inlineStr">
        <is>
          <t>2026-02-24</t>
        </is>
      </c>
      <c r="D845" s="5" t="n">
        <v>937.85</v>
      </c>
      <c r="E845" s="4" t="inlineStr">
        <is>
          <t>ACH</t>
        </is>
      </c>
      <c r="F845" s="4" t="inlineStr">
        <is>
          <t>AE</t>
        </is>
      </c>
      <c r="G845" s="4" t="inlineStr">
        <is>
          <t>Auto</t>
        </is>
      </c>
    </row>
    <row r="846">
      <c r="A846" s="2" t="inlineStr">
        <is>
          <t>TXN_000752</t>
        </is>
      </c>
      <c r="B846" s="2" t="inlineStr">
        <is>
          <t>C_00246</t>
        </is>
      </c>
      <c r="C846" s="2" t="inlineStr">
        <is>
          <t>2026-02-25</t>
        </is>
      </c>
      <c r="D846" s="3" t="n">
        <v>18007.1</v>
      </c>
      <c r="E846" s="2" t="inlineStr">
        <is>
          <t>Cash Deposit</t>
        </is>
      </c>
      <c r="F846" s="2" t="inlineStr">
        <is>
          <t>US</t>
        </is>
      </c>
      <c r="G846" s="2" t="inlineStr">
        <is>
          <t>Money Services</t>
        </is>
      </c>
    </row>
    <row r="847">
      <c r="A847" s="4" t="inlineStr">
        <is>
          <t>TXN_000751</t>
        </is>
      </c>
      <c r="B847" s="4" t="inlineStr">
        <is>
          <t>C_00243</t>
        </is>
      </c>
      <c r="C847" s="4" t="inlineStr">
        <is>
          <t>2026-02-25</t>
        </is>
      </c>
      <c r="D847" s="5" t="n">
        <v>4285.15</v>
      </c>
      <c r="E847" s="4" t="inlineStr">
        <is>
          <t>Cash Deposit</t>
        </is>
      </c>
      <c r="F847" s="4" t="inlineStr">
        <is>
          <t>MX</t>
        </is>
      </c>
      <c r="G847" s="4" t="inlineStr">
        <is>
          <t>Food &amp; Beverage</t>
        </is>
      </c>
    </row>
    <row r="848">
      <c r="A848" s="2" t="inlineStr">
        <is>
          <t>TXN_000750</t>
        </is>
      </c>
      <c r="B848" s="2" t="inlineStr">
        <is>
          <t>C_00225</t>
        </is>
      </c>
      <c r="C848" s="2" t="inlineStr">
        <is>
          <t>2026-02-25</t>
        </is>
      </c>
      <c r="D848" s="3" t="n">
        <v>1923.65</v>
      </c>
      <c r="E848" s="2" t="inlineStr">
        <is>
          <t>Mobile App</t>
        </is>
      </c>
      <c r="F848" s="2" t="inlineStr">
        <is>
          <t>CA</t>
        </is>
      </c>
      <c r="G848" s="2" t="inlineStr">
        <is>
          <t>Money Services</t>
        </is>
      </c>
    </row>
    <row r="849">
      <c r="A849" s="4" t="inlineStr">
        <is>
          <t>TXN_000749</t>
        </is>
      </c>
      <c r="B849" s="4" t="inlineStr">
        <is>
          <t>C_00080</t>
        </is>
      </c>
      <c r="C849" s="4" t="inlineStr">
        <is>
          <t>2026-02-25</t>
        </is>
      </c>
      <c r="D849" s="5" t="n">
        <v>307.12</v>
      </c>
      <c r="E849" s="4" t="inlineStr">
        <is>
          <t>Mobile App</t>
        </is>
      </c>
      <c r="F849" s="4" t="inlineStr">
        <is>
          <t>CN</t>
        </is>
      </c>
      <c r="G849" s="4" t="inlineStr">
        <is>
          <t>Electronics</t>
        </is>
      </c>
    </row>
    <row r="850">
      <c r="A850" s="2" t="inlineStr">
        <is>
          <t>TXN_000748</t>
        </is>
      </c>
      <c r="B850" s="2" t="inlineStr">
        <is>
          <t>C_00191</t>
        </is>
      </c>
      <c r="C850" s="2" t="inlineStr">
        <is>
          <t>2026-02-25</t>
        </is>
      </c>
      <c r="D850" s="3" t="n">
        <v>13329.45</v>
      </c>
      <c r="E850" s="2" t="inlineStr">
        <is>
          <t>ACH</t>
        </is>
      </c>
      <c r="F850" s="2" t="inlineStr">
        <is>
          <t>US</t>
        </is>
      </c>
      <c r="G850" s="2" t="inlineStr">
        <is>
          <t>Money Services</t>
        </is>
      </c>
    </row>
    <row r="851">
      <c r="A851" s="4" t="inlineStr">
        <is>
          <t>TXN_000747</t>
        </is>
      </c>
      <c r="B851" s="4" t="inlineStr">
        <is>
          <t>C_00062</t>
        </is>
      </c>
      <c r="C851" s="4" t="inlineStr">
        <is>
          <t>2026-02-25</t>
        </is>
      </c>
      <c r="D851" s="5" t="n">
        <v>8988.09</v>
      </c>
      <c r="E851" s="4" t="inlineStr">
        <is>
          <t>Cash Deposit</t>
        </is>
      </c>
      <c r="F851" s="4" t="inlineStr">
        <is>
          <t>AE</t>
        </is>
      </c>
      <c r="G851" s="4" t="inlineStr">
        <is>
          <t>Money Services</t>
        </is>
      </c>
    </row>
    <row r="852">
      <c r="A852" s="2" t="inlineStr">
        <is>
          <t>TXN_000746</t>
        </is>
      </c>
      <c r="B852" s="2" t="inlineStr">
        <is>
          <t>C_00185</t>
        </is>
      </c>
      <c r="C852" s="2" t="inlineStr">
        <is>
          <t>2026-02-25</t>
        </is>
      </c>
      <c r="D852" s="3" t="n">
        <v>1551.99</v>
      </c>
      <c r="E852" s="2" t="inlineStr">
        <is>
          <t>Cash Deposit</t>
        </is>
      </c>
      <c r="F852" s="2" t="inlineStr">
        <is>
          <t>NG</t>
        </is>
      </c>
      <c r="G852" s="2" t="inlineStr">
        <is>
          <t>Electronics</t>
        </is>
      </c>
    </row>
    <row r="853">
      <c r="A853" s="4" t="inlineStr">
        <is>
          <t>TXN_000744</t>
        </is>
      </c>
      <c r="B853" s="4" t="inlineStr">
        <is>
          <t>C_00072</t>
        </is>
      </c>
      <c r="C853" s="4" t="inlineStr">
        <is>
          <t>2026-02-25</t>
        </is>
      </c>
      <c r="D853" s="5" t="n">
        <v>20466.21</v>
      </c>
      <c r="E853" s="4" t="inlineStr">
        <is>
          <t>Card</t>
        </is>
      </c>
      <c r="F853" s="4" t="inlineStr">
        <is>
          <t>NG</t>
        </is>
      </c>
      <c r="G853" s="4" t="inlineStr">
        <is>
          <t>Money Services</t>
        </is>
      </c>
    </row>
    <row r="854">
      <c r="A854" s="2" t="inlineStr">
        <is>
          <t>TXN_000743</t>
        </is>
      </c>
      <c r="B854" s="2" t="inlineStr">
        <is>
          <t>C_00088</t>
        </is>
      </c>
      <c r="C854" s="2" t="inlineStr">
        <is>
          <t>2026-02-25</t>
        </is>
      </c>
      <c r="D854" s="3" t="n">
        <v>851.42</v>
      </c>
      <c r="E854" s="2" t="inlineStr">
        <is>
          <t>Card</t>
        </is>
      </c>
      <c r="F854" s="2" t="inlineStr">
        <is>
          <t>US</t>
        </is>
      </c>
      <c r="G854" s="2" t="inlineStr">
        <is>
          <t>Money Services</t>
        </is>
      </c>
    </row>
    <row r="855">
      <c r="A855" s="4" t="inlineStr">
        <is>
          <t>TXN_000742</t>
        </is>
      </c>
      <c r="B855" s="4" t="inlineStr">
        <is>
          <t>C_00297</t>
        </is>
      </c>
      <c r="C855" s="4" t="inlineStr">
        <is>
          <t>2026-02-25</t>
        </is>
      </c>
      <c r="D855" s="5" t="n">
        <v>779.29</v>
      </c>
      <c r="E855" s="4" t="inlineStr">
        <is>
          <t>Card</t>
        </is>
      </c>
      <c r="F855" s="4" t="inlineStr">
        <is>
          <t>US</t>
        </is>
      </c>
      <c r="G855" s="4" t="inlineStr">
        <is>
          <t>Food &amp; Beverage</t>
        </is>
      </c>
    </row>
    <row r="856">
      <c r="A856" s="2" t="inlineStr">
        <is>
          <t>TXN_000741</t>
        </is>
      </c>
      <c r="B856" s="2" t="inlineStr">
        <is>
          <t>C_ORPHAN_001</t>
        </is>
      </c>
      <c r="C856" s="2" t="inlineStr">
        <is>
          <t>2026-02-25</t>
        </is>
      </c>
      <c r="D856" s="3" t="n">
        <v>2120.39</v>
      </c>
      <c r="E856" s="2" t="inlineStr">
        <is>
          <t>Cash Deposit</t>
        </is>
      </c>
      <c r="F856" s="2" t="inlineStr">
        <is>
          <t>US</t>
        </is>
      </c>
      <c r="G856" s="2" t="inlineStr">
        <is>
          <t>Travel</t>
        </is>
      </c>
    </row>
    <row r="857">
      <c r="A857" s="4" t="inlineStr">
        <is>
          <t>TXN_000745</t>
        </is>
      </c>
      <c r="B857" s="4" t="inlineStr">
        <is>
          <t>C_00272</t>
        </is>
      </c>
      <c r="C857" s="4" t="inlineStr">
        <is>
          <t>2026-02-25</t>
        </is>
      </c>
      <c r="D857" s="5" t="n">
        <v>3854.36</v>
      </c>
      <c r="E857" s="4" t="inlineStr">
        <is>
          <t>Mobile App</t>
        </is>
      </c>
      <c r="F857" s="4" t="inlineStr">
        <is>
          <t>MX</t>
        </is>
      </c>
      <c r="G857" s="4" t="inlineStr">
        <is>
          <t>Auto</t>
        </is>
      </c>
    </row>
    <row r="858">
      <c r="A858" s="2" t="inlineStr">
        <is>
          <t>TXN_000763</t>
        </is>
      </c>
      <c r="B858" s="2" t="inlineStr">
        <is>
          <t>C_00194</t>
        </is>
      </c>
      <c r="C858" s="2" t="inlineStr">
        <is>
          <t>2026-02-26</t>
        </is>
      </c>
      <c r="D858" s="3" t="n">
        <v>708.09</v>
      </c>
      <c r="E858" s="2" t="inlineStr">
        <is>
          <t>Card</t>
        </is>
      </c>
      <c r="F858" s="2" t="inlineStr">
        <is>
          <t>RU</t>
        </is>
      </c>
      <c r="G858" s="2" t="inlineStr">
        <is>
          <t>Real Estate</t>
        </is>
      </c>
    </row>
    <row r="859">
      <c r="A859" s="4" t="inlineStr">
        <is>
          <t>TXN_000762</t>
        </is>
      </c>
      <c r="B859" s="4" t="inlineStr">
        <is>
          <t>C_00213</t>
        </is>
      </c>
      <c r="C859" s="4" t="inlineStr">
        <is>
          <t>2026-02-26</t>
        </is>
      </c>
      <c r="D859" s="5" t="n">
        <v>414.83</v>
      </c>
      <c r="E859" s="4" t="inlineStr">
        <is>
          <t>Mobile App</t>
        </is>
      </c>
      <c r="F859" s="4" t="inlineStr">
        <is>
          <t>CA</t>
        </is>
      </c>
      <c r="G859" s="4" t="inlineStr">
        <is>
          <t>Food &amp; Beverage</t>
        </is>
      </c>
    </row>
    <row r="860">
      <c r="A860" s="2" t="inlineStr">
        <is>
          <t>TXN_000761</t>
        </is>
      </c>
      <c r="B860" s="2" t="inlineStr">
        <is>
          <t>C_00158</t>
        </is>
      </c>
      <c r="C860" s="2" t="inlineStr">
        <is>
          <t>2026-02-26</t>
        </is>
      </c>
      <c r="D860" s="3" t="n">
        <v>700.85</v>
      </c>
      <c r="E860" s="2" t="inlineStr">
        <is>
          <t>Mobile App</t>
        </is>
      </c>
      <c r="F860" s="2" t="inlineStr">
        <is>
          <t>MX</t>
        </is>
      </c>
      <c r="G860" s="2" t="inlineStr">
        <is>
          <t>Travel</t>
        </is>
      </c>
    </row>
    <row r="861">
      <c r="A861" s="4" t="inlineStr">
        <is>
          <t>TXN_000760</t>
        </is>
      </c>
      <c r="B861" s="4" t="inlineStr">
        <is>
          <t>C_00194</t>
        </is>
      </c>
      <c r="C861" s="4" t="inlineStr">
        <is>
          <t>2026-02-26</t>
        </is>
      </c>
      <c r="D861" s="5" t="n">
        <v>1631.53</v>
      </c>
      <c r="E861" s="4" t="inlineStr">
        <is>
          <t>Wire Transfer</t>
        </is>
      </c>
      <c r="F861" s="4" t="inlineStr">
        <is>
          <t>US</t>
        </is>
      </c>
      <c r="G861" s="4" t="inlineStr">
        <is>
          <t>Healthcare</t>
        </is>
      </c>
    </row>
    <row r="862">
      <c r="A862" s="2" t="inlineStr">
        <is>
          <t>TXN_000759</t>
        </is>
      </c>
      <c r="B862" s="2" t="inlineStr">
        <is>
          <t>C_00206</t>
        </is>
      </c>
      <c r="C862" s="2" t="inlineStr">
        <is>
          <t>2026-02-26</t>
        </is>
      </c>
      <c r="D862" s="3" t="n">
        <v>3019.89</v>
      </c>
      <c r="E862" s="2" t="inlineStr">
        <is>
          <t>Mobile App</t>
        </is>
      </c>
      <c r="F862" s="2" t="inlineStr">
        <is>
          <t>US</t>
        </is>
      </c>
      <c r="G862" s="2" t="inlineStr">
        <is>
          <t>Jewelry</t>
        </is>
      </c>
    </row>
    <row r="863">
      <c r="A863" s="4" t="inlineStr">
        <is>
          <t>TXN_000757</t>
        </is>
      </c>
      <c r="B863" s="4" t="inlineStr">
        <is>
          <t>C_00140</t>
        </is>
      </c>
      <c r="C863" s="4" t="inlineStr">
        <is>
          <t>2026-02-26</t>
        </is>
      </c>
      <c r="D863" s="5" t="n">
        <v>1989.44</v>
      </c>
      <c r="E863" s="4" t="inlineStr">
        <is>
          <t>Card</t>
        </is>
      </c>
      <c r="F863" s="4" t="inlineStr">
        <is>
          <t>US</t>
        </is>
      </c>
      <c r="G863" s="4" t="inlineStr">
        <is>
          <t>Real Estate</t>
        </is>
      </c>
    </row>
    <row r="864">
      <c r="A864" s="2" t="inlineStr">
        <is>
          <t>TXN_000756</t>
        </is>
      </c>
      <c r="B864" s="2" t="inlineStr">
        <is>
          <t>C_00154</t>
        </is>
      </c>
      <c r="C864" s="2" t="inlineStr">
        <is>
          <t>2026-02-26</t>
        </is>
      </c>
      <c r="D864" s="3" t="n">
        <v>19307.05</v>
      </c>
      <c r="E864" s="2" t="inlineStr">
        <is>
          <t>ACH</t>
        </is>
      </c>
      <c r="F864" s="2" t="inlineStr">
        <is>
          <t>US</t>
        </is>
      </c>
      <c r="G864" s="2" t="inlineStr">
        <is>
          <t>Travel</t>
        </is>
      </c>
    </row>
    <row r="865">
      <c r="A865" s="4" t="inlineStr">
        <is>
          <t>TXN_000755</t>
        </is>
      </c>
      <c r="B865" s="4" t="inlineStr">
        <is>
          <t>C_00100</t>
        </is>
      </c>
      <c r="C865" s="4" t="inlineStr">
        <is>
          <t>2026-02-26</t>
        </is>
      </c>
      <c r="D865" s="5" t="n">
        <v>3401.72</v>
      </c>
      <c r="E865" s="4" t="inlineStr">
        <is>
          <t>ACH</t>
        </is>
      </c>
      <c r="F865" s="4" t="inlineStr">
        <is>
          <t>US</t>
        </is>
      </c>
      <c r="G865" s="4" t="inlineStr">
        <is>
          <t>Food &amp; Beverage</t>
        </is>
      </c>
    </row>
    <row r="866">
      <c r="A866" s="2" t="inlineStr">
        <is>
          <t>TXN_000754</t>
        </is>
      </c>
      <c r="B866" s="2" t="inlineStr">
        <is>
          <t>C_00065</t>
        </is>
      </c>
      <c r="C866" s="2" t="inlineStr">
        <is>
          <t>2026-02-26</t>
        </is>
      </c>
      <c r="D866" s="3" t="n">
        <v>482.66</v>
      </c>
      <c r="E866" s="2" t="inlineStr">
        <is>
          <t>Card</t>
        </is>
      </c>
      <c r="F866" s="2" t="inlineStr">
        <is>
          <t>US</t>
        </is>
      </c>
      <c r="G866" s="2" t="inlineStr">
        <is>
          <t>Real Estate</t>
        </is>
      </c>
    </row>
    <row r="867">
      <c r="A867" s="4" t="inlineStr">
        <is>
          <t>TXN_000753</t>
        </is>
      </c>
      <c r="B867" s="4" t="inlineStr">
        <is>
          <t>C_00183</t>
        </is>
      </c>
      <c r="C867" s="4" t="inlineStr">
        <is>
          <t>2026-02-26</t>
        </is>
      </c>
      <c r="D867" s="5" t="n">
        <v>2637.79</v>
      </c>
      <c r="E867" s="4" t="inlineStr">
        <is>
          <t>ACH</t>
        </is>
      </c>
      <c r="F867" s="4" t="inlineStr">
        <is>
          <t>AE</t>
        </is>
      </c>
      <c r="G867" s="4" t="inlineStr">
        <is>
          <t>Electronics</t>
        </is>
      </c>
    </row>
    <row r="868">
      <c r="A868" s="2" t="inlineStr">
        <is>
          <t>TXN_000758</t>
        </is>
      </c>
      <c r="B868" s="2" t="inlineStr">
        <is>
          <t>C_00102</t>
        </is>
      </c>
      <c r="C868" s="2" t="inlineStr">
        <is>
          <t>2026-02-26</t>
        </is>
      </c>
      <c r="D868" s="3" t="n">
        <v>1055.8</v>
      </c>
      <c r="E868" s="2" t="inlineStr">
        <is>
          <t>Card</t>
        </is>
      </c>
      <c r="F868" s="2" t="inlineStr">
        <is>
          <t>US</t>
        </is>
      </c>
      <c r="G868" s="2" t="inlineStr">
        <is>
          <t>Healthcare</t>
        </is>
      </c>
    </row>
    <row r="869">
      <c r="A869" s="4" t="inlineStr">
        <is>
          <t>TXN_000766</t>
        </is>
      </c>
      <c r="B869" s="4" t="inlineStr">
        <is>
          <t>C_ORPHAN_002</t>
        </is>
      </c>
      <c r="C869" s="4" t="inlineStr">
        <is>
          <t>2026-02-27</t>
        </is>
      </c>
      <c r="D869" s="5" t="n">
        <v>2532.66</v>
      </c>
      <c r="E869" s="4" t="inlineStr">
        <is>
          <t>Wire Transfer</t>
        </is>
      </c>
      <c r="F869" s="4" t="inlineStr">
        <is>
          <t>AE</t>
        </is>
      </c>
      <c r="G869" s="4" t="inlineStr">
        <is>
          <t>Crypto Exchange</t>
        </is>
      </c>
    </row>
    <row r="870">
      <c r="A870" s="2" t="inlineStr">
        <is>
          <t>TXN_000764</t>
        </is>
      </c>
      <c r="B870" s="2" t="inlineStr">
        <is>
          <t>C_00158</t>
        </is>
      </c>
      <c r="C870" s="2" t="inlineStr">
        <is>
          <t>2026-02-27</t>
        </is>
      </c>
      <c r="D870" s="3" t="n">
        <v>4031.27</v>
      </c>
      <c r="E870" s="2" t="inlineStr">
        <is>
          <t>Card</t>
        </is>
      </c>
      <c r="F870" s="2" t="inlineStr">
        <is>
          <t>US</t>
        </is>
      </c>
      <c r="G870" s="2" t="inlineStr">
        <is>
          <t>Travel</t>
        </is>
      </c>
    </row>
    <row r="871">
      <c r="A871" s="4" t="inlineStr">
        <is>
          <t>TXN_000765</t>
        </is>
      </c>
      <c r="B871" s="4" t="inlineStr">
        <is>
          <t>C_ORPHAN_006</t>
        </is>
      </c>
      <c r="C871" s="4" t="inlineStr">
        <is>
          <t>2026-02-27</t>
        </is>
      </c>
      <c r="D871" s="5" t="n">
        <v>643.67</v>
      </c>
      <c r="E871" s="4" t="inlineStr">
        <is>
          <t>ACH</t>
        </is>
      </c>
      <c r="F871" s="4" t="inlineStr">
        <is>
          <t>CA</t>
        </is>
      </c>
      <c r="G871" s="4" t="inlineStr">
        <is>
          <t>Food &amp; Beverage</t>
        </is>
      </c>
    </row>
    <row r="872">
      <c r="A872" s="2" t="inlineStr">
        <is>
          <t>TXN_000767</t>
        </is>
      </c>
      <c r="B872" s="2" t="inlineStr">
        <is>
          <t>C_00092</t>
        </is>
      </c>
      <c r="C872" s="2" t="inlineStr">
        <is>
          <t>2026-02-27</t>
        </is>
      </c>
      <c r="D872" s="3" t="n">
        <v>5396.33</v>
      </c>
      <c r="E872" s="2" t="inlineStr">
        <is>
          <t>Card</t>
        </is>
      </c>
      <c r="F872" s="2" t="inlineStr">
        <is>
          <t>US</t>
        </is>
      </c>
      <c r="G872" s="2" t="inlineStr">
        <is>
          <t>Food &amp; Beverage</t>
        </is>
      </c>
    </row>
    <row r="873">
      <c r="A873" s="4" t="inlineStr">
        <is>
          <t>TXN_000768</t>
        </is>
      </c>
      <c r="B873" s="4" t="inlineStr">
        <is>
          <t>C_00083</t>
        </is>
      </c>
      <c r="C873" s="4" t="inlineStr">
        <is>
          <t>2026-02-27</t>
        </is>
      </c>
      <c r="D873" s="5" t="n">
        <v>3861.66</v>
      </c>
      <c r="E873" s="4" t="inlineStr">
        <is>
          <t>Wire Transfer</t>
        </is>
      </c>
      <c r="F873" s="4" t="inlineStr">
        <is>
          <t>US</t>
        </is>
      </c>
      <c r="G873" s="4" t="inlineStr">
        <is>
          <t>Real Estate</t>
        </is>
      </c>
    </row>
    <row r="874">
      <c r="A874" s="2" t="inlineStr">
        <is>
          <t>TXN_000769</t>
        </is>
      </c>
      <c r="B874" s="2" t="inlineStr">
        <is>
          <t>C_00043</t>
        </is>
      </c>
      <c r="C874" s="2" t="inlineStr">
        <is>
          <t>2026-02-27</t>
        </is>
      </c>
      <c r="D874" s="3" t="n">
        <v>4194.88</v>
      </c>
      <c r="E874" s="2" t="inlineStr">
        <is>
          <t>ACH</t>
        </is>
      </c>
      <c r="F874" s="2" t="inlineStr">
        <is>
          <t>US</t>
        </is>
      </c>
      <c r="G874" s="2" t="inlineStr">
        <is>
          <t>Auto</t>
        </is>
      </c>
    </row>
    <row r="875">
      <c r="A875" s="4" t="inlineStr">
        <is>
          <t>TXN_000778</t>
        </is>
      </c>
      <c r="B875" s="4" t="inlineStr">
        <is>
          <t>C_00257</t>
        </is>
      </c>
      <c r="C875" s="4" t="inlineStr">
        <is>
          <t>2026-02-27</t>
        </is>
      </c>
      <c r="D875" s="5" t="n">
        <v>7359.12</v>
      </c>
      <c r="E875" s="4" t="inlineStr">
        <is>
          <t>ACH</t>
        </is>
      </c>
      <c r="F875" s="4" t="inlineStr">
        <is>
          <t>US</t>
        </is>
      </c>
      <c r="G875" s="4" t="inlineStr">
        <is>
          <t>Travel</t>
        </is>
      </c>
    </row>
    <row r="876">
      <c r="A876" s="2" t="inlineStr">
        <is>
          <t>TXN_000776</t>
        </is>
      </c>
      <c r="B876" s="2" t="inlineStr">
        <is>
          <t>C_00269</t>
        </is>
      </c>
      <c r="C876" s="2" t="inlineStr">
        <is>
          <t>2026-02-27</t>
        </is>
      </c>
      <c r="D876" s="3" t="n">
        <v>392.99</v>
      </c>
      <c r="E876" s="2" t="inlineStr">
        <is>
          <t>Cash Deposit</t>
        </is>
      </c>
      <c r="F876" s="2" t="inlineStr">
        <is>
          <t>CN</t>
        </is>
      </c>
      <c r="G876" s="2" t="inlineStr">
        <is>
          <t>Money Services</t>
        </is>
      </c>
    </row>
    <row r="877">
      <c r="A877" s="4" t="inlineStr">
        <is>
          <t>TXN_000775</t>
        </is>
      </c>
      <c r="B877" s="4" t="inlineStr">
        <is>
          <t>C_00262</t>
        </is>
      </c>
      <c r="C877" s="4" t="inlineStr">
        <is>
          <t>2026-02-27</t>
        </is>
      </c>
      <c r="D877" s="5" t="n">
        <v>996.1799999999999</v>
      </c>
      <c r="E877" s="4" t="inlineStr">
        <is>
          <t>Card</t>
        </is>
      </c>
      <c r="F877" s="4" t="inlineStr">
        <is>
          <t>US</t>
        </is>
      </c>
      <c r="G877" s="4" t="inlineStr">
        <is>
          <t>Crypto Exchange</t>
        </is>
      </c>
    </row>
    <row r="878">
      <c r="A878" s="2" t="inlineStr">
        <is>
          <t>TXN_000774</t>
        </is>
      </c>
      <c r="B878" s="2" t="inlineStr">
        <is>
          <t>C_00296</t>
        </is>
      </c>
      <c r="C878" s="2" t="inlineStr">
        <is>
          <t>2026-02-27</t>
        </is>
      </c>
      <c r="D878" s="3" t="n">
        <v>847.1</v>
      </c>
      <c r="E878" s="2" t="inlineStr">
        <is>
          <t>Wire Transfer</t>
        </is>
      </c>
      <c r="F878" s="2" t="inlineStr">
        <is>
          <t>MX</t>
        </is>
      </c>
      <c r="G878" s="2" t="inlineStr">
        <is>
          <t>Travel</t>
        </is>
      </c>
    </row>
    <row r="879">
      <c r="A879" s="4" t="inlineStr">
        <is>
          <t>TXN_000777</t>
        </is>
      </c>
      <c r="B879" s="4" t="inlineStr">
        <is>
          <t>C_00041</t>
        </is>
      </c>
      <c r="C879" s="4" t="inlineStr">
        <is>
          <t>2026-02-27</t>
        </is>
      </c>
      <c r="D879" s="5" t="n">
        <v>4497.43</v>
      </c>
      <c r="E879" s="4" t="inlineStr">
        <is>
          <t>ACH</t>
        </is>
      </c>
      <c r="F879" s="4" t="inlineStr">
        <is>
          <t>CA</t>
        </is>
      </c>
      <c r="G879" s="4" t="inlineStr">
        <is>
          <t>Travel</t>
        </is>
      </c>
    </row>
    <row r="880">
      <c r="A880" s="2" t="inlineStr">
        <is>
          <t>TXN_000772</t>
        </is>
      </c>
      <c r="B880" s="2" t="inlineStr">
        <is>
          <t>C_00198</t>
        </is>
      </c>
      <c r="C880" s="2" t="inlineStr">
        <is>
          <t>2026-02-27</t>
        </is>
      </c>
      <c r="D880" s="3" t="n">
        <v>3859.01</v>
      </c>
      <c r="E880" s="2" t="inlineStr">
        <is>
          <t>Card</t>
        </is>
      </c>
      <c r="F880" s="2" t="inlineStr">
        <is>
          <t>MX</t>
        </is>
      </c>
      <c r="G880" s="2" t="inlineStr">
        <is>
          <t>Crypto Exchange</t>
        </is>
      </c>
    </row>
    <row r="881">
      <c r="A881" s="4" t="inlineStr">
        <is>
          <t>TXN_000771</t>
        </is>
      </c>
      <c r="B881" s="4" t="inlineStr">
        <is>
          <t>C_00123</t>
        </is>
      </c>
      <c r="C881" s="4" t="inlineStr">
        <is>
          <t>2026-02-27</t>
        </is>
      </c>
      <c r="D881" s="5" t="n">
        <v>1023.62</v>
      </c>
      <c r="E881" s="4" t="inlineStr">
        <is>
          <t>Cash Deposit</t>
        </is>
      </c>
      <c r="F881" s="4" t="inlineStr">
        <is>
          <t>US</t>
        </is>
      </c>
      <c r="G881" s="4" t="inlineStr">
        <is>
          <t>Real Estate</t>
        </is>
      </c>
    </row>
    <row r="882">
      <c r="A882" s="2" t="inlineStr">
        <is>
          <t>TXN_000770</t>
        </is>
      </c>
      <c r="B882" s="2" t="inlineStr">
        <is>
          <t>C_00137</t>
        </is>
      </c>
      <c r="C882" s="2" t="inlineStr">
        <is>
          <t>2026-02-27</t>
        </is>
      </c>
      <c r="D882" s="3" t="n">
        <v>1058.44</v>
      </c>
      <c r="E882" s="2" t="inlineStr">
        <is>
          <t>Card</t>
        </is>
      </c>
      <c r="F882" s="2" t="inlineStr">
        <is>
          <t>NG</t>
        </is>
      </c>
      <c r="G882" s="2" t="inlineStr">
        <is>
          <t>Retail</t>
        </is>
      </c>
    </row>
    <row r="883">
      <c r="A883" s="4" t="inlineStr">
        <is>
          <t>TXN_000773</t>
        </is>
      </c>
      <c r="B883" s="4" t="inlineStr">
        <is>
          <t>C_00179</t>
        </is>
      </c>
      <c r="C883" s="4" t="inlineStr">
        <is>
          <t>2026-02-27</t>
        </is>
      </c>
      <c r="D883" s="5" t="n">
        <v>5324.1</v>
      </c>
      <c r="E883" s="4" t="inlineStr">
        <is>
          <t>Cash Deposit</t>
        </is>
      </c>
      <c r="F883" s="4" t="inlineStr">
        <is>
          <t>US</t>
        </is>
      </c>
      <c r="G883" s="4" t="inlineStr">
        <is>
          <t>Jewelry</t>
        </is>
      </c>
    </row>
    <row r="884">
      <c r="A884" s="2" t="inlineStr">
        <is>
          <t>TXN_000790</t>
        </is>
      </c>
      <c r="B884" s="2" t="inlineStr">
        <is>
          <t>C_00050</t>
        </is>
      </c>
      <c r="C884" s="2" t="inlineStr">
        <is>
          <t>2026-02-28</t>
        </is>
      </c>
      <c r="D884" s="3" t="n">
        <v>1087.22</v>
      </c>
      <c r="E884" s="2" t="inlineStr">
        <is>
          <t>ACH</t>
        </is>
      </c>
      <c r="F884" s="2" t="inlineStr">
        <is>
          <t>US</t>
        </is>
      </c>
      <c r="G884" s="2" t="inlineStr">
        <is>
          <t>Auto</t>
        </is>
      </c>
    </row>
    <row r="885">
      <c r="A885" s="4" t="inlineStr">
        <is>
          <t>TXN_000795</t>
        </is>
      </c>
      <c r="B885" s="4" t="inlineStr">
        <is>
          <t>C_00039</t>
        </is>
      </c>
      <c r="C885" s="4" t="inlineStr">
        <is>
          <t>2026-02-28</t>
        </is>
      </c>
      <c r="D885" s="5" t="n">
        <v>10070.03</v>
      </c>
      <c r="E885" s="4" t="inlineStr">
        <is>
          <t>ACH</t>
        </is>
      </c>
      <c r="F885" s="4" t="inlineStr">
        <is>
          <t>US</t>
        </is>
      </c>
      <c r="G885" s="4" t="inlineStr">
        <is>
          <t>Electronics</t>
        </is>
      </c>
    </row>
    <row r="886">
      <c r="A886" s="2" t="inlineStr">
        <is>
          <t>TXN_000794</t>
        </is>
      </c>
      <c r="B886" s="2" t="inlineStr">
        <is>
          <t>C_00157</t>
        </is>
      </c>
      <c r="C886" s="2" t="inlineStr">
        <is>
          <t>2026-02-28</t>
        </is>
      </c>
      <c r="D886" s="3" t="n">
        <v>566.24</v>
      </c>
      <c r="E886" s="2" t="inlineStr">
        <is>
          <t>ACH</t>
        </is>
      </c>
      <c r="F886" s="2" t="inlineStr">
        <is>
          <t>US</t>
        </is>
      </c>
      <c r="G886" s="2" t="inlineStr">
        <is>
          <t>Real Estate</t>
        </is>
      </c>
    </row>
    <row r="887">
      <c r="A887" s="4" t="inlineStr">
        <is>
          <t>TXN_000793</t>
        </is>
      </c>
      <c r="B887" s="4" t="inlineStr">
        <is>
          <t>C_00134</t>
        </is>
      </c>
      <c r="C887" s="4" t="inlineStr">
        <is>
          <t>2026-02-28</t>
        </is>
      </c>
      <c r="D887" s="5" t="n">
        <v>5039.63</v>
      </c>
      <c r="E887" s="4" t="inlineStr">
        <is>
          <t>Cash Deposit</t>
        </is>
      </c>
      <c r="F887" s="4" t="inlineStr">
        <is>
          <t>US</t>
        </is>
      </c>
      <c r="G887" s="4" t="inlineStr">
        <is>
          <t>Crypto Exchange</t>
        </is>
      </c>
    </row>
    <row r="888">
      <c r="A888" s="2" t="inlineStr">
        <is>
          <t>TXN_000792</t>
        </is>
      </c>
      <c r="B888" s="2" t="inlineStr">
        <is>
          <t>C_00248</t>
        </is>
      </c>
      <c r="C888" s="2" t="inlineStr">
        <is>
          <t>2026-02-28</t>
        </is>
      </c>
      <c r="D888" s="3" t="n">
        <v>1674.88</v>
      </c>
      <c r="E888" s="2" t="inlineStr">
        <is>
          <t>Mobile App</t>
        </is>
      </c>
      <c r="F888" s="2" t="inlineStr">
        <is>
          <t>NG</t>
        </is>
      </c>
      <c r="G888" s="2" t="inlineStr">
        <is>
          <t>Real Estate</t>
        </is>
      </c>
    </row>
    <row r="889">
      <c r="A889" s="4" t="inlineStr">
        <is>
          <t>TXN_000791</t>
        </is>
      </c>
      <c r="B889" s="4" t="inlineStr">
        <is>
          <t>C_00168</t>
        </is>
      </c>
      <c r="C889" s="4" t="inlineStr">
        <is>
          <t>2026-02-28</t>
        </is>
      </c>
      <c r="D889" s="5" t="n">
        <v>11759.55</v>
      </c>
      <c r="E889" s="4" t="inlineStr">
        <is>
          <t>Cash Deposit</t>
        </is>
      </c>
      <c r="F889" s="4" t="inlineStr">
        <is>
          <t>US</t>
        </is>
      </c>
      <c r="G889" s="4" t="inlineStr">
        <is>
          <t>Electronics</t>
        </is>
      </c>
    </row>
    <row r="890">
      <c r="A890" s="2" t="inlineStr">
        <is>
          <t>TXN_000789</t>
        </is>
      </c>
      <c r="B890" s="2" t="inlineStr">
        <is>
          <t>C_00141</t>
        </is>
      </c>
      <c r="C890" s="2" t="inlineStr">
        <is>
          <t>2026-02-28</t>
        </is>
      </c>
      <c r="D890" s="3" t="n">
        <v>1254.08</v>
      </c>
      <c r="E890" s="2" t="inlineStr">
        <is>
          <t>Wire Transfer</t>
        </is>
      </c>
      <c r="F890" s="2" t="inlineStr">
        <is>
          <t>AE</t>
        </is>
      </c>
      <c r="G890" s="2" t="inlineStr">
        <is>
          <t>Money Services</t>
        </is>
      </c>
    </row>
    <row r="891">
      <c r="A891" s="4" t="inlineStr">
        <is>
          <t>TXN_000780</t>
        </is>
      </c>
      <c r="B891" s="4" t="inlineStr">
        <is>
          <t>C_00023</t>
        </is>
      </c>
      <c r="C891" s="4" t="inlineStr">
        <is>
          <t>2026-02-28</t>
        </is>
      </c>
      <c r="D891" s="5" t="n">
        <v>587.8200000000001</v>
      </c>
      <c r="E891" s="4" t="inlineStr">
        <is>
          <t>ACH</t>
        </is>
      </c>
      <c r="F891" s="4" t="inlineStr">
        <is>
          <t>NG</t>
        </is>
      </c>
      <c r="G891" s="4" t="inlineStr">
        <is>
          <t>Real Estate</t>
        </is>
      </c>
    </row>
    <row r="892">
      <c r="A892" s="2" t="inlineStr">
        <is>
          <t>TXN_000787</t>
        </is>
      </c>
      <c r="B892" s="2" t="inlineStr">
        <is>
          <t>C_00156</t>
        </is>
      </c>
      <c r="C892" s="2" t="inlineStr">
        <is>
          <t>2026-02-28</t>
        </is>
      </c>
      <c r="D892" s="3" t="n">
        <v>2594.98</v>
      </c>
      <c r="E892" s="2" t="inlineStr">
        <is>
          <t>Cash Deposit</t>
        </is>
      </c>
      <c r="F892" s="2" t="inlineStr">
        <is>
          <t>US</t>
        </is>
      </c>
      <c r="G892" s="2" t="inlineStr">
        <is>
          <t>Healthcare</t>
        </is>
      </c>
    </row>
    <row r="893">
      <c r="A893" s="4" t="inlineStr">
        <is>
          <t>TXN_000786</t>
        </is>
      </c>
      <c r="B893" s="4" t="inlineStr">
        <is>
          <t>C_00253</t>
        </is>
      </c>
      <c r="C893" s="4" t="inlineStr">
        <is>
          <t>2026-02-28</t>
        </is>
      </c>
      <c r="D893" s="5" t="n">
        <v>1702.94</v>
      </c>
      <c r="E893" s="4" t="inlineStr">
        <is>
          <t>Mobile App</t>
        </is>
      </c>
      <c r="F893" s="4" t="inlineStr">
        <is>
          <t>CA</t>
        </is>
      </c>
      <c r="G893" s="4" t="inlineStr">
        <is>
          <t>Food &amp; Beverage</t>
        </is>
      </c>
    </row>
    <row r="894">
      <c r="A894" s="2" t="inlineStr">
        <is>
          <t>TXN_000785</t>
        </is>
      </c>
      <c r="B894" s="2" t="inlineStr">
        <is>
          <t>C_00267</t>
        </is>
      </c>
      <c r="C894" s="2" t="inlineStr">
        <is>
          <t>2026-02-28</t>
        </is>
      </c>
      <c r="D894" s="3" t="n">
        <v>1472.21</v>
      </c>
      <c r="E894" s="2" t="inlineStr">
        <is>
          <t>Cash Deposit</t>
        </is>
      </c>
      <c r="F894" s="2" t="inlineStr">
        <is>
          <t>NG</t>
        </is>
      </c>
      <c r="G894" s="2" t="inlineStr">
        <is>
          <t>Healthcare</t>
        </is>
      </c>
    </row>
    <row r="895">
      <c r="A895" s="4" t="inlineStr">
        <is>
          <t>TXN_000796</t>
        </is>
      </c>
      <c r="B895" s="4" t="inlineStr">
        <is>
          <t>C_00048</t>
        </is>
      </c>
      <c r="C895" s="4" t="inlineStr">
        <is>
          <t>2026-02-28</t>
        </is>
      </c>
      <c r="D895" s="5" t="n">
        <v>1233.48</v>
      </c>
      <c r="E895" s="4" t="inlineStr">
        <is>
          <t>Wire Transfer</t>
        </is>
      </c>
      <c r="F895" s="4" t="inlineStr">
        <is>
          <t>CN</t>
        </is>
      </c>
      <c r="G895" s="4" t="inlineStr">
        <is>
          <t>Electronics</t>
        </is>
      </c>
    </row>
    <row r="896">
      <c r="A896" s="2" t="inlineStr">
        <is>
          <t>TXN_000783</t>
        </is>
      </c>
      <c r="B896" s="2" t="inlineStr">
        <is>
          <t>C_00200</t>
        </is>
      </c>
      <c r="C896" s="2" t="inlineStr">
        <is>
          <t>2026-02-28</t>
        </is>
      </c>
      <c r="D896" s="3" t="n">
        <v>1902.92</v>
      </c>
      <c r="E896" s="2" t="inlineStr">
        <is>
          <t>Cash Deposit</t>
        </is>
      </c>
      <c r="F896" s="2" t="inlineStr">
        <is>
          <t>US</t>
        </is>
      </c>
      <c r="G896" s="2" t="inlineStr">
        <is>
          <t>Healthcare</t>
        </is>
      </c>
    </row>
    <row r="897">
      <c r="A897" s="4" t="inlineStr">
        <is>
          <t>TXN_000782</t>
        </is>
      </c>
      <c r="B897" s="4" t="inlineStr">
        <is>
          <t>C_00257</t>
        </is>
      </c>
      <c r="C897" s="4" t="inlineStr">
        <is>
          <t>2026-02-28</t>
        </is>
      </c>
      <c r="D897" s="5" t="n">
        <v>9154.65</v>
      </c>
      <c r="E897" s="4" t="inlineStr">
        <is>
          <t>ACH</t>
        </is>
      </c>
      <c r="F897" s="4" t="inlineStr">
        <is>
          <t>US</t>
        </is>
      </c>
      <c r="G897" s="4" t="inlineStr">
        <is>
          <t>Food &amp; Beverage</t>
        </is>
      </c>
    </row>
    <row r="898">
      <c r="A898" s="2" t="inlineStr">
        <is>
          <t>TXN_000788</t>
        </is>
      </c>
      <c r="B898" s="2" t="inlineStr">
        <is>
          <t>C_00228</t>
        </is>
      </c>
      <c r="C898" s="2" t="inlineStr">
        <is>
          <t>2026-02-28</t>
        </is>
      </c>
      <c r="D898" s="3" t="n">
        <v>2188.38</v>
      </c>
      <c r="E898" s="2" t="inlineStr">
        <is>
          <t>ACH</t>
        </is>
      </c>
      <c r="F898" s="2" t="inlineStr">
        <is>
          <t>US</t>
        </is>
      </c>
      <c r="G898" s="2" t="inlineStr">
        <is>
          <t>Food &amp; Beverage</t>
        </is>
      </c>
    </row>
    <row r="899">
      <c r="A899" s="4" t="inlineStr">
        <is>
          <t>TXN_000784</t>
        </is>
      </c>
      <c r="B899" s="4" t="inlineStr">
        <is>
          <t>C_ORPHAN_017</t>
        </is>
      </c>
      <c r="C899" s="4" t="inlineStr">
        <is>
          <t>2026-02-28</t>
        </is>
      </c>
      <c r="D899" s="5" t="n">
        <v>11596.64</v>
      </c>
      <c r="E899" s="4" t="inlineStr">
        <is>
          <t>Cash Deposit</t>
        </is>
      </c>
      <c r="F899" s="4" t="inlineStr">
        <is>
          <t>CA</t>
        </is>
      </c>
      <c r="G899" s="4" t="inlineStr">
        <is>
          <t>Healthcare</t>
        </is>
      </c>
    </row>
    <row r="900">
      <c r="A900" s="2" t="inlineStr">
        <is>
          <t>TXN_000781</t>
        </is>
      </c>
      <c r="B900" s="2" t="inlineStr">
        <is>
          <t>C_00022</t>
        </is>
      </c>
      <c r="C900" s="2" t="inlineStr">
        <is>
          <t>2026-02-28</t>
        </is>
      </c>
      <c r="D900" s="3" t="n">
        <v>188.12</v>
      </c>
      <c r="E900" s="2" t="inlineStr">
        <is>
          <t>ACH</t>
        </is>
      </c>
      <c r="F900" s="2" t="inlineStr">
        <is>
          <t>RU</t>
        </is>
      </c>
      <c r="G900" s="2" t="inlineStr">
        <is>
          <t>Jewelry</t>
        </is>
      </c>
    </row>
    <row r="901">
      <c r="A901" s="4" t="inlineStr">
        <is>
          <t>TXN_000779</t>
        </is>
      </c>
      <c r="B901" s="4" t="inlineStr">
        <is>
          <t>C_00142</t>
        </is>
      </c>
      <c r="C901" s="4" t="inlineStr">
        <is>
          <t>2026-02-28</t>
        </is>
      </c>
      <c r="D901" s="5" t="n">
        <v>360.44</v>
      </c>
      <c r="E901" s="4" t="inlineStr">
        <is>
          <t>Wire Transfer</t>
        </is>
      </c>
      <c r="F901" s="4" t="inlineStr">
        <is>
          <t>US</t>
        </is>
      </c>
      <c r="G901" s="4" t="inlineStr">
        <is>
          <t>Retail</t>
        </is>
      </c>
    </row>
    <row r="902">
      <c r="A902" s="2" t="inlineStr">
        <is>
          <t>TXN_000808</t>
        </is>
      </c>
      <c r="B902" s="2" t="inlineStr">
        <is>
          <t>C_00213</t>
        </is>
      </c>
      <c r="C902" s="2" t="inlineStr">
        <is>
          <t>2026-03-01</t>
        </is>
      </c>
      <c r="D902" s="3" t="n">
        <v>1100.67</v>
      </c>
      <c r="E902" s="2" t="inlineStr">
        <is>
          <t>Cash Deposit</t>
        </is>
      </c>
      <c r="F902" s="2" t="inlineStr">
        <is>
          <t>US</t>
        </is>
      </c>
      <c r="G902" s="2" t="inlineStr">
        <is>
          <t>Retail</t>
        </is>
      </c>
    </row>
    <row r="903">
      <c r="A903" s="4" t="inlineStr">
        <is>
          <t>TXN_000811</t>
        </is>
      </c>
      <c r="B903" s="4" t="inlineStr">
        <is>
          <t>C_00267</t>
        </is>
      </c>
      <c r="C903" s="4" t="inlineStr">
        <is>
          <t>2026-03-01</t>
        </is>
      </c>
      <c r="D903" s="5" t="n">
        <v>2657.8</v>
      </c>
      <c r="E903" s="4" t="inlineStr">
        <is>
          <t>Mobile App</t>
        </is>
      </c>
      <c r="F903" s="4" t="inlineStr">
        <is>
          <t>RU</t>
        </is>
      </c>
      <c r="G903" s="4" t="inlineStr">
        <is>
          <t>Retail</t>
        </is>
      </c>
    </row>
    <row r="904">
      <c r="A904" s="2" t="inlineStr">
        <is>
          <t>TXN_000810</t>
        </is>
      </c>
      <c r="B904" s="2" t="inlineStr">
        <is>
          <t>C_00142</t>
        </is>
      </c>
      <c r="C904" s="2" t="inlineStr">
        <is>
          <t>2026-03-01</t>
        </is>
      </c>
      <c r="D904" s="3" t="n">
        <v>265.55</v>
      </c>
      <c r="E904" s="2" t="inlineStr">
        <is>
          <t>ACH</t>
        </is>
      </c>
      <c r="F904" s="2" t="inlineStr">
        <is>
          <t>US</t>
        </is>
      </c>
      <c r="G904" s="2" t="inlineStr">
        <is>
          <t>Healthcare</t>
        </is>
      </c>
    </row>
    <row r="905">
      <c r="A905" s="4" t="inlineStr">
        <is>
          <t>TXN_000809</t>
        </is>
      </c>
      <c r="B905" s="4" t="inlineStr">
        <is>
          <t>C_00035</t>
        </is>
      </c>
      <c r="C905" s="4" t="inlineStr">
        <is>
          <t>2026-03-01</t>
        </is>
      </c>
      <c r="D905" s="5" t="n">
        <v>331.55</v>
      </c>
      <c r="E905" s="4" t="inlineStr">
        <is>
          <t>Cash Deposit</t>
        </is>
      </c>
      <c r="F905" s="4" t="inlineStr">
        <is>
          <t>US</t>
        </is>
      </c>
      <c r="G905" s="4" t="inlineStr">
        <is>
          <t>Real Estate</t>
        </is>
      </c>
    </row>
    <row r="906">
      <c r="A906" s="2" t="inlineStr">
        <is>
          <t>TXN_000807</t>
        </is>
      </c>
      <c r="B906" s="2" t="inlineStr">
        <is>
          <t>C_00182</t>
        </is>
      </c>
      <c r="C906" s="2" t="inlineStr">
        <is>
          <t>2026-03-01</t>
        </is>
      </c>
      <c r="D906" s="3" t="n">
        <v>7966.01</v>
      </c>
      <c r="E906" s="2" t="inlineStr">
        <is>
          <t>Wire Transfer</t>
        </is>
      </c>
      <c r="F906" s="2" t="inlineStr">
        <is>
          <t>US</t>
        </is>
      </c>
      <c r="G906" s="2" t="inlineStr">
        <is>
          <t>Retail</t>
        </is>
      </c>
    </row>
    <row r="907">
      <c r="A907" s="4" t="inlineStr">
        <is>
          <t>TXN_000806</t>
        </is>
      </c>
      <c r="B907" s="4" t="inlineStr">
        <is>
          <t>C_00197</t>
        </is>
      </c>
      <c r="C907" s="4" t="inlineStr">
        <is>
          <t>2026-03-01</t>
        </is>
      </c>
      <c r="D907" s="5" t="n">
        <v>2580.3</v>
      </c>
      <c r="E907" s="4" t="inlineStr">
        <is>
          <t>Mobile App</t>
        </is>
      </c>
      <c r="F907" s="4" t="inlineStr">
        <is>
          <t>US</t>
        </is>
      </c>
      <c r="G907" s="4" t="inlineStr">
        <is>
          <t>Electronics</t>
        </is>
      </c>
    </row>
    <row r="908">
      <c r="A908" s="2" t="inlineStr">
        <is>
          <t>TXN_000804</t>
        </is>
      </c>
      <c r="B908" s="2" t="inlineStr">
        <is>
          <t>C_00057</t>
        </is>
      </c>
      <c r="C908" s="2" t="inlineStr">
        <is>
          <t>2026-03-01</t>
        </is>
      </c>
      <c r="D908" s="3" t="n">
        <v>1004.09</v>
      </c>
      <c r="E908" s="2" t="inlineStr">
        <is>
          <t>Card</t>
        </is>
      </c>
      <c r="F908" s="2" t="inlineStr">
        <is>
          <t>US</t>
        </is>
      </c>
      <c r="G908" s="2" t="inlineStr">
        <is>
          <t>Real Estate</t>
        </is>
      </c>
    </row>
    <row r="909">
      <c r="A909" s="4" t="inlineStr">
        <is>
          <t>TXN_000805</t>
        </is>
      </c>
      <c r="B909" s="4" t="inlineStr">
        <is>
          <t>C_00139</t>
        </is>
      </c>
      <c r="C909" s="4" t="inlineStr">
        <is>
          <t>2026-03-01</t>
        </is>
      </c>
      <c r="D909" s="5" t="n">
        <v>1113.7</v>
      </c>
      <c r="E909" s="4" t="inlineStr">
        <is>
          <t>Cash Deposit</t>
        </is>
      </c>
      <c r="F909" s="4" t="inlineStr">
        <is>
          <t>US</t>
        </is>
      </c>
      <c r="G909" s="4" t="inlineStr">
        <is>
          <t>Jewelry</t>
        </is>
      </c>
    </row>
    <row r="910">
      <c r="A910" s="2" t="inlineStr">
        <is>
          <t>TXN_000802</t>
        </is>
      </c>
      <c r="B910" s="2" t="inlineStr">
        <is>
          <t>C_00052</t>
        </is>
      </c>
      <c r="C910" s="2" t="inlineStr">
        <is>
          <t>2026-03-01</t>
        </is>
      </c>
      <c r="D910" s="3" t="n">
        <v>230.69</v>
      </c>
      <c r="E910" s="2" t="inlineStr">
        <is>
          <t>Wire Transfer</t>
        </is>
      </c>
      <c r="F910" s="2" t="inlineStr">
        <is>
          <t>US</t>
        </is>
      </c>
      <c r="G910" s="2" t="inlineStr">
        <is>
          <t>Healthcare</t>
        </is>
      </c>
    </row>
    <row r="911">
      <c r="A911" s="4" t="inlineStr">
        <is>
          <t>TXN_000801</t>
        </is>
      </c>
      <c r="B911" s="4" t="inlineStr">
        <is>
          <t>C_00052</t>
        </is>
      </c>
      <c r="C911" s="4" t="inlineStr">
        <is>
          <t>2026-03-01</t>
        </is>
      </c>
      <c r="D911" s="5" t="n">
        <v>420.9</v>
      </c>
      <c r="E911" s="4" t="inlineStr">
        <is>
          <t>Cash Deposit</t>
        </is>
      </c>
      <c r="F911" s="4" t="inlineStr">
        <is>
          <t>CN</t>
        </is>
      </c>
      <c r="G911" s="4" t="inlineStr">
        <is>
          <t>Healthcare</t>
        </is>
      </c>
    </row>
    <row r="912">
      <c r="A912" s="2" t="inlineStr">
        <is>
          <t>TXN_000800</t>
        </is>
      </c>
      <c r="B912" s="2" t="inlineStr">
        <is>
          <t>C_00111</t>
        </is>
      </c>
      <c r="C912" s="2" t="inlineStr">
        <is>
          <t>2026-03-01</t>
        </is>
      </c>
      <c r="D912" s="3" t="n">
        <v>455.32</v>
      </c>
      <c r="E912" s="2" t="inlineStr">
        <is>
          <t>ACH</t>
        </is>
      </c>
      <c r="F912" s="2" t="inlineStr">
        <is>
          <t>US</t>
        </is>
      </c>
      <c r="G912" s="2" t="inlineStr">
        <is>
          <t>Auto</t>
        </is>
      </c>
    </row>
    <row r="913">
      <c r="A913" s="4" t="inlineStr">
        <is>
          <t>TXN_000799</t>
        </is>
      </c>
      <c r="B913" s="4" t="inlineStr">
        <is>
          <t>C_00250</t>
        </is>
      </c>
      <c r="C913" s="4" t="inlineStr">
        <is>
          <t>2026-03-01</t>
        </is>
      </c>
      <c r="D913" s="5" t="n">
        <v>356.18</v>
      </c>
      <c r="E913" s="4" t="inlineStr">
        <is>
          <t>Wire Transfer</t>
        </is>
      </c>
      <c r="F913" s="4" t="inlineStr">
        <is>
          <t>US</t>
        </is>
      </c>
      <c r="G913" s="4" t="inlineStr">
        <is>
          <t>Food &amp; Beverage</t>
        </is>
      </c>
    </row>
    <row r="914">
      <c r="A914" s="2" t="inlineStr">
        <is>
          <t>TXN_000798</t>
        </is>
      </c>
      <c r="B914" s="2" t="inlineStr">
        <is>
          <t>C_00134</t>
        </is>
      </c>
      <c r="C914" s="2" t="inlineStr">
        <is>
          <t>2026-03-01</t>
        </is>
      </c>
      <c r="D914" s="3" t="n">
        <v>5113.5</v>
      </c>
      <c r="E914" s="2" t="inlineStr">
        <is>
          <t>Cash Deposit</t>
        </is>
      </c>
      <c r="F914" s="2" t="inlineStr">
        <is>
          <t>US</t>
        </is>
      </c>
      <c r="G914" s="2" t="inlineStr">
        <is>
          <t>Retail</t>
        </is>
      </c>
    </row>
    <row r="915">
      <c r="A915" s="4" t="inlineStr">
        <is>
          <t>TXN_000797</t>
        </is>
      </c>
      <c r="B915" s="4" t="inlineStr">
        <is>
          <t>C_00190</t>
        </is>
      </c>
      <c r="C915" s="4" t="inlineStr">
        <is>
          <t>2026-03-01</t>
        </is>
      </c>
      <c r="D915" s="5" t="n">
        <v>2004.6</v>
      </c>
      <c r="E915" s="4" t="inlineStr">
        <is>
          <t>Cash Deposit</t>
        </is>
      </c>
      <c r="F915" s="4" t="inlineStr">
        <is>
          <t>MX</t>
        </is>
      </c>
      <c r="G915" s="4" t="inlineStr">
        <is>
          <t>Real Estate</t>
        </is>
      </c>
    </row>
    <row r="916">
      <c r="A916" s="2" t="inlineStr">
        <is>
          <t>TXN_000803</t>
        </is>
      </c>
      <c r="B916" s="2" t="inlineStr">
        <is>
          <t>C_00207</t>
        </is>
      </c>
      <c r="C916" s="2" t="inlineStr">
        <is>
          <t>2026-03-01</t>
        </is>
      </c>
      <c r="D916" s="3" t="n">
        <v>2638.73</v>
      </c>
      <c r="E916" s="2" t="inlineStr">
        <is>
          <t>Wire Transfer</t>
        </is>
      </c>
      <c r="F916" s="2" t="inlineStr">
        <is>
          <t>US</t>
        </is>
      </c>
      <c r="G916" s="2" t="inlineStr">
        <is>
          <t>Real Estate</t>
        </is>
      </c>
    </row>
    <row r="917">
      <c r="A917" s="4" t="inlineStr">
        <is>
          <t>TXN_000823</t>
        </is>
      </c>
      <c r="B917" s="4" t="inlineStr">
        <is>
          <t>C_00271</t>
        </is>
      </c>
      <c r="C917" s="4" t="inlineStr">
        <is>
          <t>2026-03-02</t>
        </is>
      </c>
      <c r="D917" s="5" t="n">
        <v>1691.64</v>
      </c>
      <c r="E917" s="4" t="inlineStr">
        <is>
          <t>Cash Deposit</t>
        </is>
      </c>
      <c r="F917" s="4" t="inlineStr">
        <is>
          <t>RU</t>
        </is>
      </c>
      <c r="G917" s="4" t="inlineStr">
        <is>
          <t>Food &amp; Beverage</t>
        </is>
      </c>
    </row>
    <row r="918">
      <c r="A918" s="2" t="inlineStr">
        <is>
          <t>TXN_000820</t>
        </is>
      </c>
      <c r="B918" s="2" t="inlineStr">
        <is>
          <t>C_00189</t>
        </is>
      </c>
      <c r="C918" s="2" t="inlineStr">
        <is>
          <t>2026-03-02</t>
        </is>
      </c>
      <c r="D918" s="3" t="n">
        <v>3176.94</v>
      </c>
      <c r="E918" s="2" t="inlineStr">
        <is>
          <t>Cash Deposit</t>
        </is>
      </c>
      <c r="F918" s="2" t="inlineStr">
        <is>
          <t>US</t>
        </is>
      </c>
      <c r="G918" s="2" t="inlineStr">
        <is>
          <t>Electronics</t>
        </is>
      </c>
    </row>
    <row r="919">
      <c r="A919" s="4" t="inlineStr">
        <is>
          <t>TXN_000821</t>
        </is>
      </c>
      <c r="B919" s="4" t="inlineStr">
        <is>
          <t>C_00237</t>
        </is>
      </c>
      <c r="C919" s="4" t="inlineStr">
        <is>
          <t>2026-03-02</t>
        </is>
      </c>
      <c r="D919" s="5" t="n">
        <v>1254.88</v>
      </c>
      <c r="E919" s="4" t="inlineStr">
        <is>
          <t>Card</t>
        </is>
      </c>
      <c r="F919" s="4" t="inlineStr">
        <is>
          <t>US</t>
        </is>
      </c>
      <c r="G919" s="4" t="inlineStr">
        <is>
          <t>Food &amp; Beverage</t>
        </is>
      </c>
    </row>
    <row r="920">
      <c r="A920" s="2" t="inlineStr">
        <is>
          <t>TXN_000822</t>
        </is>
      </c>
      <c r="B920" s="2" t="inlineStr">
        <is>
          <t>C_00204</t>
        </is>
      </c>
      <c r="C920" s="2" t="inlineStr">
        <is>
          <t>2026-03-02</t>
        </is>
      </c>
      <c r="D920" s="3" t="n">
        <v>7978.14</v>
      </c>
      <c r="E920" s="2" t="inlineStr">
        <is>
          <t>ACH</t>
        </is>
      </c>
      <c r="F920" s="2" t="inlineStr">
        <is>
          <t>CA</t>
        </is>
      </c>
      <c r="G920" s="2" t="inlineStr">
        <is>
          <t>Real Estate</t>
        </is>
      </c>
    </row>
    <row r="921">
      <c r="A921" s="4" t="inlineStr">
        <is>
          <t>TXN_000817</t>
        </is>
      </c>
      <c r="B921" s="4" t="inlineStr">
        <is>
          <t>C_00202</t>
        </is>
      </c>
      <c r="C921" s="4" t="inlineStr">
        <is>
          <t>2026-03-02</t>
        </is>
      </c>
      <c r="D921" s="5" t="n">
        <v>5250.24</v>
      </c>
      <c r="E921" s="4" t="inlineStr">
        <is>
          <t>ACH</t>
        </is>
      </c>
      <c r="F921" s="4" t="inlineStr">
        <is>
          <t>US</t>
        </is>
      </c>
      <c r="G921" s="4" t="inlineStr">
        <is>
          <t>Retail</t>
        </is>
      </c>
    </row>
    <row r="922">
      <c r="A922" s="2" t="inlineStr">
        <is>
          <t>TXN_000813</t>
        </is>
      </c>
      <c r="B922" s="2" t="inlineStr">
        <is>
          <t>C_00201</t>
        </is>
      </c>
      <c r="C922" s="2" t="inlineStr">
        <is>
          <t>2026-03-02</t>
        </is>
      </c>
      <c r="D922" s="3" t="n">
        <v>300.07</v>
      </c>
      <c r="E922" s="2" t="inlineStr">
        <is>
          <t>Card</t>
        </is>
      </c>
      <c r="F922" s="2" t="inlineStr">
        <is>
          <t>US</t>
        </is>
      </c>
      <c r="G922" s="2" t="inlineStr">
        <is>
          <t>Auto</t>
        </is>
      </c>
    </row>
    <row r="923">
      <c r="A923" s="4" t="inlineStr">
        <is>
          <t>TXN_000815</t>
        </is>
      </c>
      <c r="B923" s="4" t="inlineStr">
        <is>
          <t>C_00135</t>
        </is>
      </c>
      <c r="C923" s="4" t="inlineStr">
        <is>
          <t>2026-03-02</t>
        </is>
      </c>
      <c r="D923" s="5" t="n">
        <v>827.53</v>
      </c>
      <c r="E923" s="4" t="inlineStr">
        <is>
          <t>Wire Transfer</t>
        </is>
      </c>
      <c r="F923" s="4" t="inlineStr">
        <is>
          <t>US</t>
        </is>
      </c>
      <c r="G923" s="4" t="inlineStr">
        <is>
          <t>Travel</t>
        </is>
      </c>
    </row>
    <row r="924">
      <c r="A924" s="2" t="inlineStr">
        <is>
          <t>TXN_000814</t>
        </is>
      </c>
      <c r="B924" s="2" t="inlineStr">
        <is>
          <t>C_00105</t>
        </is>
      </c>
      <c r="C924" s="2" t="inlineStr">
        <is>
          <t>2026-03-02</t>
        </is>
      </c>
      <c r="D924" s="3" t="n">
        <v>370.74</v>
      </c>
      <c r="E924" s="2" t="inlineStr">
        <is>
          <t>Cash Deposit</t>
        </is>
      </c>
      <c r="F924" s="2" t="inlineStr">
        <is>
          <t>US</t>
        </is>
      </c>
      <c r="G924" s="2" t="inlineStr">
        <is>
          <t>Jewelry</t>
        </is>
      </c>
    </row>
    <row r="925">
      <c r="A925" s="4" t="inlineStr">
        <is>
          <t>TXN_000812</t>
        </is>
      </c>
      <c r="B925" s="4" t="inlineStr">
        <is>
          <t>C_ORPHAN_014</t>
        </is>
      </c>
      <c r="C925" s="4" t="inlineStr">
        <is>
          <t>2026-03-02</t>
        </is>
      </c>
      <c r="D925" s="5" t="n">
        <v>34049.87</v>
      </c>
      <c r="E925" s="4" t="inlineStr">
        <is>
          <t>Wire Transfer</t>
        </is>
      </c>
      <c r="F925" s="4" t="inlineStr">
        <is>
          <t>RU</t>
        </is>
      </c>
      <c r="G925" s="4" t="inlineStr">
        <is>
          <t>Real Estate</t>
        </is>
      </c>
    </row>
    <row r="926">
      <c r="A926" s="2" t="inlineStr">
        <is>
          <t>TXN_000819</t>
        </is>
      </c>
      <c r="B926" s="2" t="inlineStr">
        <is>
          <t>C_00226</t>
        </is>
      </c>
      <c r="C926" s="2" t="inlineStr">
        <is>
          <t>2026-03-02</t>
        </is>
      </c>
      <c r="D926" s="3" t="n">
        <v>6761.64</v>
      </c>
      <c r="E926" s="2" t="inlineStr">
        <is>
          <t>Card</t>
        </is>
      </c>
      <c r="F926" s="2" t="inlineStr">
        <is>
          <t>MX</t>
        </is>
      </c>
      <c r="G926" s="2" t="inlineStr">
        <is>
          <t>Crypto Exchange</t>
        </is>
      </c>
    </row>
    <row r="927">
      <c r="A927" s="4" t="inlineStr">
        <is>
          <t>TXN_000816</t>
        </is>
      </c>
      <c r="B927" s="4" t="inlineStr">
        <is>
          <t>C_00074</t>
        </is>
      </c>
      <c r="C927" s="4" t="inlineStr">
        <is>
          <t>2026-03-02</t>
        </is>
      </c>
      <c r="D927" s="5" t="n">
        <v>1237.25</v>
      </c>
      <c r="E927" s="4" t="inlineStr">
        <is>
          <t>Mobile App</t>
        </is>
      </c>
      <c r="F927" s="4" t="inlineStr">
        <is>
          <t>MX</t>
        </is>
      </c>
      <c r="G927" s="4" t="inlineStr">
        <is>
          <t>Electronics</t>
        </is>
      </c>
    </row>
    <row r="928">
      <c r="A928" s="2" t="inlineStr">
        <is>
          <t>TXN_000818</t>
        </is>
      </c>
      <c r="B928" s="2" t="inlineStr">
        <is>
          <t>C_00271</t>
        </is>
      </c>
      <c r="C928" s="2" t="inlineStr">
        <is>
          <t>2026-03-02</t>
        </is>
      </c>
      <c r="D928" s="3" t="n">
        <v>730.22</v>
      </c>
      <c r="E928" s="2" t="inlineStr">
        <is>
          <t>ACH</t>
        </is>
      </c>
      <c r="F928" s="2" t="inlineStr">
        <is>
          <t>MX</t>
        </is>
      </c>
      <c r="G928" s="2" t="inlineStr">
        <is>
          <t>Real Estate</t>
        </is>
      </c>
    </row>
    <row r="929">
      <c r="A929" s="4" t="inlineStr">
        <is>
          <t>TXN_000826</t>
        </is>
      </c>
      <c r="B929" s="4" t="inlineStr">
        <is>
          <t>C_00109</t>
        </is>
      </c>
      <c r="C929" s="4" t="inlineStr">
        <is>
          <t>2026-03-03</t>
        </is>
      </c>
      <c r="D929" s="5" t="n">
        <v>3362.33</v>
      </c>
      <c r="E929" s="4" t="inlineStr">
        <is>
          <t>Mobile App</t>
        </is>
      </c>
      <c r="F929" s="4" t="inlineStr">
        <is>
          <t>US</t>
        </is>
      </c>
      <c r="G929" s="4" t="inlineStr">
        <is>
          <t>Healthcare</t>
        </is>
      </c>
    </row>
    <row r="930">
      <c r="A930" s="2" t="inlineStr">
        <is>
          <t>TXN_000825</t>
        </is>
      </c>
      <c r="B930" s="2" t="inlineStr">
        <is>
          <t>C_00071</t>
        </is>
      </c>
      <c r="C930" s="2" t="inlineStr">
        <is>
          <t>2026-03-03</t>
        </is>
      </c>
      <c r="D930" s="3" t="n">
        <v>850.02</v>
      </c>
      <c r="E930" s="2" t="inlineStr">
        <is>
          <t>Card</t>
        </is>
      </c>
      <c r="F930" s="2" t="inlineStr">
        <is>
          <t>CA</t>
        </is>
      </c>
      <c r="G930" s="2" t="inlineStr">
        <is>
          <t>Jewelry</t>
        </is>
      </c>
    </row>
    <row r="931">
      <c r="A931" s="4" t="inlineStr">
        <is>
          <t>TXN_000844</t>
        </is>
      </c>
      <c r="B931" s="4" t="inlineStr">
        <is>
          <t>C_00246</t>
        </is>
      </c>
      <c r="C931" s="4" t="inlineStr">
        <is>
          <t>2026-03-03</t>
        </is>
      </c>
      <c r="D931" s="5" t="n">
        <v>757.87</v>
      </c>
      <c r="E931" s="4" t="inlineStr">
        <is>
          <t>Cash Deposit</t>
        </is>
      </c>
      <c r="F931" s="4" t="inlineStr">
        <is>
          <t>CA</t>
        </is>
      </c>
      <c r="G931" s="4" t="inlineStr">
        <is>
          <t>Healthcare</t>
        </is>
      </c>
    </row>
    <row r="932">
      <c r="A932" s="2" t="inlineStr">
        <is>
          <t>TXN_000843</t>
        </is>
      </c>
      <c r="B932" s="2" t="inlineStr">
        <is>
          <t>C_00134</t>
        </is>
      </c>
      <c r="C932" s="2" t="inlineStr">
        <is>
          <t>2026-03-03</t>
        </is>
      </c>
      <c r="D932" s="3" t="n">
        <v>416.06</v>
      </c>
      <c r="E932" s="2" t="inlineStr">
        <is>
          <t>ACH</t>
        </is>
      </c>
      <c r="F932" s="2" t="inlineStr">
        <is>
          <t>CN</t>
        </is>
      </c>
      <c r="G932" s="2" t="inlineStr">
        <is>
          <t>Food &amp; Beverage</t>
        </is>
      </c>
    </row>
    <row r="933">
      <c r="A933" s="4" t="inlineStr">
        <is>
          <t>TXN_000824</t>
        </is>
      </c>
      <c r="B933" s="4" t="inlineStr">
        <is>
          <t>C_00206</t>
        </is>
      </c>
      <c r="C933" s="4" t="inlineStr">
        <is>
          <t>2026-03-03</t>
        </is>
      </c>
      <c r="D933" s="5" t="n">
        <v>1865.26</v>
      </c>
      <c r="E933" s="4" t="inlineStr">
        <is>
          <t>ACH</t>
        </is>
      </c>
      <c r="F933" s="4" t="inlineStr">
        <is>
          <t>US</t>
        </is>
      </c>
      <c r="G933" s="4" t="inlineStr">
        <is>
          <t>Money Services</t>
        </is>
      </c>
    </row>
    <row r="934">
      <c r="A934" s="2" t="inlineStr">
        <is>
          <t>TXN_000841</t>
        </is>
      </c>
      <c r="B934" s="2" t="inlineStr">
        <is>
          <t>C_00110</t>
        </is>
      </c>
      <c r="C934" s="2" t="inlineStr">
        <is>
          <t>2026-03-03</t>
        </is>
      </c>
      <c r="D934" s="3" t="n">
        <v>354.99</v>
      </c>
      <c r="E934" s="2" t="inlineStr">
        <is>
          <t>ACH</t>
        </is>
      </c>
      <c r="F934" s="2" t="inlineStr">
        <is>
          <t>US</t>
        </is>
      </c>
      <c r="G934" s="2" t="inlineStr">
        <is>
          <t>Auto</t>
        </is>
      </c>
    </row>
    <row r="935">
      <c r="A935" s="4" t="inlineStr">
        <is>
          <t>TXN_000840</t>
        </is>
      </c>
      <c r="B935" s="4" t="inlineStr">
        <is>
          <t>C_00194</t>
        </is>
      </c>
      <c r="C935" s="4" t="inlineStr">
        <is>
          <t>2026-03-03</t>
        </is>
      </c>
      <c r="D935" s="5" t="n">
        <v>1230.07</v>
      </c>
      <c r="E935" s="4" t="inlineStr">
        <is>
          <t>Mobile App</t>
        </is>
      </c>
      <c r="F935" s="4" t="inlineStr">
        <is>
          <t>CN</t>
        </is>
      </c>
      <c r="G935" s="4" t="inlineStr">
        <is>
          <t>Electronics</t>
        </is>
      </c>
    </row>
    <row r="936">
      <c r="A936" s="2" t="inlineStr">
        <is>
          <t>TXN_000839</t>
        </is>
      </c>
      <c r="B936" s="2" t="inlineStr">
        <is>
          <t>C_00035</t>
        </is>
      </c>
      <c r="C936" s="2" t="inlineStr">
        <is>
          <t>2026-03-03</t>
        </is>
      </c>
      <c r="D936" s="3" t="n">
        <v>2219.74</v>
      </c>
      <c r="E936" s="2" t="inlineStr">
        <is>
          <t>Card</t>
        </is>
      </c>
      <c r="F936" s="2" t="inlineStr">
        <is>
          <t>CA</t>
        </is>
      </c>
      <c r="G936" s="2" t="inlineStr">
        <is>
          <t>Electronics</t>
        </is>
      </c>
    </row>
    <row r="937">
      <c r="A937" s="4" t="inlineStr">
        <is>
          <t>TXN_000838</t>
        </is>
      </c>
      <c r="B937" s="4" t="inlineStr">
        <is>
          <t>C_00152</t>
        </is>
      </c>
      <c r="C937" s="4" t="inlineStr">
        <is>
          <t>2026-03-03</t>
        </is>
      </c>
      <c r="D937" s="5" t="n">
        <v>2790.35</v>
      </c>
      <c r="E937" s="4" t="inlineStr">
        <is>
          <t>ACH</t>
        </is>
      </c>
      <c r="F937" s="4" t="inlineStr">
        <is>
          <t>RU</t>
        </is>
      </c>
      <c r="G937" s="4" t="inlineStr">
        <is>
          <t>Retail</t>
        </is>
      </c>
    </row>
    <row r="938">
      <c r="A938" s="2" t="inlineStr">
        <is>
          <t>TXN_000837</t>
        </is>
      </c>
      <c r="B938" s="2" t="inlineStr">
        <is>
          <t>C_00164</t>
        </is>
      </c>
      <c r="C938" s="2" t="inlineStr">
        <is>
          <t>2026-03-03</t>
        </is>
      </c>
      <c r="D938" s="3" t="n">
        <v>1234.43</v>
      </c>
      <c r="E938" s="2" t="inlineStr">
        <is>
          <t>Mobile App</t>
        </is>
      </c>
      <c r="F938" s="2" t="inlineStr">
        <is>
          <t>NG</t>
        </is>
      </c>
      <c r="G938" s="2" t="inlineStr">
        <is>
          <t>Crypto Exchange</t>
        </is>
      </c>
    </row>
    <row r="939">
      <c r="A939" s="4" t="inlineStr">
        <is>
          <t>TXN_000836</t>
        </is>
      </c>
      <c r="B939" s="4" t="inlineStr">
        <is>
          <t>C_00077</t>
        </is>
      </c>
      <c r="C939" s="4" t="inlineStr">
        <is>
          <t>2026-03-03</t>
        </is>
      </c>
      <c r="D939" s="5" t="n">
        <v>2509.87</v>
      </c>
      <c r="E939" s="4" t="inlineStr">
        <is>
          <t>ACH</t>
        </is>
      </c>
      <c r="F939" s="4" t="inlineStr">
        <is>
          <t>US</t>
        </is>
      </c>
      <c r="G939" s="4" t="inlineStr">
        <is>
          <t>Crypto Exchange</t>
        </is>
      </c>
    </row>
    <row r="940">
      <c r="A940" s="2" t="inlineStr">
        <is>
          <t>TXN_000835</t>
        </is>
      </c>
      <c r="B940" s="2" t="inlineStr">
        <is>
          <t>C_00229</t>
        </is>
      </c>
      <c r="C940" s="2" t="inlineStr">
        <is>
          <t>2026-03-03</t>
        </is>
      </c>
      <c r="D940" s="3" t="n">
        <v>829.21</v>
      </c>
      <c r="E940" s="2" t="inlineStr">
        <is>
          <t>Card</t>
        </is>
      </c>
      <c r="F940" s="2" t="inlineStr">
        <is>
          <t>MX</t>
        </is>
      </c>
      <c r="G940" s="2" t="inlineStr">
        <is>
          <t>Food &amp; Beverage</t>
        </is>
      </c>
    </row>
    <row r="941">
      <c r="A941" s="4" t="inlineStr">
        <is>
          <t>TXN_000842</t>
        </is>
      </c>
      <c r="B941" s="4" t="inlineStr">
        <is>
          <t>C_00166</t>
        </is>
      </c>
      <c r="C941" s="4" t="inlineStr">
        <is>
          <t>2026-03-03</t>
        </is>
      </c>
      <c r="D941" s="5" t="n">
        <v>834.98</v>
      </c>
      <c r="E941" s="4" t="inlineStr">
        <is>
          <t>Cash Deposit</t>
        </is>
      </c>
      <c r="F941" s="4" t="inlineStr">
        <is>
          <t>NG</t>
        </is>
      </c>
      <c r="G941" s="4" t="inlineStr">
        <is>
          <t>Money Services</t>
        </is>
      </c>
    </row>
    <row r="942">
      <c r="A942" s="2" t="inlineStr">
        <is>
          <t>TXN_000833</t>
        </is>
      </c>
      <c r="B942" s="2" t="inlineStr">
        <is>
          <t>C_00050</t>
        </is>
      </c>
      <c r="C942" s="2" t="inlineStr">
        <is>
          <t>2026-03-03</t>
        </is>
      </c>
      <c r="D942" s="3" t="n">
        <v>2540.53</v>
      </c>
      <c r="E942" s="2" t="inlineStr">
        <is>
          <t>ACH</t>
        </is>
      </c>
      <c r="F942" s="2" t="inlineStr">
        <is>
          <t>US</t>
        </is>
      </c>
      <c r="G942" s="2" t="inlineStr">
        <is>
          <t>Healthcare</t>
        </is>
      </c>
    </row>
    <row r="943">
      <c r="A943" s="4" t="inlineStr">
        <is>
          <t>TXN_000832</t>
        </is>
      </c>
      <c r="B943" s="4" t="inlineStr">
        <is>
          <t>C_00281</t>
        </is>
      </c>
      <c r="C943" s="4" t="inlineStr">
        <is>
          <t>2026-03-03</t>
        </is>
      </c>
      <c r="D943" s="5" t="n">
        <v>469.3</v>
      </c>
      <c r="E943" s="4" t="inlineStr">
        <is>
          <t>Cash Deposit</t>
        </is>
      </c>
      <c r="F943" s="4" t="inlineStr">
        <is>
          <t>US</t>
        </is>
      </c>
      <c r="G943" s="4" t="inlineStr">
        <is>
          <t>Travel</t>
        </is>
      </c>
    </row>
    <row r="944">
      <c r="A944" s="2" t="inlineStr">
        <is>
          <t>TXN_000831</t>
        </is>
      </c>
      <c r="B944" s="2" t="inlineStr">
        <is>
          <t>C_ORPHAN_017</t>
        </is>
      </c>
      <c r="C944" s="2" t="inlineStr">
        <is>
          <t>2026-03-03</t>
        </is>
      </c>
      <c r="D944" s="3" t="n">
        <v>1177.28</v>
      </c>
      <c r="E944" s="2" t="inlineStr">
        <is>
          <t>Cash Deposit</t>
        </is>
      </c>
      <c r="F944" s="2" t="inlineStr">
        <is>
          <t>MX</t>
        </is>
      </c>
      <c r="G944" s="2" t="inlineStr">
        <is>
          <t>Electronics</t>
        </is>
      </c>
    </row>
    <row r="945">
      <c r="A945" s="4" t="inlineStr">
        <is>
          <t>TXN_000830</t>
        </is>
      </c>
      <c r="B945" s="4" t="inlineStr">
        <is>
          <t>C_00133</t>
        </is>
      </c>
      <c r="C945" s="4" t="inlineStr">
        <is>
          <t>2026-03-03</t>
        </is>
      </c>
      <c r="D945" s="5" t="n">
        <v>4416.93</v>
      </c>
      <c r="E945" s="4" t="inlineStr">
        <is>
          <t>Card</t>
        </is>
      </c>
      <c r="F945" s="4" t="inlineStr">
        <is>
          <t>US</t>
        </is>
      </c>
      <c r="G945" s="4" t="inlineStr">
        <is>
          <t>Food &amp; Beverage</t>
        </is>
      </c>
    </row>
    <row r="946">
      <c r="A946" s="2" t="inlineStr">
        <is>
          <t>TXN_000829</t>
        </is>
      </c>
      <c r="B946" s="2" t="inlineStr">
        <is>
          <t>C_00227</t>
        </is>
      </c>
      <c r="C946" s="2" t="inlineStr">
        <is>
          <t>2026-03-03</t>
        </is>
      </c>
      <c r="D946" s="3" t="n">
        <v>810.78</v>
      </c>
      <c r="E946" s="2" t="inlineStr">
        <is>
          <t>Card</t>
        </is>
      </c>
      <c r="F946" s="2" t="inlineStr">
        <is>
          <t>US</t>
        </is>
      </c>
      <c r="G946" s="2" t="inlineStr">
        <is>
          <t>Food &amp; Beverage</t>
        </is>
      </c>
    </row>
    <row r="947">
      <c r="A947" s="4" t="inlineStr">
        <is>
          <t>TXN_000828</t>
        </is>
      </c>
      <c r="B947" s="4" t="inlineStr">
        <is>
          <t>C_00146</t>
        </is>
      </c>
      <c r="C947" s="4" t="inlineStr">
        <is>
          <t>2026-03-03</t>
        </is>
      </c>
      <c r="D947" s="5" t="n">
        <v>276.87</v>
      </c>
      <c r="E947" s="4" t="inlineStr">
        <is>
          <t>Cash Deposit</t>
        </is>
      </c>
      <c r="F947" s="4" t="inlineStr">
        <is>
          <t>US</t>
        </is>
      </c>
      <c r="G947" s="4" t="inlineStr">
        <is>
          <t>Money Services</t>
        </is>
      </c>
    </row>
    <row r="948">
      <c r="A948" s="2" t="inlineStr">
        <is>
          <t>TXN_000827</t>
        </is>
      </c>
      <c r="B948" s="2" t="inlineStr">
        <is>
          <t>C_00139</t>
        </is>
      </c>
      <c r="C948" s="2" t="inlineStr">
        <is>
          <t>2026-03-03</t>
        </is>
      </c>
      <c r="D948" s="3" t="n">
        <v>548</v>
      </c>
      <c r="E948" s="2" t="inlineStr">
        <is>
          <t>Mobile App</t>
        </is>
      </c>
      <c r="F948" s="2" t="inlineStr">
        <is>
          <t>AE</t>
        </is>
      </c>
      <c r="G948" s="2" t="inlineStr">
        <is>
          <t>Money Services</t>
        </is>
      </c>
    </row>
    <row r="949">
      <c r="A949" s="4" t="inlineStr">
        <is>
          <t>TXN_000834</t>
        </is>
      </c>
      <c r="B949" s="4" t="inlineStr">
        <is>
          <t>C_00027</t>
        </is>
      </c>
      <c r="C949" s="4" t="inlineStr">
        <is>
          <t>2026-03-03</t>
        </is>
      </c>
      <c r="D949" s="5" t="n">
        <v>3722.96</v>
      </c>
      <c r="E949" s="4" t="inlineStr">
        <is>
          <t>Card</t>
        </is>
      </c>
      <c r="F949" s="4" t="inlineStr">
        <is>
          <t>RU</t>
        </is>
      </c>
      <c r="G949" s="4" t="inlineStr">
        <is>
          <t>Food &amp; Beverage</t>
        </is>
      </c>
    </row>
    <row r="950">
      <c r="A950" s="2" t="inlineStr">
        <is>
          <t>TXN_000847</t>
        </is>
      </c>
      <c r="B950" s="2" t="inlineStr">
        <is>
          <t>C_00021</t>
        </is>
      </c>
      <c r="C950" s="2" t="inlineStr">
        <is>
          <t>2026-03-04</t>
        </is>
      </c>
      <c r="D950" s="3" t="n">
        <v>1462.03</v>
      </c>
      <c r="E950" s="2" t="inlineStr">
        <is>
          <t>Cash Deposit</t>
        </is>
      </c>
      <c r="F950" s="2" t="inlineStr">
        <is>
          <t>US</t>
        </is>
      </c>
      <c r="G950" s="2" t="inlineStr">
        <is>
          <t>Real Estate</t>
        </is>
      </c>
    </row>
    <row r="951">
      <c r="A951" s="4" t="inlineStr">
        <is>
          <t>TXN_000861</t>
        </is>
      </c>
      <c r="B951" s="4" t="inlineStr">
        <is>
          <t>C_00271</t>
        </is>
      </c>
      <c r="C951" s="4" t="inlineStr">
        <is>
          <t>2026-03-04</t>
        </is>
      </c>
      <c r="D951" s="5" t="n">
        <v>1185.58</v>
      </c>
      <c r="E951" s="4" t="inlineStr">
        <is>
          <t>Wire Transfer</t>
        </is>
      </c>
      <c r="F951" s="4" t="inlineStr">
        <is>
          <t>US</t>
        </is>
      </c>
      <c r="G951" s="4" t="inlineStr">
        <is>
          <t>Auto</t>
        </is>
      </c>
    </row>
    <row r="952">
      <c r="A952" s="2" t="inlineStr">
        <is>
          <t>TXN_000860</t>
        </is>
      </c>
      <c r="B952" s="2" t="inlineStr">
        <is>
          <t>C_00298</t>
        </is>
      </c>
      <c r="C952" s="2" t="inlineStr">
        <is>
          <t>2026-03-04</t>
        </is>
      </c>
      <c r="D952" s="3" t="n">
        <v>3561.47</v>
      </c>
      <c r="E952" s="2" t="inlineStr">
        <is>
          <t>Cash Deposit</t>
        </is>
      </c>
      <c r="F952" s="2" t="inlineStr">
        <is>
          <t>US</t>
        </is>
      </c>
      <c r="G952" s="2" t="inlineStr">
        <is>
          <t>Auto</t>
        </is>
      </c>
    </row>
    <row r="953">
      <c r="A953" s="4" t="inlineStr">
        <is>
          <t>TXN_000859</t>
        </is>
      </c>
      <c r="B953" s="4" t="inlineStr">
        <is>
          <t>C_00136</t>
        </is>
      </c>
      <c r="C953" s="4" t="inlineStr">
        <is>
          <t>2026-03-04</t>
        </is>
      </c>
      <c r="D953" s="5" t="n">
        <v>3499.64</v>
      </c>
      <c r="E953" s="4" t="inlineStr">
        <is>
          <t>Card</t>
        </is>
      </c>
      <c r="F953" s="4" t="inlineStr">
        <is>
          <t>CN</t>
        </is>
      </c>
      <c r="G953" s="4" t="inlineStr">
        <is>
          <t>Auto</t>
        </is>
      </c>
    </row>
    <row r="954">
      <c r="A954" s="2" t="inlineStr">
        <is>
          <t>TXN_000858</t>
        </is>
      </c>
      <c r="B954" s="2" t="inlineStr">
        <is>
          <t>C_00277</t>
        </is>
      </c>
      <c r="C954" s="2" t="inlineStr">
        <is>
          <t>2026-03-04</t>
        </is>
      </c>
      <c r="D954" s="3" t="n">
        <v>721.67</v>
      </c>
      <c r="E954" s="2" t="inlineStr">
        <is>
          <t>Wire Transfer</t>
        </is>
      </c>
      <c r="F954" s="2" t="inlineStr">
        <is>
          <t>US</t>
        </is>
      </c>
      <c r="G954" s="2" t="inlineStr">
        <is>
          <t>Jewelry</t>
        </is>
      </c>
    </row>
    <row r="955">
      <c r="A955" s="4" t="inlineStr">
        <is>
          <t>TXN_000857</t>
        </is>
      </c>
      <c r="B955" s="4" t="inlineStr">
        <is>
          <t>C_00118</t>
        </is>
      </c>
      <c r="C955" s="4" t="inlineStr">
        <is>
          <t>2026-03-04</t>
        </is>
      </c>
      <c r="D955" s="5" t="n">
        <v>1064.67</v>
      </c>
      <c r="E955" s="4" t="inlineStr">
        <is>
          <t>Cash Deposit</t>
        </is>
      </c>
      <c r="F955" s="4" t="inlineStr">
        <is>
          <t>US</t>
        </is>
      </c>
      <c r="G955" s="4" t="inlineStr">
        <is>
          <t>Auto</t>
        </is>
      </c>
    </row>
    <row r="956">
      <c r="A956" s="2" t="inlineStr">
        <is>
          <t>TXN_000856</t>
        </is>
      </c>
      <c r="B956" s="2" t="inlineStr">
        <is>
          <t>C_00211</t>
        </is>
      </c>
      <c r="C956" s="2" t="inlineStr">
        <is>
          <t>2026-03-04</t>
        </is>
      </c>
      <c r="D956" s="3" t="n">
        <v>6194.57</v>
      </c>
      <c r="E956" s="2" t="inlineStr">
        <is>
          <t>Mobile App</t>
        </is>
      </c>
      <c r="F956" s="2" t="inlineStr">
        <is>
          <t>AE</t>
        </is>
      </c>
      <c r="G956" s="2" t="inlineStr">
        <is>
          <t>Food &amp; Beverage</t>
        </is>
      </c>
    </row>
    <row r="957">
      <c r="A957" s="4" t="inlineStr">
        <is>
          <t>TXN_000852</t>
        </is>
      </c>
      <c r="B957" s="4" t="inlineStr">
        <is>
          <t>C_00109</t>
        </is>
      </c>
      <c r="C957" s="4" t="inlineStr">
        <is>
          <t>2026-03-04</t>
        </is>
      </c>
      <c r="D957" s="5" t="n">
        <v>1615.18</v>
      </c>
      <c r="E957" s="4" t="inlineStr">
        <is>
          <t>ACH</t>
        </is>
      </c>
      <c r="F957" s="4" t="inlineStr">
        <is>
          <t>US</t>
        </is>
      </c>
      <c r="G957" s="4" t="inlineStr">
        <is>
          <t>Travel</t>
        </is>
      </c>
    </row>
    <row r="958">
      <c r="A958" s="2" t="inlineStr">
        <is>
          <t>TXN_000854</t>
        </is>
      </c>
      <c r="B958" s="2" t="inlineStr">
        <is>
          <t>C_00077</t>
        </is>
      </c>
      <c r="C958" s="2" t="inlineStr">
        <is>
          <t>2026-03-04</t>
        </is>
      </c>
      <c r="D958" s="3" t="n">
        <v>78.68000000000001</v>
      </c>
      <c r="E958" s="2" t="inlineStr">
        <is>
          <t>Card</t>
        </is>
      </c>
      <c r="F958" s="2" t="inlineStr">
        <is>
          <t>US</t>
        </is>
      </c>
      <c r="G958" s="2" t="inlineStr">
        <is>
          <t>Travel</t>
        </is>
      </c>
    </row>
    <row r="959">
      <c r="A959" s="4" t="inlineStr">
        <is>
          <t>TXN_000853</t>
        </is>
      </c>
      <c r="B959" s="4" t="inlineStr">
        <is>
          <t>C_ORPHAN_020</t>
        </is>
      </c>
      <c r="C959" s="4" t="inlineStr">
        <is>
          <t>2026-03-04</t>
        </is>
      </c>
      <c r="D959" s="5" t="n">
        <v>1491.67</v>
      </c>
      <c r="E959" s="4" t="inlineStr">
        <is>
          <t>Cash Deposit</t>
        </is>
      </c>
      <c r="F959" s="4" t="inlineStr">
        <is>
          <t>CN</t>
        </is>
      </c>
      <c r="G959" s="4" t="inlineStr">
        <is>
          <t>Jewelry</t>
        </is>
      </c>
    </row>
    <row r="960">
      <c r="A960" s="2" t="inlineStr">
        <is>
          <t>TXN_000851</t>
        </is>
      </c>
      <c r="B960" s="2" t="inlineStr">
        <is>
          <t>C_00085</t>
        </is>
      </c>
      <c r="C960" s="2" t="inlineStr">
        <is>
          <t>2026-03-04</t>
        </is>
      </c>
      <c r="D960" s="3" t="n">
        <v>2247.82</v>
      </c>
      <c r="E960" s="2" t="inlineStr">
        <is>
          <t>ACH</t>
        </is>
      </c>
      <c r="F960" s="2" t="inlineStr">
        <is>
          <t>CN</t>
        </is>
      </c>
      <c r="G960" s="2" t="inlineStr">
        <is>
          <t>Travel</t>
        </is>
      </c>
    </row>
    <row r="961">
      <c r="A961" s="4" t="inlineStr">
        <is>
          <t>TXN_000850</t>
        </is>
      </c>
      <c r="B961" s="4" t="inlineStr">
        <is>
          <t>C_00035</t>
        </is>
      </c>
      <c r="C961" s="4" t="inlineStr">
        <is>
          <t>2026-03-04</t>
        </is>
      </c>
      <c r="D961" s="5" t="n">
        <v>2425.83</v>
      </c>
      <c r="E961" s="4" t="inlineStr">
        <is>
          <t>Wire Transfer</t>
        </is>
      </c>
      <c r="F961" s="4" t="inlineStr">
        <is>
          <t>US</t>
        </is>
      </c>
      <c r="G961" s="4" t="inlineStr">
        <is>
          <t>Retail</t>
        </is>
      </c>
    </row>
    <row r="962">
      <c r="A962" s="2" t="inlineStr">
        <is>
          <t>TXN_000849</t>
        </is>
      </c>
      <c r="B962" s="2" t="inlineStr">
        <is>
          <t>C_00042</t>
        </is>
      </c>
      <c r="C962" s="2" t="inlineStr">
        <is>
          <t>2026-03-04</t>
        </is>
      </c>
      <c r="D962" s="3" t="n">
        <v>5110.13</v>
      </c>
      <c r="E962" s="2" t="inlineStr">
        <is>
          <t>Cash Deposit</t>
        </is>
      </c>
      <c r="F962" s="2" t="inlineStr">
        <is>
          <t>CA</t>
        </is>
      </c>
      <c r="G962" s="2" t="inlineStr">
        <is>
          <t>Jewelry</t>
        </is>
      </c>
    </row>
    <row r="963">
      <c r="A963" s="4" t="inlineStr">
        <is>
          <t>TXN_000848</t>
        </is>
      </c>
      <c r="B963" s="4" t="inlineStr">
        <is>
          <t>C_00140</t>
        </is>
      </c>
      <c r="C963" s="4" t="inlineStr">
        <is>
          <t>2026-03-04</t>
        </is>
      </c>
      <c r="D963" s="5" t="n">
        <v>2918.79</v>
      </c>
      <c r="E963" s="4" t="inlineStr">
        <is>
          <t>ACH</t>
        </is>
      </c>
      <c r="F963" s="4" t="inlineStr">
        <is>
          <t>US</t>
        </is>
      </c>
      <c r="G963" s="4" t="inlineStr">
        <is>
          <t>Crypto Exchange</t>
        </is>
      </c>
    </row>
    <row r="964">
      <c r="A964" s="2" t="inlineStr">
        <is>
          <t>TXN_000846</t>
        </is>
      </c>
      <c r="B964" s="2" t="inlineStr">
        <is>
          <t>C_00043</t>
        </is>
      </c>
      <c r="C964" s="2" t="inlineStr">
        <is>
          <t>2026-03-04</t>
        </is>
      </c>
      <c r="D964" s="3" t="n">
        <v>569.55</v>
      </c>
      <c r="E964" s="2" t="inlineStr">
        <is>
          <t>Mobile App</t>
        </is>
      </c>
      <c r="F964" s="2" t="inlineStr">
        <is>
          <t>US</t>
        </is>
      </c>
      <c r="G964" s="2" t="inlineStr">
        <is>
          <t>Money Services</t>
        </is>
      </c>
    </row>
    <row r="965">
      <c r="A965" s="4" t="inlineStr">
        <is>
          <t>TXN_000855</t>
        </is>
      </c>
      <c r="B965" s="4" t="inlineStr">
        <is>
          <t>C_00057</t>
        </is>
      </c>
      <c r="C965" s="4" t="inlineStr">
        <is>
          <t>2026-03-04</t>
        </is>
      </c>
      <c r="D965" s="5" t="n">
        <v>6830.91</v>
      </c>
      <c r="E965" s="4" t="inlineStr">
        <is>
          <t>Cash Deposit</t>
        </is>
      </c>
      <c r="F965" s="4" t="inlineStr">
        <is>
          <t>NG</t>
        </is>
      </c>
      <c r="G965" s="4" t="inlineStr">
        <is>
          <t>Healthcare</t>
        </is>
      </c>
    </row>
    <row r="966">
      <c r="A966" s="2" t="inlineStr">
        <is>
          <t>TXN_000845</t>
        </is>
      </c>
      <c r="B966" s="2" t="inlineStr">
        <is>
          <t>C_00060</t>
        </is>
      </c>
      <c r="C966" s="2" t="inlineStr">
        <is>
          <t>2026-03-04</t>
        </is>
      </c>
      <c r="D966" s="3" t="n">
        <v>2019.51</v>
      </c>
      <c r="E966" s="2" t="inlineStr">
        <is>
          <t>Cash Deposit</t>
        </is>
      </c>
      <c r="F966" s="2" t="inlineStr">
        <is>
          <t>US</t>
        </is>
      </c>
      <c r="G966" s="2" t="inlineStr">
        <is>
          <t>Retail</t>
        </is>
      </c>
    </row>
    <row r="967">
      <c r="A967" s="4" t="inlineStr">
        <is>
          <t>TXN_000867</t>
        </is>
      </c>
      <c r="B967" s="4" t="inlineStr">
        <is>
          <t>C_00179</t>
        </is>
      </c>
      <c r="C967" s="4" t="inlineStr">
        <is>
          <t>2026-03-05</t>
        </is>
      </c>
      <c r="D967" s="5" t="n">
        <v>6127.93</v>
      </c>
      <c r="E967" s="4" t="inlineStr">
        <is>
          <t>Mobile App</t>
        </is>
      </c>
      <c r="F967" s="4" t="inlineStr">
        <is>
          <t>US</t>
        </is>
      </c>
      <c r="G967" s="4" t="inlineStr">
        <is>
          <t>Food &amp; Beverage</t>
        </is>
      </c>
    </row>
    <row r="968">
      <c r="A968" s="2" t="inlineStr">
        <is>
          <t>TXN_000868</t>
        </is>
      </c>
      <c r="B968" s="2" t="inlineStr">
        <is>
          <t>C_00135</t>
        </is>
      </c>
      <c r="C968" s="2" t="inlineStr">
        <is>
          <t>2026-03-05</t>
        </is>
      </c>
      <c r="D968" s="3" t="n">
        <v>511.15</v>
      </c>
      <c r="E968" s="2" t="inlineStr">
        <is>
          <t>ACH</t>
        </is>
      </c>
      <c r="F968" s="2" t="inlineStr">
        <is>
          <t>RU</t>
        </is>
      </c>
      <c r="G968" s="2" t="inlineStr">
        <is>
          <t>Retail</t>
        </is>
      </c>
    </row>
    <row r="969">
      <c r="A969" s="4" t="inlineStr">
        <is>
          <t>TXN_000862</t>
        </is>
      </c>
      <c r="B969" s="4" t="inlineStr">
        <is>
          <t>C_00277</t>
        </is>
      </c>
      <c r="C969" s="4" t="inlineStr">
        <is>
          <t>2026-03-05</t>
        </is>
      </c>
      <c r="D969" s="5" t="n">
        <v>3535.2</v>
      </c>
      <c r="E969" s="4" t="inlineStr">
        <is>
          <t>Card</t>
        </is>
      </c>
      <c r="F969" s="4" t="inlineStr">
        <is>
          <t>RU</t>
        </is>
      </c>
      <c r="G969" s="4" t="inlineStr">
        <is>
          <t>Retail</t>
        </is>
      </c>
    </row>
    <row r="970">
      <c r="A970" s="2" t="inlineStr">
        <is>
          <t>TXN_000863</t>
        </is>
      </c>
      <c r="B970" s="2" t="inlineStr">
        <is>
          <t>C_00229</t>
        </is>
      </c>
      <c r="C970" s="2" t="inlineStr">
        <is>
          <t>2026-03-05</t>
        </is>
      </c>
      <c r="D970" s="3" t="n">
        <v>685.15</v>
      </c>
      <c r="E970" s="2" t="inlineStr">
        <is>
          <t>ACH</t>
        </is>
      </c>
      <c r="F970" s="2" t="inlineStr">
        <is>
          <t>US</t>
        </is>
      </c>
      <c r="G970" s="2" t="inlineStr">
        <is>
          <t>Real Estate</t>
        </is>
      </c>
    </row>
    <row r="971">
      <c r="A971" s="4" t="inlineStr">
        <is>
          <t>TXN_000866</t>
        </is>
      </c>
      <c r="B971" s="4" t="inlineStr">
        <is>
          <t>C_00107</t>
        </is>
      </c>
      <c r="C971" s="4" t="inlineStr">
        <is>
          <t>2026-03-05</t>
        </is>
      </c>
      <c r="D971" s="5" t="n">
        <v>6075.85</v>
      </c>
      <c r="E971" s="4" t="inlineStr">
        <is>
          <t>Wire Transfer</t>
        </is>
      </c>
      <c r="F971" s="4" t="inlineStr">
        <is>
          <t>CA</t>
        </is>
      </c>
      <c r="G971" s="4" t="inlineStr">
        <is>
          <t>Food &amp; Beverage</t>
        </is>
      </c>
    </row>
    <row r="972">
      <c r="A972" s="2" t="inlineStr">
        <is>
          <t>TXN_000865</t>
        </is>
      </c>
      <c r="B972" s="2" t="inlineStr">
        <is>
          <t>C_00115</t>
        </is>
      </c>
      <c r="C972" s="2" t="inlineStr">
        <is>
          <t>2026-03-05</t>
        </is>
      </c>
      <c r="D972" s="3" t="n">
        <v>544.58</v>
      </c>
      <c r="E972" s="2" t="inlineStr">
        <is>
          <t>Wire Transfer</t>
        </is>
      </c>
      <c r="F972" s="2" t="inlineStr">
        <is>
          <t>US</t>
        </is>
      </c>
      <c r="G972" s="2" t="inlineStr">
        <is>
          <t>Crypto Exchange</t>
        </is>
      </c>
    </row>
    <row r="973">
      <c r="A973" s="4" t="inlineStr">
        <is>
          <t>TXN_000869</t>
        </is>
      </c>
      <c r="B973" s="4" t="inlineStr">
        <is>
          <t>C_00132</t>
        </is>
      </c>
      <c r="C973" s="4" t="inlineStr">
        <is>
          <t>2026-03-05</t>
        </is>
      </c>
      <c r="D973" s="5" t="n">
        <v>538.62</v>
      </c>
      <c r="E973" s="4" t="inlineStr">
        <is>
          <t>Card</t>
        </is>
      </c>
      <c r="F973" s="4" t="inlineStr">
        <is>
          <t>NG</t>
        </is>
      </c>
      <c r="G973" s="4" t="inlineStr">
        <is>
          <t>Food &amp; Beverage</t>
        </is>
      </c>
    </row>
    <row r="974">
      <c r="A974" s="2" t="inlineStr">
        <is>
          <t>TXN_000864</t>
        </is>
      </c>
      <c r="B974" s="2" t="inlineStr">
        <is>
          <t>C_00093</t>
        </is>
      </c>
      <c r="C974" s="2" t="inlineStr">
        <is>
          <t>2026-03-05</t>
        </is>
      </c>
      <c r="D974" s="3" t="n">
        <v>774.6</v>
      </c>
      <c r="E974" s="2" t="inlineStr">
        <is>
          <t>Wire Transfer</t>
        </is>
      </c>
      <c r="F974" s="2" t="inlineStr">
        <is>
          <t>US</t>
        </is>
      </c>
      <c r="G974" s="2" t="inlineStr">
        <is>
          <t>Food &amp; Beverage</t>
        </is>
      </c>
    </row>
    <row r="975">
      <c r="A975" s="4" t="inlineStr">
        <is>
          <t>TXN_000882</t>
        </is>
      </c>
      <c r="B975" s="4" t="inlineStr">
        <is>
          <t>C_00300</t>
        </is>
      </c>
      <c r="C975" s="4" t="inlineStr">
        <is>
          <t>2026-03-06</t>
        </is>
      </c>
      <c r="D975" s="5" t="n">
        <v>23063.58</v>
      </c>
      <c r="E975" s="4" t="inlineStr">
        <is>
          <t>ACH</t>
        </is>
      </c>
      <c r="F975" s="4" t="inlineStr">
        <is>
          <t>US</t>
        </is>
      </c>
      <c r="G975" s="4" t="inlineStr">
        <is>
          <t>Crypto Exchange</t>
        </is>
      </c>
    </row>
    <row r="976">
      <c r="A976" s="2" t="inlineStr">
        <is>
          <t>TXN_000881</t>
        </is>
      </c>
      <c r="B976" s="2" t="inlineStr">
        <is>
          <t>C_00239</t>
        </is>
      </c>
      <c r="C976" s="2" t="inlineStr">
        <is>
          <t>2026-03-06</t>
        </is>
      </c>
      <c r="D976" s="3" t="n">
        <v>2867.51</v>
      </c>
      <c r="E976" s="2" t="inlineStr">
        <is>
          <t>Wire Transfer</t>
        </is>
      </c>
      <c r="F976" s="2" t="inlineStr">
        <is>
          <t>US</t>
        </is>
      </c>
      <c r="G976" s="2" t="inlineStr">
        <is>
          <t>Food &amp; Beverage</t>
        </is>
      </c>
    </row>
    <row r="977">
      <c r="A977" s="4" t="inlineStr">
        <is>
          <t>TXN_000880</t>
        </is>
      </c>
      <c r="B977" s="4" t="inlineStr">
        <is>
          <t>C_00185</t>
        </is>
      </c>
      <c r="C977" s="4" t="inlineStr">
        <is>
          <t>2026-03-06</t>
        </is>
      </c>
      <c r="D977" s="5" t="n">
        <v>1988.35</v>
      </c>
      <c r="E977" s="4" t="inlineStr">
        <is>
          <t>Card</t>
        </is>
      </c>
      <c r="F977" s="4" t="inlineStr">
        <is>
          <t>US</t>
        </is>
      </c>
      <c r="G977" s="4" t="inlineStr">
        <is>
          <t>Real Estate</t>
        </is>
      </c>
    </row>
    <row r="978">
      <c r="A978" s="2" t="inlineStr">
        <is>
          <t>TXN_000879</t>
        </is>
      </c>
      <c r="B978" s="2" t="inlineStr">
        <is>
          <t>C_00266</t>
        </is>
      </c>
      <c r="C978" s="2" t="inlineStr">
        <is>
          <t>2026-03-06</t>
        </is>
      </c>
      <c r="D978" s="3" t="n">
        <v>2707.95</v>
      </c>
      <c r="E978" s="2" t="inlineStr">
        <is>
          <t>Wire Transfer</t>
        </is>
      </c>
      <c r="F978" s="2" t="inlineStr">
        <is>
          <t>US</t>
        </is>
      </c>
      <c r="G978" s="2" t="inlineStr">
        <is>
          <t>Auto</t>
        </is>
      </c>
    </row>
    <row r="979">
      <c r="A979" s="4" t="inlineStr">
        <is>
          <t>TXN_000878</t>
        </is>
      </c>
      <c r="B979" s="4" t="inlineStr">
        <is>
          <t>C_00153</t>
        </is>
      </c>
      <c r="C979" s="4" t="inlineStr">
        <is>
          <t>2026-03-06</t>
        </is>
      </c>
      <c r="D979" s="5" t="n">
        <v>738.46</v>
      </c>
      <c r="E979" s="4" t="inlineStr">
        <is>
          <t>Cash Deposit</t>
        </is>
      </c>
      <c r="F979" s="4" t="inlineStr">
        <is>
          <t>RU</t>
        </is>
      </c>
      <c r="G979" s="4" t="inlineStr">
        <is>
          <t>Auto</t>
        </is>
      </c>
    </row>
    <row r="980">
      <c r="A980" s="2" t="inlineStr">
        <is>
          <t>TXN_000877</t>
        </is>
      </c>
      <c r="B980" s="2" t="inlineStr">
        <is>
          <t>C_00160</t>
        </is>
      </c>
      <c r="C980" s="2" t="inlineStr">
        <is>
          <t>2026-03-06</t>
        </is>
      </c>
      <c r="D980" s="3" t="n">
        <v>3746.08</v>
      </c>
      <c r="E980" s="2" t="inlineStr">
        <is>
          <t>Mobile App</t>
        </is>
      </c>
      <c r="F980" s="2" t="inlineStr">
        <is>
          <t>US</t>
        </is>
      </c>
      <c r="G980" s="2" t="inlineStr">
        <is>
          <t>Money Services</t>
        </is>
      </c>
    </row>
    <row r="981">
      <c r="A981" s="4" t="inlineStr">
        <is>
          <t>TXN_000875</t>
        </is>
      </c>
      <c r="B981" s="4" t="inlineStr">
        <is>
          <t>C_00280</t>
        </is>
      </c>
      <c r="C981" s="4" t="inlineStr">
        <is>
          <t>2026-03-06</t>
        </is>
      </c>
      <c r="D981" s="5" t="n">
        <v>359.76</v>
      </c>
      <c r="E981" s="4" t="inlineStr">
        <is>
          <t>ACH</t>
        </is>
      </c>
      <c r="F981" s="4" t="inlineStr">
        <is>
          <t>RU</t>
        </is>
      </c>
      <c r="G981" s="4" t="inlineStr">
        <is>
          <t>Auto</t>
        </is>
      </c>
    </row>
    <row r="982">
      <c r="A982" s="2" t="inlineStr">
        <is>
          <t>TXN_000874</t>
        </is>
      </c>
      <c r="B982" s="2" t="inlineStr">
        <is>
          <t>C_00210</t>
        </is>
      </c>
      <c r="C982" s="2" t="inlineStr">
        <is>
          <t>2026-03-06</t>
        </is>
      </c>
      <c r="D982" s="3" t="n">
        <v>3125.08</v>
      </c>
      <c r="E982" s="2" t="inlineStr">
        <is>
          <t>Wire Transfer</t>
        </is>
      </c>
      <c r="F982" s="2" t="inlineStr">
        <is>
          <t>NG</t>
        </is>
      </c>
      <c r="G982" s="2" t="inlineStr">
        <is>
          <t>Jewelry</t>
        </is>
      </c>
    </row>
    <row r="983">
      <c r="A983" s="4" t="inlineStr">
        <is>
          <t>TXN_000873</t>
        </is>
      </c>
      <c r="B983" s="4" t="inlineStr">
        <is>
          <t>C_00099</t>
        </is>
      </c>
      <c r="C983" s="4" t="inlineStr">
        <is>
          <t>2026-03-06</t>
        </is>
      </c>
      <c r="D983" s="5" t="n">
        <v>923.67</v>
      </c>
      <c r="E983" s="4" t="inlineStr">
        <is>
          <t>Wire Transfer</t>
        </is>
      </c>
      <c r="F983" s="4" t="inlineStr">
        <is>
          <t>MX</t>
        </is>
      </c>
      <c r="G983" s="4" t="inlineStr">
        <is>
          <t>Electronics</t>
        </is>
      </c>
    </row>
    <row r="984">
      <c r="A984" s="2" t="inlineStr">
        <is>
          <t>TXN_000872</t>
        </is>
      </c>
      <c r="B984" s="2" t="inlineStr">
        <is>
          <t>C_00108</t>
        </is>
      </c>
      <c r="C984" s="2" t="inlineStr">
        <is>
          <t>2026-03-06</t>
        </is>
      </c>
      <c r="D984" s="3" t="n">
        <v>10357.04</v>
      </c>
      <c r="E984" s="2" t="inlineStr">
        <is>
          <t>Wire Transfer</t>
        </is>
      </c>
      <c r="F984" s="2" t="inlineStr">
        <is>
          <t>CN</t>
        </is>
      </c>
      <c r="G984" s="2" t="inlineStr">
        <is>
          <t>Auto</t>
        </is>
      </c>
    </row>
    <row r="985">
      <c r="A985" s="4" t="inlineStr">
        <is>
          <t>TXN_000871</t>
        </is>
      </c>
      <c r="B985" s="4" t="inlineStr">
        <is>
          <t>C_00150</t>
        </is>
      </c>
      <c r="C985" s="4" t="inlineStr">
        <is>
          <t>2026-03-06</t>
        </is>
      </c>
      <c r="D985" s="5" t="n">
        <v>19797.56</v>
      </c>
      <c r="E985" s="4" t="inlineStr">
        <is>
          <t>Cash Deposit</t>
        </is>
      </c>
      <c r="F985" s="4" t="inlineStr">
        <is>
          <t>MX</t>
        </is>
      </c>
      <c r="G985" s="4" t="inlineStr">
        <is>
          <t>Travel</t>
        </is>
      </c>
    </row>
    <row r="986">
      <c r="A986" s="2" t="inlineStr">
        <is>
          <t>TXN_000870</t>
        </is>
      </c>
      <c r="B986" s="2" t="inlineStr">
        <is>
          <t>C_00196</t>
        </is>
      </c>
      <c r="C986" s="2" t="inlineStr">
        <is>
          <t>2026-03-06</t>
        </is>
      </c>
      <c r="D986" s="3" t="n">
        <v>1145.1</v>
      </c>
      <c r="E986" s="2" t="inlineStr">
        <is>
          <t>Card</t>
        </is>
      </c>
      <c r="F986" s="2" t="inlineStr">
        <is>
          <t>US</t>
        </is>
      </c>
      <c r="G986" s="2" t="inlineStr">
        <is>
          <t>Auto</t>
        </is>
      </c>
    </row>
    <row r="987">
      <c r="A987" s="4" t="inlineStr">
        <is>
          <t>TXN_000876</t>
        </is>
      </c>
      <c r="B987" s="4" t="inlineStr">
        <is>
          <t>C_00163</t>
        </is>
      </c>
      <c r="C987" s="4" t="inlineStr">
        <is>
          <t>2026-03-06</t>
        </is>
      </c>
      <c r="D987" s="5" t="n">
        <v>528.95</v>
      </c>
      <c r="E987" s="4" t="inlineStr">
        <is>
          <t>Mobile App</t>
        </is>
      </c>
      <c r="F987" s="4" t="inlineStr">
        <is>
          <t>RU</t>
        </is>
      </c>
      <c r="G987" s="4" t="inlineStr">
        <is>
          <t>Electronics</t>
        </is>
      </c>
    </row>
    <row r="988">
      <c r="A988" s="2" t="inlineStr">
        <is>
          <t>TXN_000888</t>
        </is>
      </c>
      <c r="B988" s="2" t="inlineStr">
        <is>
          <t>C_00240</t>
        </is>
      </c>
      <c r="C988" s="2" t="inlineStr">
        <is>
          <t>2026-03-07</t>
        </is>
      </c>
      <c r="D988" s="3" t="n">
        <v>1922.2</v>
      </c>
      <c r="E988" s="2" t="inlineStr">
        <is>
          <t>Mobile App</t>
        </is>
      </c>
      <c r="F988" s="2" t="inlineStr">
        <is>
          <t>MX</t>
        </is>
      </c>
      <c r="G988" s="2" t="inlineStr">
        <is>
          <t>Crypto Exchange</t>
        </is>
      </c>
    </row>
    <row r="989">
      <c r="A989" s="4" t="inlineStr">
        <is>
          <t>TXN_000890</t>
        </is>
      </c>
      <c r="B989" s="4" t="inlineStr">
        <is>
          <t>C_00274</t>
        </is>
      </c>
      <c r="C989" s="4" t="inlineStr">
        <is>
          <t>2026-03-07</t>
        </is>
      </c>
      <c r="D989" s="5" t="n">
        <v>91604.10000000001</v>
      </c>
      <c r="E989" s="4" t="inlineStr">
        <is>
          <t>Cash Deposit</t>
        </is>
      </c>
      <c r="F989" s="4" t="inlineStr">
        <is>
          <t>RU</t>
        </is>
      </c>
      <c r="G989" s="4" t="inlineStr">
        <is>
          <t>Retail</t>
        </is>
      </c>
    </row>
    <row r="990">
      <c r="A990" s="2" t="inlineStr">
        <is>
          <t>TXN_000887</t>
        </is>
      </c>
      <c r="B990" s="2" t="inlineStr">
        <is>
          <t>C_00024</t>
        </is>
      </c>
      <c r="C990" s="2" t="inlineStr">
        <is>
          <t>2026-03-07</t>
        </is>
      </c>
      <c r="D990" s="3" t="n">
        <v>2593.43</v>
      </c>
      <c r="E990" s="2" t="inlineStr">
        <is>
          <t>Card</t>
        </is>
      </c>
      <c r="F990" s="2" t="inlineStr">
        <is>
          <t>US</t>
        </is>
      </c>
      <c r="G990" s="2" t="inlineStr">
        <is>
          <t>Money Services</t>
        </is>
      </c>
    </row>
    <row r="991">
      <c r="A991" s="4" t="inlineStr">
        <is>
          <t>TXN_000889</t>
        </is>
      </c>
      <c r="B991" s="4" t="inlineStr">
        <is>
          <t>C_00248</t>
        </is>
      </c>
      <c r="C991" s="4" t="inlineStr">
        <is>
          <t>2026-03-07</t>
        </is>
      </c>
      <c r="D991" s="5" t="n">
        <v>14227.48</v>
      </c>
      <c r="E991" s="4" t="inlineStr">
        <is>
          <t>Card</t>
        </is>
      </c>
      <c r="F991" s="4" t="inlineStr">
        <is>
          <t>AE</t>
        </is>
      </c>
      <c r="G991" s="4" t="inlineStr">
        <is>
          <t>Real Estate</t>
        </is>
      </c>
    </row>
    <row r="992">
      <c r="A992" s="2" t="inlineStr">
        <is>
          <t>TXN_000885</t>
        </is>
      </c>
      <c r="B992" s="2" t="inlineStr">
        <is>
          <t>C_00091</t>
        </is>
      </c>
      <c r="C992" s="2" t="inlineStr">
        <is>
          <t>2026-03-07</t>
        </is>
      </c>
      <c r="D992" s="3" t="n">
        <v>23019.5</v>
      </c>
      <c r="E992" s="2" t="inlineStr">
        <is>
          <t>Card</t>
        </is>
      </c>
      <c r="F992" s="2" t="inlineStr">
        <is>
          <t>US</t>
        </is>
      </c>
      <c r="G992" s="2" t="inlineStr">
        <is>
          <t>Real Estate</t>
        </is>
      </c>
    </row>
    <row r="993">
      <c r="A993" s="4" t="inlineStr">
        <is>
          <t>TXN_000886</t>
        </is>
      </c>
      <c r="B993" s="4" t="inlineStr">
        <is>
          <t>C_ORPHAN_005</t>
        </is>
      </c>
      <c r="C993" s="4" t="inlineStr">
        <is>
          <t>2026-03-07</t>
        </is>
      </c>
      <c r="D993" s="5" t="n">
        <v>5246.14</v>
      </c>
      <c r="E993" s="4" t="inlineStr">
        <is>
          <t>Wire Transfer</t>
        </is>
      </c>
      <c r="F993" s="4" t="inlineStr">
        <is>
          <t>US</t>
        </is>
      </c>
      <c r="G993" s="4" t="inlineStr">
        <is>
          <t>Real Estate</t>
        </is>
      </c>
    </row>
    <row r="994">
      <c r="A994" s="2" t="inlineStr">
        <is>
          <t>TXN_000884</t>
        </is>
      </c>
      <c r="B994" s="2" t="inlineStr">
        <is>
          <t>C_00069</t>
        </is>
      </c>
      <c r="C994" s="2" t="inlineStr">
        <is>
          <t>2026-03-07</t>
        </is>
      </c>
      <c r="D994" s="3" t="n">
        <v>2649.03</v>
      </c>
      <c r="E994" s="2" t="inlineStr">
        <is>
          <t>Cash Deposit</t>
        </is>
      </c>
      <c r="F994" s="2" t="inlineStr">
        <is>
          <t>US</t>
        </is>
      </c>
      <c r="G994" s="2" t="inlineStr">
        <is>
          <t>Crypto Exchange</t>
        </is>
      </c>
    </row>
    <row r="995">
      <c r="A995" s="4" t="inlineStr">
        <is>
          <t>TXN_000883</t>
        </is>
      </c>
      <c r="B995" s="4" t="inlineStr">
        <is>
          <t>C_00234</t>
        </is>
      </c>
      <c r="C995" s="4" t="inlineStr">
        <is>
          <t>2026-03-07</t>
        </is>
      </c>
      <c r="D995" s="5" t="n">
        <v>657.37</v>
      </c>
      <c r="E995" s="4" t="inlineStr">
        <is>
          <t>Cash Deposit</t>
        </is>
      </c>
      <c r="F995" s="4" t="inlineStr">
        <is>
          <t>MX</t>
        </is>
      </c>
      <c r="G995" s="4" t="inlineStr">
        <is>
          <t>Jewelry</t>
        </is>
      </c>
    </row>
    <row r="996">
      <c r="A996" s="2" t="inlineStr">
        <is>
          <t>TXN_000900</t>
        </is>
      </c>
      <c r="B996" s="2" t="inlineStr">
        <is>
          <t>C_00270</t>
        </is>
      </c>
      <c r="C996" s="2" t="inlineStr">
        <is>
          <t>2026-03-08</t>
        </is>
      </c>
      <c r="D996" s="3" t="n">
        <v>1032.62</v>
      </c>
      <c r="E996" s="2" t="inlineStr">
        <is>
          <t>Mobile App</t>
        </is>
      </c>
      <c r="F996" s="2" t="inlineStr">
        <is>
          <t>US</t>
        </is>
      </c>
      <c r="G996" s="2" t="inlineStr">
        <is>
          <t>Jewelry</t>
        </is>
      </c>
    </row>
    <row r="997">
      <c r="A997" s="4" t="inlineStr">
        <is>
          <t>TXN_000899</t>
        </is>
      </c>
      <c r="B997" s="4" t="inlineStr">
        <is>
          <t>C_00196</t>
        </is>
      </c>
      <c r="C997" s="4" t="inlineStr">
        <is>
          <t>2026-03-08</t>
        </is>
      </c>
      <c r="D997" s="5" t="n">
        <v>11085.17</v>
      </c>
      <c r="E997" s="4" t="inlineStr">
        <is>
          <t>Card</t>
        </is>
      </c>
      <c r="F997" s="4" t="inlineStr">
        <is>
          <t>AE</t>
        </is>
      </c>
      <c r="G997" s="4" t="inlineStr">
        <is>
          <t>Electronics</t>
        </is>
      </c>
    </row>
    <row r="998">
      <c r="A998" s="2" t="inlineStr">
        <is>
          <t>TXN_000898</t>
        </is>
      </c>
      <c r="B998" s="2" t="inlineStr">
        <is>
          <t>C_00088</t>
        </is>
      </c>
      <c r="C998" s="2" t="inlineStr">
        <is>
          <t>2026-03-08</t>
        </is>
      </c>
      <c r="D998" s="3" t="n">
        <v>700.1900000000001</v>
      </c>
      <c r="E998" s="2" t="inlineStr">
        <is>
          <t>Card</t>
        </is>
      </c>
      <c r="F998" s="2" t="inlineStr">
        <is>
          <t>CA</t>
        </is>
      </c>
      <c r="G998" s="2" t="inlineStr">
        <is>
          <t>Real Estate</t>
        </is>
      </c>
    </row>
    <row r="999">
      <c r="A999" s="4" t="inlineStr">
        <is>
          <t>TXN_000897</t>
        </is>
      </c>
      <c r="B999" s="4" t="inlineStr">
        <is>
          <t>C_00300</t>
        </is>
      </c>
      <c r="C999" s="4" t="inlineStr">
        <is>
          <t>2026-03-08</t>
        </is>
      </c>
      <c r="D999" s="5" t="n">
        <v>1311.26</v>
      </c>
      <c r="E999" s="4" t="inlineStr">
        <is>
          <t>Wire Transfer</t>
        </is>
      </c>
      <c r="F999" s="4" t="inlineStr">
        <is>
          <t>NG</t>
        </is>
      </c>
      <c r="G999" s="4" t="inlineStr">
        <is>
          <t>Retail</t>
        </is>
      </c>
    </row>
    <row r="1000">
      <c r="A1000" s="2" t="inlineStr">
        <is>
          <t>TXN_000891</t>
        </is>
      </c>
      <c r="B1000" s="2" t="inlineStr">
        <is>
          <t>C_00026</t>
        </is>
      </c>
      <c r="C1000" s="2" t="inlineStr">
        <is>
          <t>2026-03-08</t>
        </is>
      </c>
      <c r="D1000" s="3" t="n">
        <v>810.74</v>
      </c>
      <c r="E1000" s="2" t="inlineStr">
        <is>
          <t>Card</t>
        </is>
      </c>
      <c r="F1000" s="2" t="inlineStr">
        <is>
          <t>US</t>
        </is>
      </c>
      <c r="G1000" s="2" t="inlineStr">
        <is>
          <t>Healthcare</t>
        </is>
      </c>
    </row>
    <row r="1001">
      <c r="A1001" s="4" t="inlineStr">
        <is>
          <t>TXN_000895</t>
        </is>
      </c>
      <c r="B1001" s="4" t="inlineStr">
        <is>
          <t>C_00044</t>
        </is>
      </c>
      <c r="C1001" s="4" t="inlineStr">
        <is>
          <t>2026-03-08</t>
        </is>
      </c>
      <c r="D1001" s="5" t="n">
        <v>513.73</v>
      </c>
      <c r="E1001" s="4" t="inlineStr">
        <is>
          <t>ACH</t>
        </is>
      </c>
      <c r="F1001" s="4" t="inlineStr">
        <is>
          <t>US</t>
        </is>
      </c>
      <c r="G1001" s="4" t="inlineStr">
        <is>
          <t>Healthcare</t>
        </is>
      </c>
    </row>
    <row r="1002">
      <c r="A1002" s="2" t="inlineStr">
        <is>
          <t>TXN_000894</t>
        </is>
      </c>
      <c r="B1002" s="2" t="inlineStr">
        <is>
          <t>C_00184</t>
        </is>
      </c>
      <c r="C1002" s="2" t="inlineStr">
        <is>
          <t>2026-03-08</t>
        </is>
      </c>
      <c r="D1002" s="3" t="n">
        <v>1876.87</v>
      </c>
      <c r="E1002" s="2" t="inlineStr">
        <is>
          <t>Mobile App</t>
        </is>
      </c>
      <c r="F1002" s="2" t="inlineStr">
        <is>
          <t>US</t>
        </is>
      </c>
      <c r="G1002" s="2" t="inlineStr">
        <is>
          <t>Food &amp; Beverage</t>
        </is>
      </c>
    </row>
    <row r="1003">
      <c r="A1003" s="4" t="inlineStr">
        <is>
          <t>TXN_000893</t>
        </is>
      </c>
      <c r="B1003" s="4" t="inlineStr">
        <is>
          <t>C_00211</t>
        </is>
      </c>
      <c r="C1003" s="4" t="inlineStr">
        <is>
          <t>2026-03-08</t>
        </is>
      </c>
      <c r="D1003" s="5" t="n">
        <v>2310.5</v>
      </c>
      <c r="E1003" s="4" t="inlineStr">
        <is>
          <t>Wire Transfer</t>
        </is>
      </c>
      <c r="F1003" s="4" t="inlineStr">
        <is>
          <t>US</t>
        </is>
      </c>
      <c r="G1003" s="4" t="inlineStr">
        <is>
          <t>Retail</t>
        </is>
      </c>
    </row>
    <row r="1004">
      <c r="A1004" s="2" t="inlineStr">
        <is>
          <t>TXN_000892</t>
        </is>
      </c>
      <c r="B1004" s="2" t="inlineStr">
        <is>
          <t>C_00202</t>
        </is>
      </c>
      <c r="C1004" s="2" t="inlineStr">
        <is>
          <t>2026-03-08</t>
        </is>
      </c>
      <c r="D1004" s="3" t="n">
        <v>570.67</v>
      </c>
      <c r="E1004" s="2" t="inlineStr">
        <is>
          <t>Mobile App</t>
        </is>
      </c>
      <c r="F1004" s="2" t="inlineStr">
        <is>
          <t>US</t>
        </is>
      </c>
      <c r="G1004" s="2" t="inlineStr">
        <is>
          <t>Jewelry</t>
        </is>
      </c>
    </row>
    <row r="1005">
      <c r="A1005" s="4" t="inlineStr">
        <is>
          <t>TXN_000896</t>
        </is>
      </c>
      <c r="B1005" s="4" t="inlineStr">
        <is>
          <t>C_00148</t>
        </is>
      </c>
      <c r="C1005" s="4" t="inlineStr">
        <is>
          <t>2026-03-08</t>
        </is>
      </c>
      <c r="D1005" s="5" t="n">
        <v>2341.19</v>
      </c>
      <c r="E1005" s="4" t="inlineStr">
        <is>
          <t>Mobile App</t>
        </is>
      </c>
      <c r="F1005" s="4" t="inlineStr">
        <is>
          <t>MX</t>
        </is>
      </c>
      <c r="G1005" s="4" t="inlineStr">
        <is>
          <t>Auto</t>
        </is>
      </c>
    </row>
    <row r="1006">
      <c r="A1006" s="2" t="inlineStr">
        <is>
          <t>TXN_000912</t>
        </is>
      </c>
      <c r="B1006" s="2" t="inlineStr">
        <is>
          <t>C_00196</t>
        </is>
      </c>
      <c r="C1006" s="2" t="inlineStr">
        <is>
          <t>2026-03-09</t>
        </is>
      </c>
      <c r="D1006" s="3" t="n">
        <v>1904.81</v>
      </c>
      <c r="E1006" s="2" t="inlineStr">
        <is>
          <t>ACH</t>
        </is>
      </c>
      <c r="F1006" s="2" t="inlineStr">
        <is>
          <t>US</t>
        </is>
      </c>
      <c r="G1006" s="2" t="inlineStr">
        <is>
          <t>Retail</t>
        </is>
      </c>
    </row>
    <row r="1007">
      <c r="A1007" s="4" t="inlineStr">
        <is>
          <t>TXN_000911</t>
        </is>
      </c>
      <c r="B1007" s="4" t="inlineStr">
        <is>
          <t>C_00158</t>
        </is>
      </c>
      <c r="C1007" s="4" t="inlineStr">
        <is>
          <t>2026-03-09</t>
        </is>
      </c>
      <c r="D1007" s="5" t="n">
        <v>2706.73</v>
      </c>
      <c r="E1007" s="4" t="inlineStr">
        <is>
          <t>ACH</t>
        </is>
      </c>
      <c r="F1007" s="4" t="inlineStr">
        <is>
          <t>RU</t>
        </is>
      </c>
      <c r="G1007" s="4" t="inlineStr">
        <is>
          <t>Money Services</t>
        </is>
      </c>
    </row>
    <row r="1008">
      <c r="A1008" s="2" t="inlineStr">
        <is>
          <t>TXN_000910</t>
        </is>
      </c>
      <c r="B1008" s="2" t="inlineStr">
        <is>
          <t>C_00175</t>
        </is>
      </c>
      <c r="C1008" s="2" t="inlineStr">
        <is>
          <t>2026-03-09</t>
        </is>
      </c>
      <c r="D1008" s="3" t="n">
        <v>1830.41</v>
      </c>
      <c r="E1008" s="2" t="inlineStr">
        <is>
          <t>Mobile App</t>
        </is>
      </c>
      <c r="F1008" s="2" t="inlineStr">
        <is>
          <t>US</t>
        </is>
      </c>
      <c r="G1008" s="2" t="inlineStr">
        <is>
          <t>Auto</t>
        </is>
      </c>
    </row>
    <row r="1009">
      <c r="A1009" s="4" t="inlineStr">
        <is>
          <t>TXN_000909</t>
        </is>
      </c>
      <c r="B1009" s="4" t="inlineStr">
        <is>
          <t>C_00163</t>
        </is>
      </c>
      <c r="C1009" s="4" t="inlineStr">
        <is>
          <t>2026-03-09</t>
        </is>
      </c>
      <c r="D1009" s="5" t="n">
        <v>1062.05</v>
      </c>
      <c r="E1009" s="4" t="inlineStr">
        <is>
          <t>Wire Transfer</t>
        </is>
      </c>
      <c r="F1009" s="4" t="inlineStr">
        <is>
          <t>AE</t>
        </is>
      </c>
      <c r="G1009" s="4" t="inlineStr">
        <is>
          <t>Jewelry</t>
        </is>
      </c>
    </row>
    <row r="1010">
      <c r="A1010" s="2" t="inlineStr">
        <is>
          <t>TXN_000908</t>
        </is>
      </c>
      <c r="B1010" s="2" t="inlineStr">
        <is>
          <t>C_00114</t>
        </is>
      </c>
      <c r="C1010" s="2" t="inlineStr">
        <is>
          <t>2026-03-09</t>
        </is>
      </c>
      <c r="D1010" s="3" t="n">
        <v>1321.2</v>
      </c>
      <c r="E1010" s="2" t="inlineStr">
        <is>
          <t>Wire Transfer</t>
        </is>
      </c>
      <c r="F1010" s="2" t="inlineStr">
        <is>
          <t>RU</t>
        </is>
      </c>
      <c r="G1010" s="2" t="inlineStr">
        <is>
          <t>Money Services</t>
        </is>
      </c>
    </row>
    <row r="1011">
      <c r="A1011" s="4" t="inlineStr">
        <is>
          <t>TXN_000905</t>
        </is>
      </c>
      <c r="B1011" s="4" t="inlineStr">
        <is>
          <t>C_00161</t>
        </is>
      </c>
      <c r="C1011" s="4" t="inlineStr">
        <is>
          <t>2026-03-09</t>
        </is>
      </c>
      <c r="D1011" s="5" t="n">
        <v>1104.99</v>
      </c>
      <c r="E1011" s="4" t="inlineStr">
        <is>
          <t>ACH</t>
        </is>
      </c>
      <c r="F1011" s="4" t="inlineStr">
        <is>
          <t>US</t>
        </is>
      </c>
      <c r="G1011" s="4" t="inlineStr">
        <is>
          <t>Money Services</t>
        </is>
      </c>
    </row>
    <row r="1012">
      <c r="A1012" s="2" t="inlineStr">
        <is>
          <t>TXN_000906</t>
        </is>
      </c>
      <c r="B1012" s="2" t="inlineStr">
        <is>
          <t>C_00171</t>
        </is>
      </c>
      <c r="C1012" s="2" t="inlineStr">
        <is>
          <t>2026-03-09</t>
        </is>
      </c>
      <c r="D1012" s="3" t="n">
        <v>1546.16</v>
      </c>
      <c r="E1012" s="2" t="inlineStr">
        <is>
          <t>ACH</t>
        </is>
      </c>
      <c r="F1012" s="2" t="inlineStr">
        <is>
          <t>US</t>
        </is>
      </c>
      <c r="G1012" s="2" t="inlineStr">
        <is>
          <t>Electronics</t>
        </is>
      </c>
    </row>
    <row r="1013">
      <c r="A1013" s="4" t="inlineStr">
        <is>
          <t>TXN_000904</t>
        </is>
      </c>
      <c r="B1013" s="4" t="inlineStr">
        <is>
          <t>C_00104</t>
        </is>
      </c>
      <c r="C1013" s="4" t="inlineStr">
        <is>
          <t>2026-03-09</t>
        </is>
      </c>
      <c r="D1013" s="5" t="n">
        <v>9800.01</v>
      </c>
      <c r="E1013" s="4" t="inlineStr">
        <is>
          <t>ACH</t>
        </is>
      </c>
      <c r="F1013" s="4" t="inlineStr">
        <is>
          <t>US</t>
        </is>
      </c>
      <c r="G1013" s="4" t="inlineStr">
        <is>
          <t>Auto</t>
        </is>
      </c>
    </row>
    <row r="1014">
      <c r="A1014" s="2" t="inlineStr">
        <is>
          <t>TXN_000903</t>
        </is>
      </c>
      <c r="B1014" s="2" t="inlineStr">
        <is>
          <t>C_00224</t>
        </is>
      </c>
      <c r="C1014" s="2" t="inlineStr">
        <is>
          <t>2026-03-09</t>
        </is>
      </c>
      <c r="D1014" s="3" t="n">
        <v>4534.28</v>
      </c>
      <c r="E1014" s="2" t="inlineStr">
        <is>
          <t>Mobile App</t>
        </is>
      </c>
      <c r="F1014" s="2" t="inlineStr">
        <is>
          <t>US</t>
        </is>
      </c>
      <c r="G1014" s="2" t="inlineStr">
        <is>
          <t>Electronics</t>
        </is>
      </c>
    </row>
    <row r="1015">
      <c r="A1015" s="4" t="inlineStr">
        <is>
          <t>TXN_000902</t>
        </is>
      </c>
      <c r="B1015" s="4" t="inlineStr">
        <is>
          <t>C_00284</t>
        </is>
      </c>
      <c r="C1015" s="4" t="inlineStr">
        <is>
          <t>2026-03-09</t>
        </is>
      </c>
      <c r="D1015" s="5" t="n">
        <v>2903.06</v>
      </c>
      <c r="E1015" s="4" t="inlineStr">
        <is>
          <t>Cash Deposit</t>
        </is>
      </c>
      <c r="F1015" s="4" t="inlineStr">
        <is>
          <t>MX</t>
        </is>
      </c>
      <c r="G1015" s="4" t="inlineStr">
        <is>
          <t>Money Services</t>
        </is>
      </c>
    </row>
    <row r="1016">
      <c r="A1016" s="2" t="inlineStr">
        <is>
          <t>TXN_000913</t>
        </is>
      </c>
      <c r="B1016" s="2" t="inlineStr">
        <is>
          <t>C_ORPHAN_014</t>
        </is>
      </c>
      <c r="C1016" s="2" t="inlineStr">
        <is>
          <t>2026-03-09</t>
        </is>
      </c>
      <c r="D1016" s="3" t="n">
        <v>3773.1</v>
      </c>
      <c r="E1016" s="2" t="inlineStr">
        <is>
          <t>Cash Deposit</t>
        </is>
      </c>
      <c r="F1016" s="2" t="inlineStr">
        <is>
          <t>CN</t>
        </is>
      </c>
      <c r="G1016" s="2" t="inlineStr">
        <is>
          <t>Food &amp; Beverage</t>
        </is>
      </c>
    </row>
    <row r="1017">
      <c r="A1017" s="4" t="inlineStr">
        <is>
          <t>TXN_000907</t>
        </is>
      </c>
      <c r="B1017" s="4" t="inlineStr">
        <is>
          <t>C_00034</t>
        </is>
      </c>
      <c r="C1017" s="4" t="inlineStr">
        <is>
          <t>2026-03-09</t>
        </is>
      </c>
      <c r="D1017" s="5" t="n">
        <v>639.8</v>
      </c>
      <c r="E1017" s="4" t="inlineStr">
        <is>
          <t>ACH</t>
        </is>
      </c>
      <c r="F1017" s="4" t="inlineStr">
        <is>
          <t>CN</t>
        </is>
      </c>
      <c r="G1017" s="4" t="inlineStr">
        <is>
          <t>Food &amp; Beverage</t>
        </is>
      </c>
    </row>
    <row r="1018">
      <c r="A1018" s="2" t="inlineStr">
        <is>
          <t>TXN_000901</t>
        </is>
      </c>
      <c r="B1018" s="2" t="inlineStr">
        <is>
          <t>C_00031</t>
        </is>
      </c>
      <c r="C1018" s="2" t="inlineStr">
        <is>
          <t>2026-03-09</t>
        </is>
      </c>
      <c r="D1018" s="3" t="n">
        <v>7255.85</v>
      </c>
      <c r="E1018" s="2" t="inlineStr">
        <is>
          <t>ACH</t>
        </is>
      </c>
      <c r="F1018" s="2" t="inlineStr">
        <is>
          <t>MX</t>
        </is>
      </c>
      <c r="G1018" s="2" t="inlineStr">
        <is>
          <t>Electronics</t>
        </is>
      </c>
    </row>
    <row r="1019">
      <c r="A1019" s="4" t="inlineStr">
        <is>
          <t>TXN_000914</t>
        </is>
      </c>
      <c r="B1019" s="4" t="inlineStr">
        <is>
          <t>C_00088</t>
        </is>
      </c>
      <c r="C1019" s="4" t="inlineStr">
        <is>
          <t>2026-03-09</t>
        </is>
      </c>
      <c r="D1019" s="5" t="n">
        <v>765.84</v>
      </c>
      <c r="E1019" s="4" t="inlineStr">
        <is>
          <t>ACH</t>
        </is>
      </c>
      <c r="F1019" s="4" t="inlineStr">
        <is>
          <t>US</t>
        </is>
      </c>
      <c r="G1019" s="4" t="inlineStr">
        <is>
          <t>Real Estate</t>
        </is>
      </c>
    </row>
    <row r="1020">
      <c r="A1020" s="2" t="inlineStr">
        <is>
          <t>TXN_000915</t>
        </is>
      </c>
      <c r="B1020" s="2" t="inlineStr">
        <is>
          <t>C_00180</t>
        </is>
      </c>
      <c r="C1020" s="2" t="inlineStr">
        <is>
          <t>2026-03-09</t>
        </is>
      </c>
      <c r="D1020" s="3" t="n">
        <v>590</v>
      </c>
      <c r="E1020" s="2" t="inlineStr">
        <is>
          <t>Wire Transfer</t>
        </is>
      </c>
      <c r="F1020" s="2" t="inlineStr">
        <is>
          <t>US</t>
        </is>
      </c>
      <c r="G1020" s="2" t="inlineStr">
        <is>
          <t>Retail</t>
        </is>
      </c>
    </row>
    <row r="1021">
      <c r="A1021" s="4" t="inlineStr">
        <is>
          <t>TXN_000916</t>
        </is>
      </c>
      <c r="B1021" s="4" t="inlineStr">
        <is>
          <t>C_00049</t>
        </is>
      </c>
      <c r="C1021" s="4" t="inlineStr">
        <is>
          <t>2026-03-10</t>
        </is>
      </c>
      <c r="D1021" s="5" t="n">
        <v>16387.5</v>
      </c>
      <c r="E1021" s="4" t="inlineStr">
        <is>
          <t>ACH</t>
        </is>
      </c>
      <c r="F1021" s="4" t="inlineStr">
        <is>
          <t>US</t>
        </is>
      </c>
      <c r="G1021" s="4" t="inlineStr">
        <is>
          <t>Electronics</t>
        </is>
      </c>
    </row>
    <row r="1022">
      <c r="A1022" s="2" t="inlineStr">
        <is>
          <t>TXN_000927</t>
        </is>
      </c>
      <c r="B1022" s="2" t="inlineStr">
        <is>
          <t>C_00272</t>
        </is>
      </c>
      <c r="C1022" s="2" t="inlineStr">
        <is>
          <t>2026-03-10</t>
        </is>
      </c>
      <c r="D1022" s="3" t="n">
        <v>5170.82</v>
      </c>
      <c r="E1022" s="2" t="inlineStr">
        <is>
          <t>ACH</t>
        </is>
      </c>
      <c r="F1022" s="2" t="inlineStr">
        <is>
          <t>MX</t>
        </is>
      </c>
      <c r="G1022" s="2" t="inlineStr">
        <is>
          <t>Healthcare</t>
        </is>
      </c>
    </row>
    <row r="1023">
      <c r="A1023" s="4" t="inlineStr">
        <is>
          <t>TXN_000926</t>
        </is>
      </c>
      <c r="B1023" s="4" t="inlineStr">
        <is>
          <t>C_00042</t>
        </is>
      </c>
      <c r="C1023" s="4" t="inlineStr">
        <is>
          <t>2026-03-10</t>
        </is>
      </c>
      <c r="D1023" s="5" t="n">
        <v>279.88</v>
      </c>
      <c r="E1023" s="4" t="inlineStr">
        <is>
          <t>Wire Transfer</t>
        </is>
      </c>
      <c r="F1023" s="4" t="inlineStr">
        <is>
          <t>US</t>
        </is>
      </c>
      <c r="G1023" s="4" t="inlineStr">
        <is>
          <t>Crypto Exchange</t>
        </is>
      </c>
    </row>
    <row r="1024">
      <c r="A1024" s="2" t="inlineStr">
        <is>
          <t>TXN_000925</t>
        </is>
      </c>
      <c r="B1024" s="2" t="inlineStr">
        <is>
          <t>C_00271</t>
        </is>
      </c>
      <c r="C1024" s="2" t="inlineStr">
        <is>
          <t>2026-03-10</t>
        </is>
      </c>
      <c r="D1024" s="3" t="n">
        <v>3096.33</v>
      </c>
      <c r="E1024" s="2" t="inlineStr">
        <is>
          <t>ACH</t>
        </is>
      </c>
      <c r="F1024" s="2" t="inlineStr">
        <is>
          <t>US</t>
        </is>
      </c>
      <c r="G1024" s="2" t="inlineStr">
        <is>
          <t>Travel</t>
        </is>
      </c>
    </row>
    <row r="1025">
      <c r="A1025" s="4" t="inlineStr">
        <is>
          <t>TXN_000923</t>
        </is>
      </c>
      <c r="B1025" s="4" t="inlineStr">
        <is>
          <t>C_00203</t>
        </is>
      </c>
      <c r="C1025" s="4" t="inlineStr">
        <is>
          <t>2026-03-10</t>
        </is>
      </c>
      <c r="D1025" s="5" t="n">
        <v>1056.33</v>
      </c>
      <c r="E1025" s="4" t="inlineStr">
        <is>
          <t>Cash Deposit</t>
        </is>
      </c>
      <c r="F1025" s="4" t="inlineStr">
        <is>
          <t>US</t>
        </is>
      </c>
      <c r="G1025" s="4" t="inlineStr">
        <is>
          <t>Healthcare</t>
        </is>
      </c>
    </row>
    <row r="1026">
      <c r="A1026" s="2" t="inlineStr">
        <is>
          <t>TXN_000924</t>
        </is>
      </c>
      <c r="B1026" s="2" t="inlineStr">
        <is>
          <t>C_00263</t>
        </is>
      </c>
      <c r="C1026" s="2" t="inlineStr">
        <is>
          <t>2026-03-10</t>
        </is>
      </c>
      <c r="D1026" s="3" t="n">
        <v>1160.21</v>
      </c>
      <c r="E1026" s="2" t="inlineStr">
        <is>
          <t>Wire Transfer</t>
        </is>
      </c>
      <c r="F1026" s="2" t="inlineStr">
        <is>
          <t>US</t>
        </is>
      </c>
      <c r="G1026" s="2" t="inlineStr">
        <is>
          <t>Crypto Exchange</t>
        </is>
      </c>
    </row>
    <row r="1027">
      <c r="A1027" s="4" t="inlineStr">
        <is>
          <t>TXN_000921</t>
        </is>
      </c>
      <c r="B1027" s="4" t="inlineStr">
        <is>
          <t>C_00272</t>
        </is>
      </c>
      <c r="C1027" s="4" t="inlineStr">
        <is>
          <t>2026-03-10</t>
        </is>
      </c>
      <c r="D1027" s="5" t="n">
        <v>1422.89</v>
      </c>
      <c r="E1027" s="4" t="inlineStr">
        <is>
          <t>Card</t>
        </is>
      </c>
      <c r="F1027" s="4" t="inlineStr">
        <is>
          <t>US</t>
        </is>
      </c>
      <c r="G1027" s="4" t="inlineStr">
        <is>
          <t>Real Estate</t>
        </is>
      </c>
    </row>
    <row r="1028">
      <c r="A1028" s="2" t="inlineStr">
        <is>
          <t>TXN_000920</t>
        </is>
      </c>
      <c r="B1028" s="2" t="inlineStr">
        <is>
          <t>C_00226</t>
        </is>
      </c>
      <c r="C1028" s="2" t="inlineStr">
        <is>
          <t>2026-03-10</t>
        </is>
      </c>
      <c r="D1028" s="3" t="n">
        <v>618.62</v>
      </c>
      <c r="E1028" s="2" t="inlineStr">
        <is>
          <t>Wire Transfer</t>
        </is>
      </c>
      <c r="F1028" s="2" t="inlineStr">
        <is>
          <t>NG</t>
        </is>
      </c>
      <c r="G1028" s="2" t="inlineStr">
        <is>
          <t>Healthcare</t>
        </is>
      </c>
    </row>
    <row r="1029">
      <c r="A1029" s="4" t="inlineStr">
        <is>
          <t>TXN_000919</t>
        </is>
      </c>
      <c r="B1029" s="4" t="inlineStr">
        <is>
          <t>C_00274</t>
        </is>
      </c>
      <c r="C1029" s="4" t="inlineStr">
        <is>
          <t>2026-03-10</t>
        </is>
      </c>
      <c r="D1029" s="5" t="n">
        <v>1640.36</v>
      </c>
      <c r="E1029" s="4" t="inlineStr">
        <is>
          <t>Cash Deposit</t>
        </is>
      </c>
      <c r="F1029" s="4" t="inlineStr">
        <is>
          <t>CA</t>
        </is>
      </c>
      <c r="G1029" s="4" t="inlineStr">
        <is>
          <t>Jewelry</t>
        </is>
      </c>
    </row>
    <row r="1030">
      <c r="A1030" s="2" t="inlineStr">
        <is>
          <t>TXN_000918</t>
        </is>
      </c>
      <c r="B1030" s="2" t="inlineStr">
        <is>
          <t>C_00098</t>
        </is>
      </c>
      <c r="C1030" s="2" t="inlineStr">
        <is>
          <t>2026-03-10</t>
        </is>
      </c>
      <c r="D1030" s="3" t="n">
        <v>1872.16</v>
      </c>
      <c r="E1030" s="2" t="inlineStr">
        <is>
          <t>ACH</t>
        </is>
      </c>
      <c r="F1030" s="2" t="inlineStr">
        <is>
          <t>RU</t>
        </is>
      </c>
      <c r="G1030" s="2" t="inlineStr">
        <is>
          <t>Healthcare</t>
        </is>
      </c>
    </row>
    <row r="1031">
      <c r="A1031" s="4" t="inlineStr">
        <is>
          <t>TXN_000917</t>
        </is>
      </c>
      <c r="B1031" s="4" t="inlineStr">
        <is>
          <t>C_00128</t>
        </is>
      </c>
      <c r="C1031" s="4" t="inlineStr">
        <is>
          <t>2026-03-10</t>
        </is>
      </c>
      <c r="D1031" s="5" t="n">
        <v>3614.83</v>
      </c>
      <c r="E1031" s="4" t="inlineStr">
        <is>
          <t>ACH</t>
        </is>
      </c>
      <c r="F1031" s="4" t="inlineStr">
        <is>
          <t>US</t>
        </is>
      </c>
      <c r="G1031" s="4" t="inlineStr">
        <is>
          <t>Real Estate</t>
        </is>
      </c>
    </row>
    <row r="1032">
      <c r="A1032" s="2" t="inlineStr">
        <is>
          <t>TXN_000922</t>
        </is>
      </c>
      <c r="B1032" s="2" t="inlineStr">
        <is>
          <t>C_00209</t>
        </is>
      </c>
      <c r="C1032" s="2" t="inlineStr">
        <is>
          <t>2026-03-10</t>
        </is>
      </c>
      <c r="D1032" s="3" t="n">
        <v>527.0599999999999</v>
      </c>
      <c r="E1032" s="2" t="inlineStr">
        <is>
          <t>Cash Deposit</t>
        </is>
      </c>
      <c r="F1032" s="2" t="inlineStr">
        <is>
          <t>RU</t>
        </is>
      </c>
      <c r="G1032" s="2" t="inlineStr">
        <is>
          <t>Auto</t>
        </is>
      </c>
    </row>
    <row r="1033">
      <c r="A1033" s="4" t="inlineStr">
        <is>
          <t>TXN_000936</t>
        </is>
      </c>
      <c r="B1033" s="4" t="inlineStr">
        <is>
          <t>C_00085</t>
        </is>
      </c>
      <c r="C1033" s="4" t="inlineStr">
        <is>
          <t>2026-03-11</t>
        </is>
      </c>
      <c r="D1033" s="5" t="n">
        <v>4427.99</v>
      </c>
      <c r="E1033" s="4" t="inlineStr">
        <is>
          <t>ACH</t>
        </is>
      </c>
      <c r="F1033" s="4" t="inlineStr">
        <is>
          <t>US</t>
        </is>
      </c>
      <c r="G1033" s="4" t="inlineStr">
        <is>
          <t>Travel</t>
        </is>
      </c>
    </row>
    <row r="1034">
      <c r="A1034" s="2" t="inlineStr">
        <is>
          <t>TXN_000939</t>
        </is>
      </c>
      <c r="B1034" s="2" t="inlineStr">
        <is>
          <t>C_00291</t>
        </is>
      </c>
      <c r="C1034" s="2" t="inlineStr">
        <is>
          <t>2026-03-11</t>
        </is>
      </c>
      <c r="D1034" s="3" t="n">
        <v>542.04</v>
      </c>
      <c r="E1034" s="2" t="inlineStr">
        <is>
          <t>Card</t>
        </is>
      </c>
      <c r="F1034" s="2" t="inlineStr">
        <is>
          <t>US</t>
        </is>
      </c>
      <c r="G1034" s="2" t="inlineStr">
        <is>
          <t>Electronics</t>
        </is>
      </c>
    </row>
    <row r="1035">
      <c r="A1035" s="4" t="inlineStr">
        <is>
          <t>TXN_000938</t>
        </is>
      </c>
      <c r="B1035" s="4" t="inlineStr">
        <is>
          <t>C_00280</t>
        </is>
      </c>
      <c r="C1035" s="4" t="inlineStr">
        <is>
          <t>2026-03-11</t>
        </is>
      </c>
      <c r="D1035" s="5" t="n">
        <v>7241.69</v>
      </c>
      <c r="E1035" s="4" t="inlineStr">
        <is>
          <t>Mobile App</t>
        </is>
      </c>
      <c r="F1035" s="4" t="inlineStr">
        <is>
          <t>US</t>
        </is>
      </c>
      <c r="G1035" s="4" t="inlineStr">
        <is>
          <t>Electronics</t>
        </is>
      </c>
    </row>
    <row r="1036">
      <c r="A1036" s="2" t="inlineStr">
        <is>
          <t>TXN_000937</t>
        </is>
      </c>
      <c r="B1036" s="2" t="inlineStr">
        <is>
          <t>C_00295</t>
        </is>
      </c>
      <c r="C1036" s="2" t="inlineStr">
        <is>
          <t>2026-03-11</t>
        </is>
      </c>
      <c r="D1036" s="3" t="n">
        <v>7968.07</v>
      </c>
      <c r="E1036" s="2" t="inlineStr">
        <is>
          <t>ACH</t>
        </is>
      </c>
      <c r="F1036" s="2" t="inlineStr">
        <is>
          <t>NG</t>
        </is>
      </c>
      <c r="G1036" s="2" t="inlineStr">
        <is>
          <t>Jewelry</t>
        </is>
      </c>
    </row>
    <row r="1037">
      <c r="A1037" s="4" t="inlineStr">
        <is>
          <t>TXN_000935</t>
        </is>
      </c>
      <c r="B1037" s="4" t="inlineStr">
        <is>
          <t>C_00238</t>
        </is>
      </c>
      <c r="C1037" s="4" t="inlineStr">
        <is>
          <t>2026-03-11</t>
        </is>
      </c>
      <c r="D1037" s="5" t="n">
        <v>1691.6</v>
      </c>
      <c r="E1037" s="4" t="inlineStr">
        <is>
          <t>Cash Deposit</t>
        </is>
      </c>
      <c r="F1037" s="4" t="inlineStr">
        <is>
          <t>US</t>
        </is>
      </c>
      <c r="G1037" s="4" t="inlineStr">
        <is>
          <t>Food &amp; Beverage</t>
        </is>
      </c>
    </row>
    <row r="1038">
      <c r="A1038" s="2" t="inlineStr">
        <is>
          <t>TXN_000940</t>
        </is>
      </c>
      <c r="B1038" s="2" t="inlineStr">
        <is>
          <t>C_00200</t>
        </is>
      </c>
      <c r="C1038" s="2" t="inlineStr">
        <is>
          <t>2026-03-11</t>
        </is>
      </c>
      <c r="D1038" s="3" t="n">
        <v>1441.6</v>
      </c>
      <c r="E1038" s="2" t="inlineStr">
        <is>
          <t>ACH</t>
        </is>
      </c>
      <c r="F1038" s="2" t="inlineStr">
        <is>
          <t>US</t>
        </is>
      </c>
      <c r="G1038" s="2" t="inlineStr">
        <is>
          <t>Jewelry</t>
        </is>
      </c>
    </row>
    <row r="1039">
      <c r="A1039" s="4" t="inlineStr">
        <is>
          <t>TXN_000933</t>
        </is>
      </c>
      <c r="B1039" s="4" t="inlineStr">
        <is>
          <t>C_00241</t>
        </is>
      </c>
      <c r="C1039" s="4" t="inlineStr">
        <is>
          <t>2026-03-11</t>
        </is>
      </c>
      <c r="D1039" s="5" t="n">
        <v>1705.85</v>
      </c>
      <c r="E1039" s="4" t="inlineStr">
        <is>
          <t>Cash Deposit</t>
        </is>
      </c>
      <c r="F1039" s="4" t="inlineStr">
        <is>
          <t>MX</t>
        </is>
      </c>
      <c r="G1039" s="4" t="inlineStr">
        <is>
          <t>Real Estate</t>
        </is>
      </c>
    </row>
    <row r="1040">
      <c r="A1040" s="2" t="inlineStr">
        <is>
          <t>TXN_000932</t>
        </is>
      </c>
      <c r="B1040" s="2" t="inlineStr">
        <is>
          <t>C_00046</t>
        </is>
      </c>
      <c r="C1040" s="2" t="inlineStr">
        <is>
          <t>2026-03-11</t>
        </is>
      </c>
      <c r="D1040" s="3" t="n">
        <v>1957.02</v>
      </c>
      <c r="E1040" s="2" t="inlineStr">
        <is>
          <t>Card</t>
        </is>
      </c>
      <c r="F1040" s="2" t="inlineStr">
        <is>
          <t>RU</t>
        </is>
      </c>
      <c r="G1040" s="2" t="inlineStr">
        <is>
          <t>Jewelry</t>
        </is>
      </c>
    </row>
    <row r="1041">
      <c r="A1041" s="4" t="inlineStr">
        <is>
          <t>TXN_000931</t>
        </is>
      </c>
      <c r="B1041" s="4" t="inlineStr">
        <is>
          <t>C_00025</t>
        </is>
      </c>
      <c r="C1041" s="4" t="inlineStr">
        <is>
          <t>2026-03-11</t>
        </is>
      </c>
      <c r="D1041" s="5" t="n">
        <v>497.45</v>
      </c>
      <c r="E1041" s="4" t="inlineStr">
        <is>
          <t>ACH</t>
        </is>
      </c>
      <c r="F1041" s="4" t="inlineStr">
        <is>
          <t>US</t>
        </is>
      </c>
      <c r="G1041" s="4" t="inlineStr">
        <is>
          <t>Jewelry</t>
        </is>
      </c>
    </row>
    <row r="1042">
      <c r="A1042" s="2" t="inlineStr">
        <is>
          <t>TXN_000930</t>
        </is>
      </c>
      <c r="B1042" s="2" t="inlineStr">
        <is>
          <t>C_00263</t>
        </is>
      </c>
      <c r="C1042" s="2" t="inlineStr">
        <is>
          <t>2026-03-11</t>
        </is>
      </c>
      <c r="D1042" s="3" t="n">
        <v>256.01</v>
      </c>
      <c r="E1042" s="2" t="inlineStr">
        <is>
          <t>Mobile App</t>
        </is>
      </c>
      <c r="F1042" s="2" t="inlineStr">
        <is>
          <t>AE</t>
        </is>
      </c>
      <c r="G1042" s="2" t="inlineStr">
        <is>
          <t>Food &amp; Beverage</t>
        </is>
      </c>
    </row>
    <row r="1043">
      <c r="A1043" s="4" t="inlineStr">
        <is>
          <t>TXN_000929</t>
        </is>
      </c>
      <c r="B1043" s="4" t="inlineStr">
        <is>
          <t>C_00070</t>
        </is>
      </c>
      <c r="C1043" s="4" t="inlineStr">
        <is>
          <t>2026-03-11</t>
        </is>
      </c>
      <c r="D1043" s="5" t="n">
        <v>4301.54</v>
      </c>
      <c r="E1043" s="4" t="inlineStr">
        <is>
          <t>Wire Transfer</t>
        </is>
      </c>
      <c r="F1043" s="4" t="inlineStr">
        <is>
          <t>AE</t>
        </is>
      </c>
      <c r="G1043" s="4" t="inlineStr">
        <is>
          <t>Electronics</t>
        </is>
      </c>
    </row>
    <row r="1044">
      <c r="A1044" s="2" t="inlineStr">
        <is>
          <t>TXN_000928</t>
        </is>
      </c>
      <c r="B1044" s="2" t="inlineStr">
        <is>
          <t>C_00220</t>
        </is>
      </c>
      <c r="C1044" s="2" t="inlineStr">
        <is>
          <t>2026-03-11</t>
        </is>
      </c>
      <c r="D1044" s="3" t="n">
        <v>18652.11</v>
      </c>
      <c r="E1044" s="2" t="inlineStr">
        <is>
          <t>ACH</t>
        </is>
      </c>
      <c r="F1044" s="2" t="inlineStr">
        <is>
          <t>CN</t>
        </is>
      </c>
      <c r="G1044" s="2" t="inlineStr">
        <is>
          <t>Travel</t>
        </is>
      </c>
    </row>
    <row r="1045">
      <c r="A1045" s="4" t="inlineStr">
        <is>
          <t>TXN_000934</t>
        </is>
      </c>
      <c r="B1045" s="4" t="inlineStr">
        <is>
          <t>C_00261</t>
        </is>
      </c>
      <c r="C1045" s="4" t="inlineStr">
        <is>
          <t>2026-03-11</t>
        </is>
      </c>
      <c r="D1045" s="5" t="n">
        <v>1637.96</v>
      </c>
      <c r="E1045" s="4" t="inlineStr">
        <is>
          <t>Wire Transfer</t>
        </is>
      </c>
      <c r="F1045" s="4" t="inlineStr">
        <is>
          <t>US</t>
        </is>
      </c>
      <c r="G1045" s="4" t="inlineStr">
        <is>
          <t>Real Estate</t>
        </is>
      </c>
    </row>
    <row r="1046">
      <c r="A1046" s="2" t="inlineStr">
        <is>
          <t>TXN_000954</t>
        </is>
      </c>
      <c r="B1046" s="2" t="inlineStr">
        <is>
          <t>C_00072</t>
        </is>
      </c>
      <c r="C1046" s="2" t="inlineStr">
        <is>
          <t>2026-03-12</t>
        </is>
      </c>
      <c r="D1046" s="3" t="n">
        <v>837.8</v>
      </c>
      <c r="E1046" s="2" t="inlineStr">
        <is>
          <t>Mobile App</t>
        </is>
      </c>
      <c r="F1046" s="2" t="inlineStr">
        <is>
          <t>US</t>
        </is>
      </c>
      <c r="G1046" s="2" t="inlineStr">
        <is>
          <t>Jewelry</t>
        </is>
      </c>
    </row>
    <row r="1047">
      <c r="A1047" s="4" t="inlineStr">
        <is>
          <t>TXN_000953</t>
        </is>
      </c>
      <c r="B1047" s="4" t="inlineStr">
        <is>
          <t>C_00172</t>
        </is>
      </c>
      <c r="C1047" s="4" t="inlineStr">
        <is>
          <t>2026-03-12</t>
        </is>
      </c>
      <c r="D1047" s="5" t="n">
        <v>1719.34</v>
      </c>
      <c r="E1047" s="4" t="inlineStr">
        <is>
          <t>Card</t>
        </is>
      </c>
      <c r="F1047" s="4" t="inlineStr">
        <is>
          <t>MX</t>
        </is>
      </c>
      <c r="G1047" s="4" t="inlineStr">
        <is>
          <t>Healthcare</t>
        </is>
      </c>
    </row>
    <row r="1048">
      <c r="A1048" s="2" t="inlineStr">
        <is>
          <t>TXN_000952</t>
        </is>
      </c>
      <c r="B1048" s="2" t="inlineStr">
        <is>
          <t>C_00206</t>
        </is>
      </c>
      <c r="C1048" s="2" t="inlineStr">
        <is>
          <t>2026-03-12</t>
        </is>
      </c>
      <c r="D1048" s="3" t="n">
        <v>972.6799999999999</v>
      </c>
      <c r="E1048" s="2" t="inlineStr">
        <is>
          <t>Card</t>
        </is>
      </c>
      <c r="F1048" s="2" t="inlineStr">
        <is>
          <t>AE</t>
        </is>
      </c>
      <c r="G1048" s="2" t="inlineStr">
        <is>
          <t>Healthcare</t>
        </is>
      </c>
    </row>
    <row r="1049">
      <c r="A1049" s="4" t="inlineStr">
        <is>
          <t>TXN_000951</t>
        </is>
      </c>
      <c r="B1049" s="4" t="inlineStr">
        <is>
          <t>C_00277</t>
        </is>
      </c>
      <c r="C1049" s="4" t="inlineStr">
        <is>
          <t>2026-03-12</t>
        </is>
      </c>
      <c r="D1049" s="5" t="n">
        <v>5240.6</v>
      </c>
      <c r="E1049" s="4" t="inlineStr">
        <is>
          <t>Wire Transfer</t>
        </is>
      </c>
      <c r="F1049" s="4" t="inlineStr">
        <is>
          <t>NG</t>
        </is>
      </c>
      <c r="G1049" s="4" t="inlineStr">
        <is>
          <t>Retail</t>
        </is>
      </c>
    </row>
    <row r="1050">
      <c r="A1050" s="2" t="inlineStr">
        <is>
          <t>TXN_000949</t>
        </is>
      </c>
      <c r="B1050" s="2" t="inlineStr">
        <is>
          <t>C_00279</t>
        </is>
      </c>
      <c r="C1050" s="2" t="inlineStr">
        <is>
          <t>2026-03-12</t>
        </is>
      </c>
      <c r="D1050" s="3" t="n">
        <v>3450.23</v>
      </c>
      <c r="E1050" s="2" t="inlineStr">
        <is>
          <t>Cash Deposit</t>
        </is>
      </c>
      <c r="F1050" s="2" t="inlineStr">
        <is>
          <t>US</t>
        </is>
      </c>
      <c r="G1050" s="2" t="inlineStr">
        <is>
          <t>Auto</t>
        </is>
      </c>
    </row>
    <row r="1051">
      <c r="A1051" s="4" t="inlineStr">
        <is>
          <t>TXN_000948</t>
        </is>
      </c>
      <c r="B1051" s="4" t="inlineStr">
        <is>
          <t>C_00178</t>
        </is>
      </c>
      <c r="C1051" s="4" t="inlineStr">
        <is>
          <t>2026-03-12</t>
        </is>
      </c>
      <c r="D1051" s="5" t="n">
        <v>1695.87</v>
      </c>
      <c r="E1051" s="4" t="inlineStr">
        <is>
          <t>Card</t>
        </is>
      </c>
      <c r="F1051" s="4" t="inlineStr">
        <is>
          <t>US</t>
        </is>
      </c>
      <c r="G1051" s="4" t="inlineStr">
        <is>
          <t>Retail</t>
        </is>
      </c>
    </row>
    <row r="1052">
      <c r="A1052" s="2" t="inlineStr">
        <is>
          <t>TXN_000950</t>
        </is>
      </c>
      <c r="B1052" s="2" t="inlineStr">
        <is>
          <t>C_00218</t>
        </is>
      </c>
      <c r="C1052" s="2" t="inlineStr">
        <is>
          <t>2026-03-12</t>
        </is>
      </c>
      <c r="D1052" s="3" t="n">
        <v>678.3</v>
      </c>
      <c r="E1052" s="2" t="inlineStr">
        <is>
          <t>ACH</t>
        </is>
      </c>
      <c r="F1052" s="2" t="inlineStr">
        <is>
          <t>US</t>
        </is>
      </c>
      <c r="G1052" s="2" t="inlineStr">
        <is>
          <t>Food &amp; Beverage</t>
        </is>
      </c>
    </row>
    <row r="1053">
      <c r="A1053" s="4" t="inlineStr">
        <is>
          <t>TXN_000946</t>
        </is>
      </c>
      <c r="B1053" s="4" t="inlineStr">
        <is>
          <t>C_00166</t>
        </is>
      </c>
      <c r="C1053" s="4" t="inlineStr">
        <is>
          <t>2026-03-12</t>
        </is>
      </c>
      <c r="D1053" s="5" t="n">
        <v>2943.53</v>
      </c>
      <c r="E1053" s="4" t="inlineStr">
        <is>
          <t>Card</t>
        </is>
      </c>
      <c r="F1053" s="4" t="inlineStr">
        <is>
          <t>US</t>
        </is>
      </c>
      <c r="G1053" s="4" t="inlineStr">
        <is>
          <t>Money Services</t>
        </is>
      </c>
    </row>
    <row r="1054">
      <c r="A1054" s="2" t="inlineStr">
        <is>
          <t>TXN_000945</t>
        </is>
      </c>
      <c r="B1054" s="2" t="inlineStr">
        <is>
          <t>C_ORPHAN_010</t>
        </is>
      </c>
      <c r="C1054" s="2" t="inlineStr">
        <is>
          <t>2026-03-12</t>
        </is>
      </c>
      <c r="D1054" s="3" t="n">
        <v>1822.71</v>
      </c>
      <c r="E1054" s="2" t="inlineStr">
        <is>
          <t>Card</t>
        </is>
      </c>
      <c r="F1054" s="2" t="inlineStr">
        <is>
          <t>US</t>
        </is>
      </c>
      <c r="G1054" s="2" t="inlineStr">
        <is>
          <t>Money Services</t>
        </is>
      </c>
    </row>
    <row r="1055">
      <c r="A1055" s="4" t="inlineStr">
        <is>
          <t>TXN_000944</t>
        </is>
      </c>
      <c r="B1055" s="4" t="inlineStr">
        <is>
          <t>C_00150</t>
        </is>
      </c>
      <c r="C1055" s="4" t="inlineStr">
        <is>
          <t>2026-03-12</t>
        </is>
      </c>
      <c r="D1055" s="5" t="n">
        <v>496.07</v>
      </c>
      <c r="E1055" s="4" t="inlineStr">
        <is>
          <t>ACH</t>
        </is>
      </c>
      <c r="F1055" s="4" t="inlineStr">
        <is>
          <t>CA</t>
        </is>
      </c>
      <c r="G1055" s="4" t="inlineStr">
        <is>
          <t>Crypto Exchange</t>
        </is>
      </c>
    </row>
    <row r="1056">
      <c r="A1056" s="2" t="inlineStr">
        <is>
          <t>TXN_000943</t>
        </is>
      </c>
      <c r="B1056" s="2" t="inlineStr">
        <is>
          <t>C_00167</t>
        </is>
      </c>
      <c r="C1056" s="2" t="inlineStr">
        <is>
          <t>2026-03-12</t>
        </is>
      </c>
      <c r="D1056" s="3" t="n">
        <v>135.65</v>
      </c>
      <c r="E1056" s="2" t="inlineStr">
        <is>
          <t>ACH</t>
        </is>
      </c>
      <c r="F1056" s="2" t="inlineStr">
        <is>
          <t>US</t>
        </is>
      </c>
      <c r="G1056" s="2" t="inlineStr">
        <is>
          <t>Travel</t>
        </is>
      </c>
    </row>
    <row r="1057">
      <c r="A1057" s="4" t="inlineStr">
        <is>
          <t>TXN_000942</t>
        </is>
      </c>
      <c r="B1057" s="4" t="inlineStr">
        <is>
          <t>C_00073</t>
        </is>
      </c>
      <c r="C1057" s="4" t="inlineStr">
        <is>
          <t>2026-03-12</t>
        </is>
      </c>
      <c r="D1057" s="5" t="n">
        <v>4825.57</v>
      </c>
      <c r="E1057" s="4" t="inlineStr">
        <is>
          <t>Wire Transfer</t>
        </is>
      </c>
      <c r="F1057" s="4" t="inlineStr">
        <is>
          <t>RU</t>
        </is>
      </c>
      <c r="G1057" s="4" t="inlineStr">
        <is>
          <t>Jewelry</t>
        </is>
      </c>
    </row>
    <row r="1058">
      <c r="A1058" s="2" t="inlineStr">
        <is>
          <t>TXN_000941</t>
        </is>
      </c>
      <c r="B1058" s="2" t="inlineStr">
        <is>
          <t>C_00138</t>
        </is>
      </c>
      <c r="C1058" s="2" t="inlineStr">
        <is>
          <t>2026-03-12</t>
        </is>
      </c>
      <c r="D1058" s="3" t="n">
        <v>2245.74</v>
      </c>
      <c r="E1058" s="2" t="inlineStr">
        <is>
          <t>Mobile App</t>
        </is>
      </c>
      <c r="F1058" s="2" t="inlineStr">
        <is>
          <t>US</t>
        </is>
      </c>
      <c r="G1058" s="2" t="inlineStr">
        <is>
          <t>Real Estate</t>
        </is>
      </c>
    </row>
    <row r="1059">
      <c r="A1059" s="4" t="inlineStr">
        <is>
          <t>TXN_000947</t>
        </is>
      </c>
      <c r="B1059" s="4" t="inlineStr">
        <is>
          <t>C_00300</t>
        </is>
      </c>
      <c r="C1059" s="4" t="inlineStr">
        <is>
          <t>2026-03-12</t>
        </is>
      </c>
      <c r="D1059" s="5" t="n">
        <v>1311.13</v>
      </c>
      <c r="E1059" s="4" t="inlineStr">
        <is>
          <t>ACH</t>
        </is>
      </c>
      <c r="F1059" s="4" t="inlineStr">
        <is>
          <t>US</t>
        </is>
      </c>
      <c r="G1059" s="4" t="inlineStr">
        <is>
          <t>Auto</t>
        </is>
      </c>
    </row>
    <row r="1060">
      <c r="A1060" s="2" t="inlineStr">
        <is>
          <t>TXN_000963</t>
        </is>
      </c>
      <c r="B1060" s="2" t="inlineStr">
        <is>
          <t>C_00264</t>
        </is>
      </c>
      <c r="C1060" s="2" t="inlineStr">
        <is>
          <t>2026-03-13</t>
        </is>
      </c>
      <c r="D1060" s="3" t="n">
        <v>2649.25</v>
      </c>
      <c r="E1060" s="2" t="inlineStr">
        <is>
          <t>ACH</t>
        </is>
      </c>
      <c r="F1060" s="2" t="inlineStr">
        <is>
          <t>US</t>
        </is>
      </c>
      <c r="G1060" s="2" t="inlineStr">
        <is>
          <t>Travel</t>
        </is>
      </c>
    </row>
    <row r="1061">
      <c r="A1061" s="4" t="inlineStr">
        <is>
          <t>TXN_000962</t>
        </is>
      </c>
      <c r="B1061" s="4" t="inlineStr">
        <is>
          <t>C_00279</t>
        </is>
      </c>
      <c r="C1061" s="4" t="inlineStr">
        <is>
          <t>2026-03-13</t>
        </is>
      </c>
      <c r="D1061" s="5" t="n">
        <v>224.4</v>
      </c>
      <c r="E1061" s="4" t="inlineStr">
        <is>
          <t>Mobile App</t>
        </is>
      </c>
      <c r="F1061" s="4" t="inlineStr">
        <is>
          <t>CN</t>
        </is>
      </c>
      <c r="G1061" s="4" t="inlineStr">
        <is>
          <t>Crypto Exchange</t>
        </is>
      </c>
    </row>
    <row r="1062">
      <c r="A1062" s="2" t="inlineStr">
        <is>
          <t>TXN_000961</t>
        </is>
      </c>
      <c r="B1062" s="2" t="inlineStr">
        <is>
          <t>C_00201</t>
        </is>
      </c>
      <c r="C1062" s="2" t="inlineStr">
        <is>
          <t>2026-03-13</t>
        </is>
      </c>
      <c r="D1062" s="3" t="n">
        <v>5684.81</v>
      </c>
      <c r="E1062" s="2" t="inlineStr">
        <is>
          <t>Cash Deposit</t>
        </is>
      </c>
      <c r="F1062" s="2" t="inlineStr">
        <is>
          <t>CN</t>
        </is>
      </c>
      <c r="G1062" s="2" t="inlineStr">
        <is>
          <t>Healthcare</t>
        </is>
      </c>
    </row>
    <row r="1063">
      <c r="A1063" s="4" t="inlineStr">
        <is>
          <t>TXN_000960</t>
        </is>
      </c>
      <c r="B1063" s="4" t="inlineStr">
        <is>
          <t>C_00175</t>
        </is>
      </c>
      <c r="C1063" s="4" t="inlineStr">
        <is>
          <t>2026-03-13</t>
        </is>
      </c>
      <c r="D1063" s="5" t="n">
        <v>1475.55</v>
      </c>
      <c r="E1063" s="4" t="inlineStr">
        <is>
          <t>ACH</t>
        </is>
      </c>
      <c r="F1063" s="4" t="inlineStr">
        <is>
          <t>CA</t>
        </is>
      </c>
      <c r="G1063" s="4" t="inlineStr">
        <is>
          <t>Electronics</t>
        </is>
      </c>
    </row>
    <row r="1064">
      <c r="A1064" s="2" t="inlineStr">
        <is>
          <t>TXN_000957</t>
        </is>
      </c>
      <c r="B1064" s="2" t="inlineStr">
        <is>
          <t>C_00123</t>
        </is>
      </c>
      <c r="C1064" s="2" t="inlineStr">
        <is>
          <t>2026-03-13</t>
        </is>
      </c>
      <c r="D1064" s="3" t="n">
        <v>992.02</v>
      </c>
      <c r="E1064" s="2" t="inlineStr">
        <is>
          <t>Card</t>
        </is>
      </c>
      <c r="F1064" s="2" t="inlineStr">
        <is>
          <t>AE</t>
        </is>
      </c>
      <c r="G1064" s="2" t="inlineStr">
        <is>
          <t>Real Estate</t>
        </is>
      </c>
    </row>
    <row r="1065">
      <c r="A1065" s="4" t="inlineStr">
        <is>
          <t>TXN_000958</t>
        </is>
      </c>
      <c r="B1065" s="4" t="inlineStr">
        <is>
          <t>C_00271</t>
        </is>
      </c>
      <c r="C1065" s="4" t="inlineStr">
        <is>
          <t>2026-03-13</t>
        </is>
      </c>
      <c r="D1065" s="5" t="n">
        <v>4704.77</v>
      </c>
      <c r="E1065" s="4" t="inlineStr">
        <is>
          <t>ACH</t>
        </is>
      </c>
      <c r="F1065" s="4" t="inlineStr">
        <is>
          <t>US</t>
        </is>
      </c>
      <c r="G1065" s="4" t="inlineStr">
        <is>
          <t>Healthcare</t>
        </is>
      </c>
    </row>
    <row r="1066">
      <c r="A1066" s="2" t="inlineStr">
        <is>
          <t>TXN_000956</t>
        </is>
      </c>
      <c r="B1066" s="2" t="inlineStr">
        <is>
          <t>C_00024</t>
        </is>
      </c>
      <c r="C1066" s="2" t="inlineStr">
        <is>
          <t>2026-03-13</t>
        </is>
      </c>
      <c r="D1066" s="3" t="n">
        <v>348.05</v>
      </c>
      <c r="E1066" s="2" t="inlineStr">
        <is>
          <t>ACH</t>
        </is>
      </c>
      <c r="F1066" s="2" t="inlineStr">
        <is>
          <t>US</t>
        </is>
      </c>
      <c r="G1066" s="2" t="inlineStr">
        <is>
          <t>Healthcare</t>
        </is>
      </c>
    </row>
    <row r="1067">
      <c r="A1067" s="4" t="inlineStr">
        <is>
          <t>TXN_000955</t>
        </is>
      </c>
      <c r="B1067" s="4" t="inlineStr">
        <is>
          <t>C_00058</t>
        </is>
      </c>
      <c r="C1067" s="4" t="inlineStr">
        <is>
          <t>2026-03-13</t>
        </is>
      </c>
      <c r="D1067" s="5" t="n">
        <v>611.4400000000001</v>
      </c>
      <c r="E1067" s="4" t="inlineStr">
        <is>
          <t>Mobile App</t>
        </is>
      </c>
      <c r="F1067" s="4" t="inlineStr">
        <is>
          <t>US</t>
        </is>
      </c>
      <c r="G1067" s="4" t="inlineStr">
        <is>
          <t>Food &amp; Beverage</t>
        </is>
      </c>
    </row>
    <row r="1068">
      <c r="A1068" s="2" t="inlineStr">
        <is>
          <t>TXN_000959</t>
        </is>
      </c>
      <c r="B1068" s="2" t="inlineStr">
        <is>
          <t>C_00141</t>
        </is>
      </c>
      <c r="C1068" s="2" t="inlineStr">
        <is>
          <t>2026-03-13</t>
        </is>
      </c>
      <c r="D1068" s="3" t="n">
        <v>539.34</v>
      </c>
      <c r="E1068" s="2" t="inlineStr">
        <is>
          <t>ACH</t>
        </is>
      </c>
      <c r="F1068" s="2" t="inlineStr">
        <is>
          <t>RU</t>
        </is>
      </c>
      <c r="G1068" s="2" t="inlineStr">
        <is>
          <t>Jewelry</t>
        </is>
      </c>
    </row>
    <row r="1069">
      <c r="A1069" s="4" t="inlineStr">
        <is>
          <t>TXN_000967</t>
        </is>
      </c>
      <c r="B1069" s="4" t="inlineStr">
        <is>
          <t>C_00142</t>
        </is>
      </c>
      <c r="C1069" s="4" t="inlineStr">
        <is>
          <t>2026-03-13</t>
        </is>
      </c>
      <c r="D1069" s="5" t="n">
        <v>2593.74</v>
      </c>
      <c r="E1069" s="4" t="inlineStr">
        <is>
          <t>Wire Transfer</t>
        </is>
      </c>
      <c r="F1069" s="4" t="inlineStr">
        <is>
          <t>NG</t>
        </is>
      </c>
      <c r="G1069" s="4" t="inlineStr">
        <is>
          <t>Healthcare</t>
        </is>
      </c>
    </row>
    <row r="1070">
      <c r="A1070" s="2" t="inlineStr">
        <is>
          <t>TXN_000965</t>
        </is>
      </c>
      <c r="B1070" s="2" t="inlineStr">
        <is>
          <t>C_00289</t>
        </is>
      </c>
      <c r="C1070" s="2" t="inlineStr">
        <is>
          <t>2026-03-13</t>
        </is>
      </c>
      <c r="D1070" s="3" t="n">
        <v>10074.6</v>
      </c>
      <c r="E1070" s="2" t="inlineStr">
        <is>
          <t>Wire Transfer</t>
        </is>
      </c>
      <c r="F1070" s="2" t="inlineStr">
        <is>
          <t>US</t>
        </is>
      </c>
      <c r="G1070" s="2" t="inlineStr">
        <is>
          <t>Crypto Exchange</t>
        </is>
      </c>
    </row>
    <row r="1071">
      <c r="A1071" s="4" t="inlineStr">
        <is>
          <t>TXN_000966</t>
        </is>
      </c>
      <c r="B1071" s="4" t="inlineStr">
        <is>
          <t>C_00295</t>
        </is>
      </c>
      <c r="C1071" s="4" t="inlineStr">
        <is>
          <t>2026-03-13</t>
        </is>
      </c>
      <c r="D1071" s="5" t="n">
        <v>299.26</v>
      </c>
      <c r="E1071" s="4" t="inlineStr">
        <is>
          <t>ACH</t>
        </is>
      </c>
      <c r="F1071" s="4" t="inlineStr">
        <is>
          <t>US</t>
        </is>
      </c>
      <c r="G1071" s="4" t="inlineStr">
        <is>
          <t>Retail</t>
        </is>
      </c>
    </row>
    <row r="1072">
      <c r="A1072" s="2" t="inlineStr">
        <is>
          <t>TXN_000971</t>
        </is>
      </c>
      <c r="B1072" s="2" t="inlineStr">
        <is>
          <t>C_00147</t>
        </is>
      </c>
      <c r="C1072" s="2" t="inlineStr">
        <is>
          <t>2026-03-13</t>
        </is>
      </c>
      <c r="D1072" s="3" t="n">
        <v>791.4400000000001</v>
      </c>
      <c r="E1072" s="2" t="inlineStr">
        <is>
          <t>Wire Transfer</t>
        </is>
      </c>
      <c r="F1072" s="2" t="inlineStr">
        <is>
          <t>US</t>
        </is>
      </c>
      <c r="G1072" s="2" t="inlineStr">
        <is>
          <t>Healthcare</t>
        </is>
      </c>
    </row>
    <row r="1073">
      <c r="A1073" s="4" t="inlineStr">
        <is>
          <t>TXN_000970</t>
        </is>
      </c>
      <c r="B1073" s="4" t="inlineStr">
        <is>
          <t>C_00242</t>
        </is>
      </c>
      <c r="C1073" s="4" t="inlineStr">
        <is>
          <t>2026-03-13</t>
        </is>
      </c>
      <c r="D1073" s="5" t="n">
        <v>2130.24</v>
      </c>
      <c r="E1073" s="4" t="inlineStr">
        <is>
          <t>Mobile App</t>
        </is>
      </c>
      <c r="F1073" s="4" t="inlineStr">
        <is>
          <t>US</t>
        </is>
      </c>
      <c r="G1073" s="4" t="inlineStr">
        <is>
          <t>Food &amp; Beverage</t>
        </is>
      </c>
    </row>
    <row r="1074">
      <c r="A1074" s="2" t="inlineStr">
        <is>
          <t>TXN_000964</t>
        </is>
      </c>
      <c r="B1074" s="2" t="inlineStr">
        <is>
          <t>C_00063</t>
        </is>
      </c>
      <c r="C1074" s="2" t="inlineStr">
        <is>
          <t>2026-03-13</t>
        </is>
      </c>
      <c r="D1074" s="3" t="n">
        <v>434.94</v>
      </c>
      <c r="E1074" s="2" t="inlineStr">
        <is>
          <t>Cash Deposit</t>
        </is>
      </c>
      <c r="F1074" s="2" t="inlineStr">
        <is>
          <t>NG</t>
        </is>
      </c>
      <c r="G1074" s="2" t="inlineStr">
        <is>
          <t>Travel</t>
        </is>
      </c>
    </row>
    <row r="1075">
      <c r="A1075" s="4" t="inlineStr">
        <is>
          <t>TXN_000968</t>
        </is>
      </c>
      <c r="B1075" s="4" t="inlineStr">
        <is>
          <t>C_00074</t>
        </is>
      </c>
      <c r="C1075" s="4" t="inlineStr">
        <is>
          <t>2026-03-13</t>
        </is>
      </c>
      <c r="D1075" s="5" t="n">
        <v>2506.89</v>
      </c>
      <c r="E1075" s="4" t="inlineStr">
        <is>
          <t>ACH</t>
        </is>
      </c>
      <c r="F1075" s="4" t="inlineStr">
        <is>
          <t>US</t>
        </is>
      </c>
      <c r="G1075" s="4" t="inlineStr">
        <is>
          <t>Jewelry</t>
        </is>
      </c>
    </row>
    <row r="1076">
      <c r="A1076" s="2" t="inlineStr">
        <is>
          <t>TXN_000969</t>
        </is>
      </c>
      <c r="B1076" s="2" t="inlineStr">
        <is>
          <t>C_00175</t>
        </is>
      </c>
      <c r="C1076" s="2" t="inlineStr">
        <is>
          <t>2026-03-13</t>
        </is>
      </c>
      <c r="D1076" s="3" t="n">
        <v>1854.63</v>
      </c>
      <c r="E1076" s="2" t="inlineStr">
        <is>
          <t>Mobile App</t>
        </is>
      </c>
      <c r="F1076" s="2" t="inlineStr">
        <is>
          <t>RU</t>
        </is>
      </c>
      <c r="G1076" s="2" t="inlineStr">
        <is>
          <t>Food &amp; Beverage</t>
        </is>
      </c>
    </row>
    <row r="1077">
      <c r="A1077" s="4" t="inlineStr">
        <is>
          <t>TXN_000984</t>
        </is>
      </c>
      <c r="B1077" s="4" t="inlineStr">
        <is>
          <t>C_00142</t>
        </is>
      </c>
      <c r="C1077" s="4" t="inlineStr">
        <is>
          <t>2026-03-14</t>
        </is>
      </c>
      <c r="D1077" s="5" t="n">
        <v>2687.51</v>
      </c>
      <c r="E1077" s="4" t="inlineStr">
        <is>
          <t>Mobile App</t>
        </is>
      </c>
      <c r="F1077" s="4" t="inlineStr">
        <is>
          <t>US</t>
        </is>
      </c>
      <c r="G1077" s="4" t="inlineStr">
        <is>
          <t>Food &amp; Beverage</t>
        </is>
      </c>
    </row>
    <row r="1078">
      <c r="A1078" s="2" t="inlineStr">
        <is>
          <t>TXN_000983</t>
        </is>
      </c>
      <c r="B1078" s="2" t="inlineStr">
        <is>
          <t>C_00041</t>
        </is>
      </c>
      <c r="C1078" s="2" t="inlineStr">
        <is>
          <t>2026-03-14</t>
        </is>
      </c>
      <c r="D1078" s="3" t="n">
        <v>2796.91</v>
      </c>
      <c r="E1078" s="2" t="inlineStr">
        <is>
          <t>ACH</t>
        </is>
      </c>
      <c r="F1078" s="2" t="inlineStr">
        <is>
          <t>MX</t>
        </is>
      </c>
      <c r="G1078" s="2" t="inlineStr">
        <is>
          <t>Travel</t>
        </is>
      </c>
    </row>
    <row r="1079">
      <c r="A1079" s="4" t="inlineStr">
        <is>
          <t>TXN_000982</t>
        </is>
      </c>
      <c r="B1079" s="4" t="inlineStr">
        <is>
          <t>C_00256</t>
        </is>
      </c>
      <c r="C1079" s="4" t="inlineStr">
        <is>
          <t>2026-03-14</t>
        </is>
      </c>
      <c r="D1079" s="5" t="n">
        <v>11557.34</v>
      </c>
      <c r="E1079" s="4" t="inlineStr">
        <is>
          <t>ACH</t>
        </is>
      </c>
      <c r="F1079" s="4" t="inlineStr">
        <is>
          <t>CA</t>
        </is>
      </c>
      <c r="G1079" s="4" t="inlineStr">
        <is>
          <t>Jewelry</t>
        </is>
      </c>
    </row>
    <row r="1080">
      <c r="A1080" s="2" t="inlineStr">
        <is>
          <t>TXN_000981</t>
        </is>
      </c>
      <c r="B1080" s="2" t="inlineStr">
        <is>
          <t>C_00295</t>
        </is>
      </c>
      <c r="C1080" s="2" t="inlineStr">
        <is>
          <t>2026-03-14</t>
        </is>
      </c>
      <c r="D1080" s="3" t="n">
        <v>233.23</v>
      </c>
      <c r="E1080" s="2" t="inlineStr">
        <is>
          <t>Cash Deposit</t>
        </is>
      </c>
      <c r="F1080" s="2" t="inlineStr">
        <is>
          <t>US</t>
        </is>
      </c>
      <c r="G1080" s="2" t="inlineStr">
        <is>
          <t>Real Estate</t>
        </is>
      </c>
    </row>
    <row r="1081">
      <c r="A1081" s="4" t="inlineStr">
        <is>
          <t>TXN_000979</t>
        </is>
      </c>
      <c r="B1081" s="4" t="inlineStr">
        <is>
          <t>C_00243</t>
        </is>
      </c>
      <c r="C1081" s="4" t="inlineStr">
        <is>
          <t>2026-03-14</t>
        </is>
      </c>
      <c r="D1081" s="5" t="n">
        <v>1183.56</v>
      </c>
      <c r="E1081" s="4" t="inlineStr">
        <is>
          <t>Mobile App</t>
        </is>
      </c>
      <c r="F1081" s="4" t="inlineStr">
        <is>
          <t>US</t>
        </is>
      </c>
      <c r="G1081" s="4" t="inlineStr">
        <is>
          <t>Crypto Exchange</t>
        </is>
      </c>
    </row>
    <row r="1082">
      <c r="A1082" s="2" t="inlineStr">
        <is>
          <t>TXN_000980</t>
        </is>
      </c>
      <c r="B1082" s="2" t="inlineStr">
        <is>
          <t>C_00068</t>
        </is>
      </c>
      <c r="C1082" s="2" t="inlineStr">
        <is>
          <t>2026-03-14</t>
        </is>
      </c>
      <c r="D1082" s="3" t="n">
        <v>1268.69</v>
      </c>
      <c r="E1082" s="2" t="inlineStr">
        <is>
          <t>Cash Deposit</t>
        </is>
      </c>
      <c r="F1082" s="2" t="inlineStr">
        <is>
          <t>US</t>
        </is>
      </c>
      <c r="G1082" s="2" t="inlineStr">
        <is>
          <t>Money Services</t>
        </is>
      </c>
    </row>
    <row r="1083">
      <c r="A1083" s="4" t="inlineStr">
        <is>
          <t>TXN_000977</t>
        </is>
      </c>
      <c r="B1083" s="4" t="inlineStr">
        <is>
          <t>C_00113</t>
        </is>
      </c>
      <c r="C1083" s="4" t="inlineStr">
        <is>
          <t>2026-03-14</t>
        </is>
      </c>
      <c r="D1083" s="5" t="n">
        <v>2627.13</v>
      </c>
      <c r="E1083" s="4" t="inlineStr">
        <is>
          <t>ACH</t>
        </is>
      </c>
      <c r="F1083" s="4" t="inlineStr">
        <is>
          <t>US</t>
        </is>
      </c>
      <c r="G1083" s="4" t="inlineStr">
        <is>
          <t>Jewelry</t>
        </is>
      </c>
    </row>
    <row r="1084">
      <c r="A1084" s="2" t="inlineStr">
        <is>
          <t>TXN_000976</t>
        </is>
      </c>
      <c r="B1084" s="2" t="inlineStr">
        <is>
          <t>C_00283</t>
        </is>
      </c>
      <c r="C1084" s="2" t="inlineStr">
        <is>
          <t>2026-03-14</t>
        </is>
      </c>
      <c r="D1084" s="3" t="n">
        <v>1598.62</v>
      </c>
      <c r="E1084" s="2" t="inlineStr">
        <is>
          <t>Wire Transfer</t>
        </is>
      </c>
      <c r="F1084" s="2" t="inlineStr">
        <is>
          <t>US</t>
        </is>
      </c>
      <c r="G1084" s="2" t="inlineStr">
        <is>
          <t>Money Services</t>
        </is>
      </c>
    </row>
    <row r="1085">
      <c r="A1085" s="4" t="inlineStr">
        <is>
          <t>TXN_000975</t>
        </is>
      </c>
      <c r="B1085" s="4" t="inlineStr">
        <is>
          <t>C_00135</t>
        </is>
      </c>
      <c r="C1085" s="4" t="inlineStr">
        <is>
          <t>2026-03-14</t>
        </is>
      </c>
      <c r="D1085" s="5" t="n">
        <v>3907.23</v>
      </c>
      <c r="E1085" s="4" t="inlineStr">
        <is>
          <t>Wire Transfer</t>
        </is>
      </c>
      <c r="F1085" s="4" t="inlineStr">
        <is>
          <t>AE</t>
        </is>
      </c>
      <c r="G1085" s="4" t="inlineStr">
        <is>
          <t>Auto</t>
        </is>
      </c>
    </row>
    <row r="1086">
      <c r="A1086" s="2" t="inlineStr">
        <is>
          <t>TXN_000974</t>
        </is>
      </c>
      <c r="B1086" s="2" t="inlineStr">
        <is>
          <t>C_00260</t>
        </is>
      </c>
      <c r="C1086" s="2" t="inlineStr">
        <is>
          <t>2026-03-14</t>
        </is>
      </c>
      <c r="D1086" s="3" t="n">
        <v>3299.25</v>
      </c>
      <c r="E1086" s="2" t="inlineStr">
        <is>
          <t>ACH</t>
        </is>
      </c>
      <c r="F1086" s="2" t="inlineStr">
        <is>
          <t>RU</t>
        </is>
      </c>
      <c r="G1086" s="2" t="inlineStr">
        <is>
          <t>Food &amp; Beverage</t>
        </is>
      </c>
    </row>
    <row r="1087">
      <c r="A1087" s="4" t="inlineStr">
        <is>
          <t>TXN_000973</t>
        </is>
      </c>
      <c r="B1087" s="4" t="inlineStr">
        <is>
          <t>C_00215</t>
        </is>
      </c>
      <c r="C1087" s="4" t="inlineStr">
        <is>
          <t>2026-03-14</t>
        </is>
      </c>
      <c r="D1087" s="5" t="n">
        <v>3916.6</v>
      </c>
      <c r="E1087" s="4" t="inlineStr">
        <is>
          <t>ACH</t>
        </is>
      </c>
      <c r="F1087" s="4" t="inlineStr">
        <is>
          <t>MX</t>
        </is>
      </c>
      <c r="G1087" s="4" t="inlineStr">
        <is>
          <t>Real Estate</t>
        </is>
      </c>
    </row>
    <row r="1088">
      <c r="A1088" s="2" t="inlineStr">
        <is>
          <t>TXN_000972</t>
        </is>
      </c>
      <c r="B1088" s="2" t="inlineStr">
        <is>
          <t>C_00050</t>
        </is>
      </c>
      <c r="C1088" s="2" t="inlineStr">
        <is>
          <t>2026-03-14</t>
        </is>
      </c>
      <c r="D1088" s="3" t="n">
        <v>4674.13</v>
      </c>
      <c r="E1088" s="2" t="inlineStr">
        <is>
          <t>Cash Deposit</t>
        </is>
      </c>
      <c r="F1088" s="2" t="inlineStr">
        <is>
          <t>US</t>
        </is>
      </c>
      <c r="G1088" s="2" t="inlineStr">
        <is>
          <t>Real Estate</t>
        </is>
      </c>
    </row>
    <row r="1089">
      <c r="A1089" s="4" t="inlineStr">
        <is>
          <t>TXN_000978</t>
        </is>
      </c>
      <c r="B1089" s="4" t="inlineStr">
        <is>
          <t>C_00237</t>
        </is>
      </c>
      <c r="C1089" s="4" t="inlineStr">
        <is>
          <t>2026-03-14</t>
        </is>
      </c>
      <c r="D1089" s="5" t="n">
        <v>615.47</v>
      </c>
      <c r="E1089" s="4" t="inlineStr">
        <is>
          <t>Card</t>
        </is>
      </c>
      <c r="F1089" s="4" t="inlineStr">
        <is>
          <t>RU</t>
        </is>
      </c>
      <c r="G1089" s="4" t="inlineStr">
        <is>
          <t>Travel</t>
        </is>
      </c>
    </row>
    <row r="1090">
      <c r="A1090" s="2" t="inlineStr">
        <is>
          <t>TXN_000996</t>
        </is>
      </c>
      <c r="B1090" s="2" t="inlineStr">
        <is>
          <t>C_00253</t>
        </is>
      </c>
      <c r="C1090" s="2" t="inlineStr">
        <is>
          <t>2026-03-15</t>
        </is>
      </c>
      <c r="D1090" s="3" t="n">
        <v>721.9</v>
      </c>
      <c r="E1090" s="2" t="inlineStr">
        <is>
          <t>Cash Deposit</t>
        </is>
      </c>
      <c r="F1090" s="2" t="inlineStr">
        <is>
          <t>RU</t>
        </is>
      </c>
      <c r="G1090" s="2" t="inlineStr">
        <is>
          <t>Travel</t>
        </is>
      </c>
    </row>
    <row r="1091">
      <c r="A1091" s="4" t="inlineStr">
        <is>
          <t>TXN_000995</t>
        </is>
      </c>
      <c r="B1091" s="4" t="inlineStr">
        <is>
          <t>C_00277</t>
        </is>
      </c>
      <c r="C1091" s="4" t="inlineStr">
        <is>
          <t>2026-03-15</t>
        </is>
      </c>
      <c r="D1091" s="5" t="n">
        <v>1767.32</v>
      </c>
      <c r="E1091" s="4" t="inlineStr">
        <is>
          <t>Mobile App</t>
        </is>
      </c>
      <c r="F1091" s="4" t="inlineStr">
        <is>
          <t>US</t>
        </is>
      </c>
      <c r="G1091" s="4" t="inlineStr">
        <is>
          <t>Electronics</t>
        </is>
      </c>
    </row>
    <row r="1092">
      <c r="A1092" s="2" t="inlineStr">
        <is>
          <t>TXN_000994</t>
        </is>
      </c>
      <c r="B1092" s="2" t="inlineStr">
        <is>
          <t>C_00080</t>
        </is>
      </c>
      <c r="C1092" s="2" t="inlineStr">
        <is>
          <t>2026-03-15</t>
        </is>
      </c>
      <c r="D1092" s="3" t="n">
        <v>874.33</v>
      </c>
      <c r="E1092" s="2" t="inlineStr">
        <is>
          <t>Cash Deposit</t>
        </is>
      </c>
      <c r="F1092" s="2" t="inlineStr">
        <is>
          <t>CN</t>
        </is>
      </c>
      <c r="G1092" s="2" t="inlineStr">
        <is>
          <t>Healthcare</t>
        </is>
      </c>
    </row>
    <row r="1093">
      <c r="A1093" s="4" t="inlineStr">
        <is>
          <t>TXN_000993</t>
        </is>
      </c>
      <c r="B1093" s="4" t="inlineStr">
        <is>
          <t>C_00090</t>
        </is>
      </c>
      <c r="C1093" s="4" t="inlineStr">
        <is>
          <t>2026-03-15</t>
        </is>
      </c>
      <c r="D1093" s="5" t="n">
        <v>428.68</v>
      </c>
      <c r="E1093" s="4" t="inlineStr">
        <is>
          <t>Cash Deposit</t>
        </is>
      </c>
      <c r="F1093" s="4" t="inlineStr">
        <is>
          <t>US</t>
        </is>
      </c>
      <c r="G1093" s="4" t="inlineStr">
        <is>
          <t>Jewelry</t>
        </is>
      </c>
    </row>
    <row r="1094">
      <c r="A1094" s="2" t="inlineStr">
        <is>
          <t>TXN_000991</t>
        </is>
      </c>
      <c r="B1094" s="2" t="inlineStr">
        <is>
          <t>C_00123</t>
        </is>
      </c>
      <c r="C1094" s="2" t="inlineStr">
        <is>
          <t>2026-03-15</t>
        </is>
      </c>
      <c r="D1094" s="3" t="n">
        <v>4649.44</v>
      </c>
      <c r="E1094" s="2" t="inlineStr">
        <is>
          <t>ACH</t>
        </is>
      </c>
      <c r="F1094" s="2" t="inlineStr">
        <is>
          <t>US</t>
        </is>
      </c>
      <c r="G1094" s="2" t="inlineStr">
        <is>
          <t>Retail</t>
        </is>
      </c>
    </row>
    <row r="1095">
      <c r="A1095" s="4" t="inlineStr">
        <is>
          <t>TXN_000992</t>
        </is>
      </c>
      <c r="B1095" s="4" t="inlineStr">
        <is>
          <t>C_00184</t>
        </is>
      </c>
      <c r="C1095" s="4" t="inlineStr">
        <is>
          <t>2026-03-15</t>
        </is>
      </c>
      <c r="D1095" s="5" t="n">
        <v>276.4</v>
      </c>
      <c r="E1095" s="4" t="inlineStr">
        <is>
          <t>Card</t>
        </is>
      </c>
      <c r="F1095" s="4" t="inlineStr">
        <is>
          <t>US</t>
        </is>
      </c>
      <c r="G1095" s="4" t="inlineStr">
        <is>
          <t>Food &amp; Beverage</t>
        </is>
      </c>
    </row>
    <row r="1096">
      <c r="A1096" s="2" t="inlineStr">
        <is>
          <t>TXN_000989</t>
        </is>
      </c>
      <c r="B1096" s="2" t="inlineStr">
        <is>
          <t>C_00127</t>
        </is>
      </c>
      <c r="C1096" s="2" t="inlineStr">
        <is>
          <t>2026-03-15</t>
        </is>
      </c>
      <c r="D1096" s="3" t="n">
        <v>3674.08</v>
      </c>
      <c r="E1096" s="2" t="inlineStr">
        <is>
          <t>Card</t>
        </is>
      </c>
      <c r="F1096" s="2" t="inlineStr">
        <is>
          <t>US</t>
        </is>
      </c>
      <c r="G1096" s="2" t="inlineStr">
        <is>
          <t>Retail</t>
        </is>
      </c>
    </row>
    <row r="1097">
      <c r="A1097" s="4" t="inlineStr">
        <is>
          <t>TXN_000985</t>
        </is>
      </c>
      <c r="B1097" s="4" t="inlineStr">
        <is>
          <t>C_00117</t>
        </is>
      </c>
      <c r="C1097" s="4" t="inlineStr">
        <is>
          <t>2026-03-15</t>
        </is>
      </c>
      <c r="D1097" s="5" t="n">
        <v>3529.37</v>
      </c>
      <c r="E1097" s="4" t="inlineStr">
        <is>
          <t>Wire Transfer</t>
        </is>
      </c>
      <c r="F1097" s="4" t="inlineStr">
        <is>
          <t>US</t>
        </is>
      </c>
      <c r="G1097" s="4" t="inlineStr">
        <is>
          <t>Electronics</t>
        </is>
      </c>
    </row>
    <row r="1098">
      <c r="A1098" s="2" t="inlineStr">
        <is>
          <t>TXN_000986</t>
        </is>
      </c>
      <c r="B1098" s="2" t="inlineStr">
        <is>
          <t>C_00291</t>
        </is>
      </c>
      <c r="C1098" s="2" t="inlineStr">
        <is>
          <t>2026-03-15</t>
        </is>
      </c>
      <c r="D1098" s="3" t="n">
        <v>8573.82</v>
      </c>
      <c r="E1098" s="2" t="inlineStr">
        <is>
          <t>Card</t>
        </is>
      </c>
      <c r="F1098" s="2" t="inlineStr">
        <is>
          <t>AE</t>
        </is>
      </c>
      <c r="G1098" s="2" t="inlineStr">
        <is>
          <t>Real Estate</t>
        </is>
      </c>
    </row>
    <row r="1099">
      <c r="A1099" s="4" t="inlineStr">
        <is>
          <t>TXN_000990</t>
        </is>
      </c>
      <c r="B1099" s="4" t="inlineStr">
        <is>
          <t>C_00102</t>
        </is>
      </c>
      <c r="C1099" s="4" t="inlineStr">
        <is>
          <t>2026-03-15</t>
        </is>
      </c>
      <c r="D1099" s="5" t="n">
        <v>4990.79</v>
      </c>
      <c r="E1099" s="4" t="inlineStr">
        <is>
          <t>Card</t>
        </is>
      </c>
      <c r="F1099" s="4" t="inlineStr">
        <is>
          <t>US</t>
        </is>
      </c>
      <c r="G1099" s="4" t="inlineStr">
        <is>
          <t>Travel</t>
        </is>
      </c>
    </row>
    <row r="1100">
      <c r="A1100" s="2" t="inlineStr">
        <is>
          <t>TXN_000988</t>
        </is>
      </c>
      <c r="B1100" s="2" t="inlineStr">
        <is>
          <t>C_00133</t>
        </is>
      </c>
      <c r="C1100" s="2" t="inlineStr">
        <is>
          <t>2026-03-15</t>
        </is>
      </c>
      <c r="D1100" s="3" t="n">
        <v>13235.75</v>
      </c>
      <c r="E1100" s="2" t="inlineStr">
        <is>
          <t>Mobile App</t>
        </is>
      </c>
      <c r="F1100" s="2" t="inlineStr">
        <is>
          <t>CN</t>
        </is>
      </c>
      <c r="G1100" s="2" t="inlineStr">
        <is>
          <t>Travel</t>
        </is>
      </c>
    </row>
    <row r="1101">
      <c r="A1101" s="4" t="inlineStr">
        <is>
          <t>TXN_000987</t>
        </is>
      </c>
      <c r="B1101" s="4" t="inlineStr">
        <is>
          <t>C_00091</t>
        </is>
      </c>
      <c r="C1101" s="4" t="inlineStr">
        <is>
          <t>2026-03-15</t>
        </is>
      </c>
      <c r="D1101" s="5" t="n">
        <v>19715.97</v>
      </c>
      <c r="E1101" s="4" t="inlineStr">
        <is>
          <t>ACH</t>
        </is>
      </c>
      <c r="F1101" s="4" t="inlineStr">
        <is>
          <t>AE</t>
        </is>
      </c>
      <c r="G1101" s="4" t="inlineStr">
        <is>
          <t>Jewelry</t>
        </is>
      </c>
    </row>
    <row r="1102">
      <c r="A1102" s="2" t="inlineStr">
        <is>
          <t>TXN_001012</t>
        </is>
      </c>
      <c r="B1102" s="2" t="inlineStr">
        <is>
          <t>C_00240</t>
        </is>
      </c>
      <c r="C1102" s="2" t="inlineStr">
        <is>
          <t>2026-03-16</t>
        </is>
      </c>
      <c r="D1102" s="3" t="n">
        <v>6845.24</v>
      </c>
      <c r="E1102" s="2" t="inlineStr">
        <is>
          <t>Mobile App</t>
        </is>
      </c>
      <c r="F1102" s="2" t="inlineStr">
        <is>
          <t>US</t>
        </is>
      </c>
      <c r="G1102" s="2" t="inlineStr">
        <is>
          <t>Travel</t>
        </is>
      </c>
    </row>
    <row r="1103">
      <c r="A1103" s="4" t="inlineStr">
        <is>
          <t>TXN_001011</t>
        </is>
      </c>
      <c r="B1103" s="4" t="inlineStr">
        <is>
          <t>C_00103</t>
        </is>
      </c>
      <c r="C1103" s="4" t="inlineStr">
        <is>
          <t>2026-03-16</t>
        </is>
      </c>
      <c r="D1103" s="5" t="n">
        <v>686.7</v>
      </c>
      <c r="E1103" s="4" t="inlineStr">
        <is>
          <t>Cash Deposit</t>
        </is>
      </c>
      <c r="F1103" s="4" t="inlineStr">
        <is>
          <t>US</t>
        </is>
      </c>
      <c r="G1103" s="4" t="inlineStr">
        <is>
          <t>Jewelry</t>
        </is>
      </c>
    </row>
    <row r="1104">
      <c r="A1104" s="2" t="inlineStr">
        <is>
          <t>TXN_001010</t>
        </is>
      </c>
      <c r="B1104" s="2" t="inlineStr">
        <is>
          <t>C_00146</t>
        </is>
      </c>
      <c r="C1104" s="2" t="inlineStr">
        <is>
          <t>2026-03-16</t>
        </is>
      </c>
      <c r="D1104" s="3" t="n">
        <v>4317.31</v>
      </c>
      <c r="E1104" s="2" t="inlineStr">
        <is>
          <t>ACH</t>
        </is>
      </c>
      <c r="F1104" s="2" t="inlineStr">
        <is>
          <t>US</t>
        </is>
      </c>
      <c r="G1104" s="2" t="inlineStr">
        <is>
          <t>Money Services</t>
        </is>
      </c>
    </row>
    <row r="1105">
      <c r="A1105" s="4" t="inlineStr">
        <is>
          <t>TXN_001009</t>
        </is>
      </c>
      <c r="B1105" s="4" t="inlineStr">
        <is>
          <t>C_00222</t>
        </is>
      </c>
      <c r="C1105" s="4" t="inlineStr">
        <is>
          <t>2026-03-16</t>
        </is>
      </c>
      <c r="D1105" s="5" t="n">
        <v>4681.7</v>
      </c>
      <c r="E1105" s="4" t="inlineStr">
        <is>
          <t>Cash Deposit</t>
        </is>
      </c>
      <c r="F1105" s="4" t="inlineStr">
        <is>
          <t>US</t>
        </is>
      </c>
      <c r="G1105" s="4" t="inlineStr">
        <is>
          <t>Electronics</t>
        </is>
      </c>
    </row>
    <row r="1106">
      <c r="A1106" s="2" t="inlineStr">
        <is>
          <t>TXN_001008</t>
        </is>
      </c>
      <c r="B1106" s="2" t="inlineStr">
        <is>
          <t>C_00129</t>
        </is>
      </c>
      <c r="C1106" s="2" t="inlineStr">
        <is>
          <t>2026-03-16</t>
        </is>
      </c>
      <c r="D1106" s="3" t="n">
        <v>4270.28</v>
      </c>
      <c r="E1106" s="2" t="inlineStr">
        <is>
          <t>Mobile App</t>
        </is>
      </c>
      <c r="F1106" s="2" t="inlineStr">
        <is>
          <t>US</t>
        </is>
      </c>
      <c r="G1106" s="2" t="inlineStr">
        <is>
          <t>Retail</t>
        </is>
      </c>
    </row>
    <row r="1107">
      <c r="A1107" s="4" t="inlineStr">
        <is>
          <t>TXN_001007</t>
        </is>
      </c>
      <c r="B1107" s="4" t="inlineStr">
        <is>
          <t>C_00134</t>
        </is>
      </c>
      <c r="C1107" s="4" t="inlineStr">
        <is>
          <t>2026-03-16</t>
        </is>
      </c>
      <c r="D1107" s="5" t="n">
        <v>2485.88</v>
      </c>
      <c r="E1107" s="4" t="inlineStr">
        <is>
          <t>Cash Deposit</t>
        </is>
      </c>
      <c r="F1107" s="4" t="inlineStr">
        <is>
          <t>US</t>
        </is>
      </c>
      <c r="G1107" s="4" t="inlineStr">
        <is>
          <t>Crypto Exchange</t>
        </is>
      </c>
    </row>
    <row r="1108">
      <c r="A1108" s="2" t="inlineStr">
        <is>
          <t>TXN_001006</t>
        </is>
      </c>
      <c r="B1108" s="2" t="inlineStr">
        <is>
          <t>C_00291</t>
        </is>
      </c>
      <c r="C1108" s="2" t="inlineStr">
        <is>
          <t>2026-03-16</t>
        </is>
      </c>
      <c r="D1108" s="3" t="n">
        <v>1430.81</v>
      </c>
      <c r="E1108" s="2" t="inlineStr">
        <is>
          <t>Card</t>
        </is>
      </c>
      <c r="F1108" s="2" t="inlineStr">
        <is>
          <t>RU</t>
        </is>
      </c>
      <c r="G1108" s="2" t="inlineStr">
        <is>
          <t>Electronics</t>
        </is>
      </c>
    </row>
    <row r="1109">
      <c r="A1109" s="4" t="inlineStr">
        <is>
          <t>TXN_001005</t>
        </is>
      </c>
      <c r="B1109" s="4" t="inlineStr">
        <is>
          <t>C_00065</t>
        </is>
      </c>
      <c r="C1109" s="4" t="inlineStr">
        <is>
          <t>2026-03-16</t>
        </is>
      </c>
      <c r="D1109" s="5" t="n">
        <v>829.6900000000001</v>
      </c>
      <c r="E1109" s="4" t="inlineStr">
        <is>
          <t>ACH</t>
        </is>
      </c>
      <c r="F1109" s="4" t="inlineStr">
        <is>
          <t>US</t>
        </is>
      </c>
      <c r="G1109" s="4" t="inlineStr">
        <is>
          <t>Jewelry</t>
        </is>
      </c>
    </row>
    <row r="1110">
      <c r="A1110" s="2" t="inlineStr">
        <is>
          <t>TXN_001002</t>
        </is>
      </c>
      <c r="B1110" s="2" t="inlineStr">
        <is>
          <t>C_00059</t>
        </is>
      </c>
      <c r="C1110" s="2" t="inlineStr">
        <is>
          <t>2026-03-16</t>
        </is>
      </c>
      <c r="D1110" s="3" t="n">
        <v>3532.86</v>
      </c>
      <c r="E1110" s="2" t="inlineStr">
        <is>
          <t>Card</t>
        </is>
      </c>
      <c r="F1110" s="2" t="inlineStr">
        <is>
          <t>US</t>
        </is>
      </c>
      <c r="G1110" s="2" t="inlineStr">
        <is>
          <t>Retail</t>
        </is>
      </c>
    </row>
    <row r="1111">
      <c r="A1111" s="4" t="inlineStr">
        <is>
          <t>TXN_001001</t>
        </is>
      </c>
      <c r="B1111" s="4" t="inlineStr">
        <is>
          <t>C_00287</t>
        </is>
      </c>
      <c r="C1111" s="4" t="inlineStr">
        <is>
          <t>2026-03-16</t>
        </is>
      </c>
      <c r="D1111" s="5" t="n">
        <v>703.17</v>
      </c>
      <c r="E1111" s="4" t="inlineStr">
        <is>
          <t>Mobile App</t>
        </is>
      </c>
      <c r="F1111" s="4" t="inlineStr">
        <is>
          <t>RU</t>
        </is>
      </c>
      <c r="G1111" s="4" t="inlineStr">
        <is>
          <t>Money Services</t>
        </is>
      </c>
    </row>
    <row r="1112">
      <c r="A1112" s="2" t="inlineStr">
        <is>
          <t>TXN_001000</t>
        </is>
      </c>
      <c r="B1112" s="2" t="inlineStr">
        <is>
          <t>C_00203</t>
        </is>
      </c>
      <c r="C1112" s="2" t="inlineStr">
        <is>
          <t>2026-03-16</t>
        </is>
      </c>
      <c r="D1112" s="3" t="n">
        <v>5233.43</v>
      </c>
      <c r="E1112" s="2" t="inlineStr">
        <is>
          <t>Mobile App</t>
        </is>
      </c>
      <c r="F1112" s="2" t="inlineStr">
        <is>
          <t>US</t>
        </is>
      </c>
      <c r="G1112" s="2" t="inlineStr">
        <is>
          <t>Electronics</t>
        </is>
      </c>
    </row>
    <row r="1113">
      <c r="A1113" s="4" t="inlineStr">
        <is>
          <t>TXN_000999</t>
        </is>
      </c>
      <c r="B1113" s="4" t="inlineStr">
        <is>
          <t>C_00152</t>
        </is>
      </c>
      <c r="C1113" s="4" t="inlineStr">
        <is>
          <t>2026-03-16</t>
        </is>
      </c>
      <c r="D1113" s="5" t="n">
        <v>1175.76</v>
      </c>
      <c r="E1113" s="4" t="inlineStr">
        <is>
          <t>Wire Transfer</t>
        </is>
      </c>
      <c r="F1113" s="4" t="inlineStr">
        <is>
          <t>AE</t>
        </is>
      </c>
      <c r="G1113" s="4" t="inlineStr">
        <is>
          <t>Crypto Exchange</t>
        </is>
      </c>
    </row>
    <row r="1114">
      <c r="A1114" s="2" t="inlineStr">
        <is>
          <t>TXN_000998</t>
        </is>
      </c>
      <c r="B1114" s="2" t="inlineStr">
        <is>
          <t>C_ORPHAN_001</t>
        </is>
      </c>
      <c r="C1114" s="2" t="inlineStr">
        <is>
          <t>2026-03-16</t>
        </is>
      </c>
      <c r="D1114" s="3" t="n">
        <v>1967.65</v>
      </c>
      <c r="E1114" s="2" t="inlineStr">
        <is>
          <t>Cash Deposit</t>
        </is>
      </c>
      <c r="F1114" s="2" t="inlineStr">
        <is>
          <t>AE</t>
        </is>
      </c>
      <c r="G1114" s="2" t="inlineStr">
        <is>
          <t>Retail</t>
        </is>
      </c>
    </row>
    <row r="1115">
      <c r="A1115" s="4" t="inlineStr">
        <is>
          <t>TXN_000997</t>
        </is>
      </c>
      <c r="B1115" s="4" t="inlineStr">
        <is>
          <t>C_00174</t>
        </is>
      </c>
      <c r="C1115" s="4" t="inlineStr">
        <is>
          <t>2026-03-16</t>
        </is>
      </c>
      <c r="D1115" s="5" t="n">
        <v>1056.09</v>
      </c>
      <c r="E1115" s="4" t="inlineStr">
        <is>
          <t>Card</t>
        </is>
      </c>
      <c r="F1115" s="4" t="inlineStr">
        <is>
          <t>US</t>
        </is>
      </c>
      <c r="G1115" s="4" t="inlineStr">
        <is>
          <t>Real Estate</t>
        </is>
      </c>
    </row>
    <row r="1116">
      <c r="A1116" s="2" t="inlineStr">
        <is>
          <t>TXN_001004</t>
        </is>
      </c>
      <c r="B1116" s="2" t="inlineStr">
        <is>
          <t>C_00146</t>
        </is>
      </c>
      <c r="C1116" s="2" t="inlineStr">
        <is>
          <t>2026-03-16</t>
        </is>
      </c>
      <c r="D1116" s="3" t="n">
        <v>12543.23</v>
      </c>
      <c r="E1116" s="2" t="inlineStr">
        <is>
          <t>Cash Deposit</t>
        </is>
      </c>
      <c r="F1116" s="2" t="inlineStr">
        <is>
          <t>NG</t>
        </is>
      </c>
      <c r="G1116" s="2" t="inlineStr">
        <is>
          <t>Money Services</t>
        </is>
      </c>
    </row>
    <row r="1117">
      <c r="A1117" s="4" t="inlineStr">
        <is>
          <t>TXN_001003</t>
        </is>
      </c>
      <c r="B1117" s="4" t="inlineStr">
        <is>
          <t>C_00281</t>
        </is>
      </c>
      <c r="C1117" s="4" t="inlineStr">
        <is>
          <t>2026-03-16</t>
        </is>
      </c>
      <c r="D1117" s="5" t="n">
        <v>2859.69</v>
      </c>
      <c r="E1117" s="4" t="inlineStr">
        <is>
          <t>Mobile App</t>
        </is>
      </c>
      <c r="F1117" s="4" t="inlineStr">
        <is>
          <t>US</t>
        </is>
      </c>
      <c r="G1117" s="4" t="inlineStr">
        <is>
          <t>Food &amp; Beverage</t>
        </is>
      </c>
    </row>
    <row r="1118">
      <c r="A1118" s="2" t="inlineStr">
        <is>
          <t>TXN_001013</t>
        </is>
      </c>
      <c r="B1118" s="2" t="inlineStr">
        <is>
          <t>C_00210</t>
        </is>
      </c>
      <c r="C1118" s="2" t="inlineStr">
        <is>
          <t>2026-03-17</t>
        </is>
      </c>
      <c r="D1118" s="3" t="n">
        <v>2552.57</v>
      </c>
      <c r="E1118" s="2" t="inlineStr">
        <is>
          <t>Mobile App</t>
        </is>
      </c>
      <c r="F1118" s="2" t="inlineStr">
        <is>
          <t>MX</t>
        </is>
      </c>
      <c r="G1118" s="2" t="inlineStr">
        <is>
          <t>Retail</t>
        </is>
      </c>
    </row>
    <row r="1119">
      <c r="A1119" s="4" t="inlineStr">
        <is>
          <t>TXN_001014</t>
        </is>
      </c>
      <c r="B1119" s="4" t="inlineStr">
        <is>
          <t>C_00251</t>
        </is>
      </c>
      <c r="C1119" s="4" t="inlineStr">
        <is>
          <t>2026-03-17</t>
        </is>
      </c>
      <c r="D1119" s="5" t="n">
        <v>1701.02</v>
      </c>
      <c r="E1119" s="4" t="inlineStr">
        <is>
          <t>Wire Transfer</t>
        </is>
      </c>
      <c r="F1119" s="4" t="inlineStr">
        <is>
          <t>MX</t>
        </is>
      </c>
      <c r="G1119" s="4" t="inlineStr">
        <is>
          <t>Jewelry</t>
        </is>
      </c>
    </row>
    <row r="1120">
      <c r="A1120" s="2" t="inlineStr">
        <is>
          <t>TXN_001016</t>
        </is>
      </c>
      <c r="B1120" s="2" t="inlineStr">
        <is>
          <t>C_00054</t>
        </is>
      </c>
      <c r="C1120" s="2" t="inlineStr">
        <is>
          <t>2026-03-17</t>
        </is>
      </c>
      <c r="D1120" s="3" t="n">
        <v>1499.26</v>
      </c>
      <c r="E1120" s="2" t="inlineStr">
        <is>
          <t>Card</t>
        </is>
      </c>
      <c r="F1120" s="2" t="inlineStr">
        <is>
          <t>AE</t>
        </is>
      </c>
      <c r="G1120" s="2" t="inlineStr">
        <is>
          <t>Money Services</t>
        </is>
      </c>
    </row>
    <row r="1121">
      <c r="A1121" s="4" t="inlineStr">
        <is>
          <t>TXN_001028</t>
        </is>
      </c>
      <c r="B1121" s="4" t="inlineStr">
        <is>
          <t>C_00077</t>
        </is>
      </c>
      <c r="C1121" s="4" t="inlineStr">
        <is>
          <t>2026-03-17</t>
        </is>
      </c>
      <c r="D1121" s="5" t="n">
        <v>377.22</v>
      </c>
      <c r="E1121" s="4" t="inlineStr">
        <is>
          <t>Cash Deposit</t>
        </is>
      </c>
      <c r="F1121" s="4" t="inlineStr">
        <is>
          <t>US</t>
        </is>
      </c>
      <c r="G1121" s="4" t="inlineStr">
        <is>
          <t>Electronics</t>
        </is>
      </c>
    </row>
    <row r="1122">
      <c r="A1122" s="2" t="inlineStr">
        <is>
          <t>TXN_001027</t>
        </is>
      </c>
      <c r="B1122" s="2" t="inlineStr">
        <is>
          <t>C_00298</t>
        </is>
      </c>
      <c r="C1122" s="2" t="inlineStr">
        <is>
          <t>2026-03-17</t>
        </is>
      </c>
      <c r="D1122" s="3" t="n">
        <v>3962.92</v>
      </c>
      <c r="E1122" s="2" t="inlineStr">
        <is>
          <t>ACH</t>
        </is>
      </c>
      <c r="F1122" s="2" t="inlineStr">
        <is>
          <t>CA</t>
        </is>
      </c>
      <c r="G1122" s="2" t="inlineStr">
        <is>
          <t>Travel</t>
        </is>
      </c>
    </row>
    <row r="1123">
      <c r="A1123" s="4" t="inlineStr">
        <is>
          <t>TXN_001025</t>
        </is>
      </c>
      <c r="B1123" s="4" t="inlineStr">
        <is>
          <t>C_00120</t>
        </is>
      </c>
      <c r="C1123" s="4" t="inlineStr">
        <is>
          <t>2026-03-17</t>
        </is>
      </c>
      <c r="D1123" s="5" t="n">
        <v>551.6799999999999</v>
      </c>
      <c r="E1123" s="4" t="inlineStr">
        <is>
          <t>ACH</t>
        </is>
      </c>
      <c r="F1123" s="4" t="inlineStr">
        <is>
          <t>US</t>
        </is>
      </c>
      <c r="G1123" s="4" t="inlineStr">
        <is>
          <t>Auto</t>
        </is>
      </c>
    </row>
    <row r="1124">
      <c r="A1124" s="2" t="inlineStr">
        <is>
          <t>TXN_001024</t>
        </is>
      </c>
      <c r="B1124" s="2" t="inlineStr">
        <is>
          <t>C_00269</t>
        </is>
      </c>
      <c r="C1124" s="2" t="inlineStr">
        <is>
          <t>2026-03-17</t>
        </is>
      </c>
      <c r="D1124" s="3" t="n">
        <v>2595.02</v>
      </c>
      <c r="E1124" s="2" t="inlineStr">
        <is>
          <t>ACH</t>
        </is>
      </c>
      <c r="F1124" s="2" t="inlineStr">
        <is>
          <t>US</t>
        </is>
      </c>
      <c r="G1124" s="2" t="inlineStr">
        <is>
          <t>Electronics</t>
        </is>
      </c>
    </row>
    <row r="1125">
      <c r="A1125" s="4" t="inlineStr">
        <is>
          <t>TXN_001023</t>
        </is>
      </c>
      <c r="B1125" s="4" t="inlineStr">
        <is>
          <t>C_00102</t>
        </is>
      </c>
      <c r="C1125" s="4" t="inlineStr">
        <is>
          <t>2026-03-17</t>
        </is>
      </c>
      <c r="D1125" s="5" t="n">
        <v>553.15</v>
      </c>
      <c r="E1125" s="4" t="inlineStr">
        <is>
          <t>Cash Deposit</t>
        </is>
      </c>
      <c r="F1125" s="4" t="inlineStr">
        <is>
          <t>NG</t>
        </is>
      </c>
      <c r="G1125" s="4" t="inlineStr">
        <is>
          <t>Crypto Exchange</t>
        </is>
      </c>
    </row>
    <row r="1126">
      <c r="A1126" s="2" t="inlineStr">
        <is>
          <t>TXN_001026</t>
        </is>
      </c>
      <c r="B1126" s="2" t="inlineStr">
        <is>
          <t>C_00051</t>
        </is>
      </c>
      <c r="C1126" s="2" t="inlineStr">
        <is>
          <t>2026-03-17</t>
        </is>
      </c>
      <c r="D1126" s="3" t="n">
        <v>2298.49</v>
      </c>
      <c r="E1126" s="2" t="inlineStr">
        <is>
          <t>Card</t>
        </is>
      </c>
      <c r="F1126" s="2" t="inlineStr">
        <is>
          <t>CN</t>
        </is>
      </c>
      <c r="G1126" s="2" t="inlineStr">
        <is>
          <t>Healthcare</t>
        </is>
      </c>
    </row>
    <row r="1127">
      <c r="A1127" s="4" t="inlineStr">
        <is>
          <t>TXN_001021</t>
        </is>
      </c>
      <c r="B1127" s="4" t="inlineStr">
        <is>
          <t>C_00132</t>
        </is>
      </c>
      <c r="C1127" s="4" t="inlineStr">
        <is>
          <t>2026-03-17</t>
        </is>
      </c>
      <c r="D1127" s="5" t="n">
        <v>5113.69</v>
      </c>
      <c r="E1127" s="4" t="inlineStr">
        <is>
          <t>ACH</t>
        </is>
      </c>
      <c r="F1127" s="4" t="inlineStr">
        <is>
          <t>US</t>
        </is>
      </c>
      <c r="G1127" s="4" t="inlineStr">
        <is>
          <t>Crypto Exchange</t>
        </is>
      </c>
    </row>
    <row r="1128">
      <c r="A1128" s="2" t="inlineStr">
        <is>
          <t>TXN_001020</t>
        </is>
      </c>
      <c r="B1128" s="2" t="inlineStr">
        <is>
          <t>C_00283</t>
        </is>
      </c>
      <c r="C1128" s="2" t="inlineStr">
        <is>
          <t>2026-03-17</t>
        </is>
      </c>
      <c r="D1128" s="3" t="n">
        <v>4464.24</v>
      </c>
      <c r="E1128" s="2" t="inlineStr">
        <is>
          <t>Card</t>
        </is>
      </c>
      <c r="F1128" s="2" t="inlineStr">
        <is>
          <t>US</t>
        </is>
      </c>
      <c r="G1128" s="2" t="inlineStr">
        <is>
          <t>Food &amp; Beverage</t>
        </is>
      </c>
    </row>
    <row r="1129">
      <c r="A1129" s="4" t="inlineStr">
        <is>
          <t>TXN_001019</t>
        </is>
      </c>
      <c r="B1129" s="4" t="inlineStr">
        <is>
          <t>C_ORPHAN_012</t>
        </is>
      </c>
      <c r="C1129" s="4" t="inlineStr">
        <is>
          <t>2026-03-17</t>
        </is>
      </c>
      <c r="D1129" s="5" t="n">
        <v>1594.41</v>
      </c>
      <c r="E1129" s="4" t="inlineStr">
        <is>
          <t>ACH</t>
        </is>
      </c>
      <c r="F1129" s="4" t="inlineStr">
        <is>
          <t>US</t>
        </is>
      </c>
      <c r="G1129" s="4" t="inlineStr">
        <is>
          <t>Auto</t>
        </is>
      </c>
    </row>
    <row r="1130">
      <c r="A1130" s="2" t="inlineStr">
        <is>
          <t>TXN_001018</t>
        </is>
      </c>
      <c r="B1130" s="2" t="inlineStr">
        <is>
          <t>C_00057</t>
        </is>
      </c>
      <c r="C1130" s="2" t="inlineStr">
        <is>
          <t>2026-03-17</t>
        </is>
      </c>
      <c r="D1130" s="3" t="n">
        <v>4797.78</v>
      </c>
      <c r="E1130" s="2" t="inlineStr">
        <is>
          <t>Mobile App</t>
        </is>
      </c>
      <c r="F1130" s="2" t="inlineStr">
        <is>
          <t>RU</t>
        </is>
      </c>
      <c r="G1130" s="2" t="inlineStr">
        <is>
          <t>Crypto Exchange</t>
        </is>
      </c>
    </row>
    <row r="1131">
      <c r="A1131" s="4" t="inlineStr">
        <is>
          <t>TXN_001017</t>
        </is>
      </c>
      <c r="B1131" s="4" t="inlineStr">
        <is>
          <t>C_00124</t>
        </is>
      </c>
      <c r="C1131" s="4" t="inlineStr">
        <is>
          <t>2026-03-17</t>
        </is>
      </c>
      <c r="D1131" s="5" t="n">
        <v>1134.56</v>
      </c>
      <c r="E1131" s="4" t="inlineStr">
        <is>
          <t>Card</t>
        </is>
      </c>
      <c r="F1131" s="4" t="inlineStr">
        <is>
          <t>US</t>
        </is>
      </c>
      <c r="G1131" s="4" t="inlineStr">
        <is>
          <t>Food &amp; Beverage</t>
        </is>
      </c>
    </row>
    <row r="1132">
      <c r="A1132" s="2" t="inlineStr">
        <is>
          <t>TXN_001022</t>
        </is>
      </c>
      <c r="B1132" s="2" t="inlineStr">
        <is>
          <t>C_00169</t>
        </is>
      </c>
      <c r="C1132" s="2" t="inlineStr">
        <is>
          <t>2026-03-17</t>
        </is>
      </c>
      <c r="D1132" s="3" t="n">
        <v>15397.15</v>
      </c>
      <c r="E1132" s="2" t="inlineStr">
        <is>
          <t>ACH</t>
        </is>
      </c>
      <c r="F1132" s="2" t="inlineStr">
        <is>
          <t>US</t>
        </is>
      </c>
      <c r="G1132" s="2" t="inlineStr">
        <is>
          <t>Electronics</t>
        </is>
      </c>
    </row>
    <row r="1133">
      <c r="A1133" s="4" t="inlineStr">
        <is>
          <t>TXN_001015</t>
        </is>
      </c>
      <c r="B1133" s="4" t="inlineStr">
        <is>
          <t>C_00214</t>
        </is>
      </c>
      <c r="C1133" s="4" t="inlineStr">
        <is>
          <t>2026-03-17</t>
        </is>
      </c>
      <c r="D1133" s="5" t="n">
        <v>1229.25</v>
      </c>
      <c r="E1133" s="4" t="inlineStr">
        <is>
          <t>Cash Deposit</t>
        </is>
      </c>
      <c r="F1133" s="4" t="inlineStr">
        <is>
          <t>US</t>
        </is>
      </c>
      <c r="G1133" s="4" t="inlineStr">
        <is>
          <t>Real Estate</t>
        </is>
      </c>
    </row>
    <row r="1134">
      <c r="A1134" s="2" t="inlineStr">
        <is>
          <t>TXN_001040</t>
        </is>
      </c>
      <c r="B1134" s="2" t="inlineStr">
        <is>
          <t>C_00176</t>
        </is>
      </c>
      <c r="C1134" s="2" t="inlineStr">
        <is>
          <t>2026-03-18</t>
        </is>
      </c>
      <c r="D1134" s="3" t="n">
        <v>828.4</v>
      </c>
      <c r="E1134" s="2" t="inlineStr">
        <is>
          <t>Mobile App</t>
        </is>
      </c>
      <c r="F1134" s="2" t="inlineStr">
        <is>
          <t>CA</t>
        </is>
      </c>
      <c r="G1134" s="2" t="inlineStr">
        <is>
          <t>Money Services</t>
        </is>
      </c>
    </row>
    <row r="1135">
      <c r="A1135" s="4" t="inlineStr">
        <is>
          <t>TXN_001047</t>
        </is>
      </c>
      <c r="B1135" s="4" t="inlineStr">
        <is>
          <t>C_00213</t>
        </is>
      </c>
      <c r="C1135" s="4" t="inlineStr">
        <is>
          <t>2026-03-18</t>
        </is>
      </c>
      <c r="D1135" s="5" t="n">
        <v>218.24</v>
      </c>
      <c r="E1135" s="4" t="inlineStr">
        <is>
          <t>Mobile App</t>
        </is>
      </c>
      <c r="F1135" s="4" t="inlineStr">
        <is>
          <t>MX</t>
        </is>
      </c>
      <c r="G1135" s="4" t="inlineStr">
        <is>
          <t>Jewelry</t>
        </is>
      </c>
    </row>
    <row r="1136">
      <c r="A1136" s="2" t="inlineStr">
        <is>
          <t>TXN_001046</t>
        </is>
      </c>
      <c r="B1136" s="2" t="inlineStr">
        <is>
          <t>C_00193</t>
        </is>
      </c>
      <c r="C1136" s="2" t="inlineStr">
        <is>
          <t>2026-03-18</t>
        </is>
      </c>
      <c r="D1136" s="3" t="n">
        <v>1862.1</v>
      </c>
      <c r="E1136" s="2" t="inlineStr">
        <is>
          <t>Card</t>
        </is>
      </c>
      <c r="F1136" s="2" t="inlineStr">
        <is>
          <t>US</t>
        </is>
      </c>
      <c r="G1136" s="2" t="inlineStr">
        <is>
          <t>Retail</t>
        </is>
      </c>
    </row>
    <row r="1137">
      <c r="A1137" s="4" t="inlineStr">
        <is>
          <t>TXN_001045</t>
        </is>
      </c>
      <c r="B1137" s="4" t="inlineStr">
        <is>
          <t>C_00116</t>
        </is>
      </c>
      <c r="C1137" s="4" t="inlineStr">
        <is>
          <t>2026-03-18</t>
        </is>
      </c>
      <c r="D1137" s="5" t="n">
        <v>5124.62</v>
      </c>
      <c r="E1137" s="4" t="inlineStr">
        <is>
          <t>Wire Transfer</t>
        </is>
      </c>
      <c r="F1137" s="4" t="inlineStr">
        <is>
          <t>US</t>
        </is>
      </c>
      <c r="G1137" s="4" t="inlineStr">
        <is>
          <t>Real Estate</t>
        </is>
      </c>
    </row>
    <row r="1138">
      <c r="A1138" s="2" t="inlineStr">
        <is>
          <t>TXN_001044</t>
        </is>
      </c>
      <c r="B1138" s="2" t="inlineStr">
        <is>
          <t>C_00217</t>
        </is>
      </c>
      <c r="C1138" s="2" t="inlineStr">
        <is>
          <t>2026-03-18</t>
        </is>
      </c>
      <c r="D1138" s="3" t="n">
        <v>542.76</v>
      </c>
      <c r="E1138" s="2" t="inlineStr">
        <is>
          <t>Wire Transfer</t>
        </is>
      </c>
      <c r="F1138" s="2" t="inlineStr">
        <is>
          <t>NG</t>
        </is>
      </c>
      <c r="G1138" s="2" t="inlineStr">
        <is>
          <t>Travel</t>
        </is>
      </c>
    </row>
    <row r="1139">
      <c r="A1139" s="4" t="inlineStr">
        <is>
          <t>TXN_001043</t>
        </is>
      </c>
      <c r="B1139" s="4" t="inlineStr">
        <is>
          <t>C_00166</t>
        </is>
      </c>
      <c r="C1139" s="4" t="inlineStr">
        <is>
          <t>2026-03-18</t>
        </is>
      </c>
      <c r="D1139" s="5" t="n">
        <v>532.9400000000001</v>
      </c>
      <c r="E1139" s="4" t="inlineStr">
        <is>
          <t>ACH</t>
        </is>
      </c>
      <c r="F1139" s="4" t="inlineStr">
        <is>
          <t>RU</t>
        </is>
      </c>
      <c r="G1139" s="4" t="inlineStr">
        <is>
          <t>Money Services</t>
        </is>
      </c>
    </row>
    <row r="1140">
      <c r="A1140" s="2" t="inlineStr">
        <is>
          <t>TXN_001042</t>
        </is>
      </c>
      <c r="B1140" s="2" t="inlineStr">
        <is>
          <t>C_00266</t>
        </is>
      </c>
      <c r="C1140" s="2" t="inlineStr">
        <is>
          <t>2026-03-18</t>
        </is>
      </c>
      <c r="D1140" s="3" t="n">
        <v>682.72</v>
      </c>
      <c r="E1140" s="2" t="inlineStr">
        <is>
          <t>Mobile App</t>
        </is>
      </c>
      <c r="F1140" s="2" t="inlineStr">
        <is>
          <t>US</t>
        </is>
      </c>
      <c r="G1140" s="2" t="inlineStr">
        <is>
          <t>Travel</t>
        </is>
      </c>
    </row>
    <row r="1141">
      <c r="A1141" s="4" t="inlineStr">
        <is>
          <t>TXN_001041</t>
        </is>
      </c>
      <c r="B1141" s="4" t="inlineStr">
        <is>
          <t>C_00205</t>
        </is>
      </c>
      <c r="C1141" s="4" t="inlineStr">
        <is>
          <t>2026-03-18</t>
        </is>
      </c>
      <c r="D1141" s="5" t="n">
        <v>187.2</v>
      </c>
      <c r="E1141" s="4" t="inlineStr">
        <is>
          <t>Card</t>
        </is>
      </c>
      <c r="F1141" s="4" t="inlineStr">
        <is>
          <t>US</t>
        </is>
      </c>
      <c r="G1141" s="4" t="inlineStr">
        <is>
          <t>Money Services</t>
        </is>
      </c>
    </row>
    <row r="1142">
      <c r="A1142" s="2" t="inlineStr">
        <is>
          <t>TXN_001039</t>
        </is>
      </c>
      <c r="B1142" s="2" t="inlineStr">
        <is>
          <t>C_00127</t>
        </is>
      </c>
      <c r="C1142" s="2" t="inlineStr">
        <is>
          <t>2026-03-18</t>
        </is>
      </c>
      <c r="D1142" s="3" t="n">
        <v>806.92</v>
      </c>
      <c r="E1142" s="2" t="inlineStr">
        <is>
          <t>Wire Transfer</t>
        </is>
      </c>
      <c r="F1142" s="2" t="inlineStr">
        <is>
          <t>CN</t>
        </is>
      </c>
      <c r="G1142" s="2" t="inlineStr">
        <is>
          <t>Healthcare</t>
        </is>
      </c>
    </row>
    <row r="1143">
      <c r="A1143" s="4" t="inlineStr">
        <is>
          <t>TXN_001037</t>
        </is>
      </c>
      <c r="B1143" s="4" t="inlineStr">
        <is>
          <t>C_00096</t>
        </is>
      </c>
      <c r="C1143" s="4" t="inlineStr">
        <is>
          <t>2026-03-18</t>
        </is>
      </c>
      <c r="D1143" s="5" t="n">
        <v>1723.8</v>
      </c>
      <c r="E1143" s="4" t="inlineStr">
        <is>
          <t>ACH</t>
        </is>
      </c>
      <c r="F1143" s="4" t="inlineStr">
        <is>
          <t>CN</t>
        </is>
      </c>
      <c r="G1143" s="4" t="inlineStr">
        <is>
          <t>Food &amp; Beverage</t>
        </is>
      </c>
    </row>
    <row r="1144">
      <c r="A1144" s="2" t="inlineStr">
        <is>
          <t>TXN_001036</t>
        </is>
      </c>
      <c r="B1144" s="2" t="inlineStr">
        <is>
          <t>C_00122</t>
        </is>
      </c>
      <c r="C1144" s="2" t="inlineStr">
        <is>
          <t>2026-03-18</t>
        </is>
      </c>
      <c r="D1144" s="3" t="n">
        <v>1670.76</v>
      </c>
      <c r="E1144" s="2" t="inlineStr">
        <is>
          <t>ACH</t>
        </is>
      </c>
      <c r="F1144" s="2" t="inlineStr">
        <is>
          <t>US</t>
        </is>
      </c>
      <c r="G1144" s="2" t="inlineStr">
        <is>
          <t>Crypto Exchange</t>
        </is>
      </c>
    </row>
    <row r="1145">
      <c r="A1145" s="4" t="inlineStr">
        <is>
          <t>TXN_001035</t>
        </is>
      </c>
      <c r="B1145" s="4" t="inlineStr">
        <is>
          <t>C_00074</t>
        </is>
      </c>
      <c r="C1145" s="4" t="inlineStr">
        <is>
          <t>2026-03-18</t>
        </is>
      </c>
      <c r="D1145" s="5" t="n">
        <v>367.21</v>
      </c>
      <c r="E1145" s="4" t="inlineStr">
        <is>
          <t>ACH</t>
        </is>
      </c>
      <c r="F1145" s="4" t="inlineStr">
        <is>
          <t>CN</t>
        </is>
      </c>
      <c r="G1145" s="4" t="inlineStr">
        <is>
          <t>Jewelry</t>
        </is>
      </c>
    </row>
    <row r="1146">
      <c r="A1146" s="2" t="inlineStr">
        <is>
          <t>TXN_001034</t>
        </is>
      </c>
      <c r="B1146" s="2" t="inlineStr">
        <is>
          <t>C_00205</t>
        </is>
      </c>
      <c r="C1146" s="2" t="inlineStr">
        <is>
          <t>2026-03-18</t>
        </is>
      </c>
      <c r="D1146" s="3" t="n">
        <v>3467.58</v>
      </c>
      <c r="E1146" s="2" t="inlineStr">
        <is>
          <t>Wire Transfer</t>
        </is>
      </c>
      <c r="F1146" s="2" t="inlineStr">
        <is>
          <t>NG</t>
        </is>
      </c>
      <c r="G1146" s="2" t="inlineStr">
        <is>
          <t>Auto</t>
        </is>
      </c>
    </row>
    <row r="1147">
      <c r="A1147" s="4" t="inlineStr">
        <is>
          <t>TXN_001033</t>
        </is>
      </c>
      <c r="B1147" s="4" t="inlineStr">
        <is>
          <t>C_00054</t>
        </is>
      </c>
      <c r="C1147" s="4" t="inlineStr">
        <is>
          <t>2026-03-18</t>
        </is>
      </c>
      <c r="D1147" s="5" t="n">
        <v>1056.85</v>
      </c>
      <c r="E1147" s="4" t="inlineStr">
        <is>
          <t>Card</t>
        </is>
      </c>
      <c r="F1147" s="4" t="inlineStr">
        <is>
          <t>US</t>
        </is>
      </c>
      <c r="G1147" s="4" t="inlineStr">
        <is>
          <t>Jewelry</t>
        </is>
      </c>
    </row>
    <row r="1148">
      <c r="A1148" s="2" t="inlineStr">
        <is>
          <t>TXN_001032</t>
        </is>
      </c>
      <c r="B1148" s="2" t="inlineStr">
        <is>
          <t>C_00275</t>
        </is>
      </c>
      <c r="C1148" s="2" t="inlineStr">
        <is>
          <t>2026-03-18</t>
        </is>
      </c>
      <c r="D1148" s="3" t="n">
        <v>628.38</v>
      </c>
      <c r="E1148" s="2" t="inlineStr">
        <is>
          <t>Mobile App</t>
        </is>
      </c>
      <c r="F1148" s="2" t="inlineStr">
        <is>
          <t>US</t>
        </is>
      </c>
      <c r="G1148" s="2" t="inlineStr">
        <is>
          <t>Auto</t>
        </is>
      </c>
    </row>
    <row r="1149">
      <c r="A1149" s="4" t="inlineStr">
        <is>
          <t>TXN_001031</t>
        </is>
      </c>
      <c r="B1149" s="4" t="inlineStr">
        <is>
          <t>C_00148</t>
        </is>
      </c>
      <c r="C1149" s="4" t="inlineStr">
        <is>
          <t>2026-03-18</t>
        </is>
      </c>
      <c r="D1149" s="5" t="n">
        <v>43.27</v>
      </c>
      <c r="E1149" s="4" t="inlineStr">
        <is>
          <t>ACH</t>
        </is>
      </c>
      <c r="F1149" s="4" t="inlineStr">
        <is>
          <t>US</t>
        </is>
      </c>
      <c r="G1149" s="4" t="inlineStr">
        <is>
          <t>Jewelry</t>
        </is>
      </c>
    </row>
    <row r="1150">
      <c r="A1150" s="2" t="inlineStr">
        <is>
          <t>TXN_001030</t>
        </is>
      </c>
      <c r="B1150" s="2" t="inlineStr">
        <is>
          <t>C_00298</t>
        </is>
      </c>
      <c r="C1150" s="2" t="inlineStr">
        <is>
          <t>2026-03-18</t>
        </is>
      </c>
      <c r="D1150" s="3" t="n">
        <v>1834.07</v>
      </c>
      <c r="E1150" s="2" t="inlineStr">
        <is>
          <t>Cash Deposit</t>
        </is>
      </c>
      <c r="F1150" s="2" t="inlineStr">
        <is>
          <t>CA</t>
        </is>
      </c>
      <c r="G1150" s="2" t="inlineStr">
        <is>
          <t>Food &amp; Beverage</t>
        </is>
      </c>
    </row>
    <row r="1151">
      <c r="A1151" s="4" t="inlineStr">
        <is>
          <t>TXN_001029</t>
        </is>
      </c>
      <c r="B1151" s="4" t="inlineStr">
        <is>
          <t>C_00198</t>
        </is>
      </c>
      <c r="C1151" s="4" t="inlineStr">
        <is>
          <t>2026-03-18</t>
        </is>
      </c>
      <c r="D1151" s="5" t="n">
        <v>2632.79</v>
      </c>
      <c r="E1151" s="4" t="inlineStr">
        <is>
          <t>ACH</t>
        </is>
      </c>
      <c r="F1151" s="4" t="inlineStr">
        <is>
          <t>US</t>
        </is>
      </c>
      <c r="G1151" s="4" t="inlineStr">
        <is>
          <t>Auto</t>
        </is>
      </c>
    </row>
    <row r="1152">
      <c r="A1152" s="2" t="inlineStr">
        <is>
          <t>TXN_001038</t>
        </is>
      </c>
      <c r="B1152" s="2" t="inlineStr">
        <is>
          <t>C_00266</t>
        </is>
      </c>
      <c r="C1152" s="2" t="inlineStr">
        <is>
          <t>2026-03-18</t>
        </is>
      </c>
      <c r="D1152" s="3" t="n">
        <v>1515.13</v>
      </c>
      <c r="E1152" s="2" t="inlineStr">
        <is>
          <t>Card</t>
        </is>
      </c>
      <c r="F1152" s="2" t="inlineStr">
        <is>
          <t>CA</t>
        </is>
      </c>
      <c r="G1152" s="2" t="inlineStr">
        <is>
          <t>Food &amp; Beverage</t>
        </is>
      </c>
    </row>
    <row r="1153">
      <c r="A1153" s="4" t="inlineStr">
        <is>
          <t>TXN_001060</t>
        </is>
      </c>
      <c r="B1153" s="4" t="inlineStr">
        <is>
          <t>C_00141</t>
        </is>
      </c>
      <c r="C1153" s="4" t="inlineStr">
        <is>
          <t>2026-03-19</t>
        </is>
      </c>
      <c r="D1153" s="5" t="n">
        <v>569.9299999999999</v>
      </c>
      <c r="E1153" s="4" t="inlineStr">
        <is>
          <t>ACH</t>
        </is>
      </c>
      <c r="F1153" s="4" t="inlineStr">
        <is>
          <t>CA</t>
        </is>
      </c>
      <c r="G1153" s="4" t="inlineStr">
        <is>
          <t>Retail</t>
        </is>
      </c>
    </row>
    <row r="1154">
      <c r="A1154" s="2" t="inlineStr">
        <is>
          <t>TXN_001059</t>
        </is>
      </c>
      <c r="B1154" s="2" t="inlineStr">
        <is>
          <t>C_00151</t>
        </is>
      </c>
      <c r="C1154" s="2" t="inlineStr">
        <is>
          <t>2026-03-19</t>
        </is>
      </c>
      <c r="D1154" s="3" t="n">
        <v>2251.87</v>
      </c>
      <c r="E1154" s="2" t="inlineStr">
        <is>
          <t>Card</t>
        </is>
      </c>
      <c r="F1154" s="2" t="inlineStr">
        <is>
          <t>US</t>
        </is>
      </c>
      <c r="G1154" s="2" t="inlineStr">
        <is>
          <t>Crypto Exchange</t>
        </is>
      </c>
    </row>
    <row r="1155">
      <c r="A1155" s="4" t="inlineStr">
        <is>
          <t>TXN_001058</t>
        </is>
      </c>
      <c r="B1155" s="4" t="inlineStr">
        <is>
          <t>C_00289</t>
        </is>
      </c>
      <c r="C1155" s="4" t="inlineStr">
        <is>
          <t>2026-03-19</t>
        </is>
      </c>
      <c r="D1155" s="5" t="n">
        <v>1059.11</v>
      </c>
      <c r="E1155" s="4" t="inlineStr">
        <is>
          <t>Cash Deposit</t>
        </is>
      </c>
      <c r="F1155" s="4" t="inlineStr">
        <is>
          <t>US</t>
        </is>
      </c>
      <c r="G1155" s="4" t="inlineStr">
        <is>
          <t>Auto</t>
        </is>
      </c>
    </row>
    <row r="1156">
      <c r="A1156" s="2" t="inlineStr">
        <is>
          <t>TXN_001057</t>
        </is>
      </c>
      <c r="B1156" s="2" t="inlineStr">
        <is>
          <t>C_00038</t>
        </is>
      </c>
      <c r="C1156" s="2" t="inlineStr">
        <is>
          <t>2026-03-19</t>
        </is>
      </c>
      <c r="D1156" s="3" t="n">
        <v>1622.38</v>
      </c>
      <c r="E1156" s="2" t="inlineStr">
        <is>
          <t>ACH</t>
        </is>
      </c>
      <c r="F1156" s="2" t="inlineStr">
        <is>
          <t>AE</t>
        </is>
      </c>
      <c r="G1156" s="2" t="inlineStr">
        <is>
          <t>Jewelry</t>
        </is>
      </c>
    </row>
    <row r="1157">
      <c r="A1157" s="4" t="inlineStr">
        <is>
          <t>TXN_001056</t>
        </is>
      </c>
      <c r="B1157" s="4" t="inlineStr">
        <is>
          <t>C_00192</t>
        </is>
      </c>
      <c r="C1157" s="4" t="inlineStr">
        <is>
          <t>2026-03-19</t>
        </is>
      </c>
      <c r="D1157" s="5" t="n">
        <v>310.85</v>
      </c>
      <c r="E1157" s="4" t="inlineStr">
        <is>
          <t>Cash Deposit</t>
        </is>
      </c>
      <c r="F1157" s="4" t="inlineStr">
        <is>
          <t>US</t>
        </is>
      </c>
      <c r="G1157" s="4" t="inlineStr">
        <is>
          <t>Money Services</t>
        </is>
      </c>
    </row>
    <row r="1158">
      <c r="A1158" s="2" t="inlineStr">
        <is>
          <t>TXN_001055</t>
        </is>
      </c>
      <c r="B1158" s="2" t="inlineStr">
        <is>
          <t>C_00213</t>
        </is>
      </c>
      <c r="C1158" s="2" t="inlineStr">
        <is>
          <t>2026-03-19</t>
        </is>
      </c>
      <c r="D1158" s="3" t="n">
        <v>12225.44</v>
      </c>
      <c r="E1158" s="2" t="inlineStr">
        <is>
          <t>Card</t>
        </is>
      </c>
      <c r="F1158" s="2" t="inlineStr">
        <is>
          <t>US</t>
        </is>
      </c>
      <c r="G1158" s="2" t="inlineStr">
        <is>
          <t>Jewelry</t>
        </is>
      </c>
    </row>
    <row r="1159">
      <c r="A1159" s="4" t="inlineStr">
        <is>
          <t>TXN_001050</t>
        </is>
      </c>
      <c r="B1159" s="4" t="inlineStr">
        <is>
          <t>C_00176</t>
        </is>
      </c>
      <c r="C1159" s="4" t="inlineStr">
        <is>
          <t>2026-03-19</t>
        </is>
      </c>
      <c r="D1159" s="5" t="n">
        <v>1213.04</v>
      </c>
      <c r="E1159" s="4" t="inlineStr">
        <is>
          <t>Wire Transfer</t>
        </is>
      </c>
      <c r="F1159" s="4" t="inlineStr">
        <is>
          <t>US</t>
        </is>
      </c>
      <c r="G1159" s="4" t="inlineStr">
        <is>
          <t>Food &amp; Beverage</t>
        </is>
      </c>
    </row>
    <row r="1160">
      <c r="A1160" s="2" t="inlineStr">
        <is>
          <t>TXN_001053</t>
        </is>
      </c>
      <c r="B1160" s="2" t="inlineStr">
        <is>
          <t>C_00179</t>
        </is>
      </c>
      <c r="C1160" s="2" t="inlineStr">
        <is>
          <t>2026-03-19</t>
        </is>
      </c>
      <c r="D1160" s="3" t="n">
        <v>483.62</v>
      </c>
      <c r="E1160" s="2" t="inlineStr">
        <is>
          <t>Card</t>
        </is>
      </c>
      <c r="F1160" s="2" t="inlineStr">
        <is>
          <t>CA</t>
        </is>
      </c>
      <c r="G1160" s="2" t="inlineStr">
        <is>
          <t>Crypto Exchange</t>
        </is>
      </c>
    </row>
    <row r="1161">
      <c r="A1161" s="4" t="inlineStr">
        <is>
          <t>TXN_001052</t>
        </is>
      </c>
      <c r="B1161" s="4" t="inlineStr">
        <is>
          <t>C_00110</t>
        </is>
      </c>
      <c r="C1161" s="4" t="inlineStr">
        <is>
          <t>2026-03-19</t>
        </is>
      </c>
      <c r="D1161" s="5" t="n">
        <v>1060.85</v>
      </c>
      <c r="E1161" s="4" t="inlineStr">
        <is>
          <t>ACH</t>
        </is>
      </c>
      <c r="F1161" s="4" t="inlineStr">
        <is>
          <t>US</t>
        </is>
      </c>
      <c r="G1161" s="4" t="inlineStr">
        <is>
          <t>Jewelry</t>
        </is>
      </c>
    </row>
    <row r="1162">
      <c r="A1162" s="2" t="inlineStr">
        <is>
          <t>TXN_001051</t>
        </is>
      </c>
      <c r="B1162" s="2" t="inlineStr">
        <is>
          <t>C_ORPHAN_007</t>
        </is>
      </c>
      <c r="C1162" s="2" t="inlineStr">
        <is>
          <t>2026-03-19</t>
        </is>
      </c>
      <c r="D1162" s="3" t="n">
        <v>2244.87</v>
      </c>
      <c r="E1162" s="2" t="inlineStr">
        <is>
          <t>Mobile App</t>
        </is>
      </c>
      <c r="F1162" s="2" t="inlineStr">
        <is>
          <t>CA</t>
        </is>
      </c>
      <c r="G1162" s="2" t="inlineStr">
        <is>
          <t>Real Estate</t>
        </is>
      </c>
    </row>
    <row r="1163">
      <c r="A1163" s="4" t="inlineStr">
        <is>
          <t>TXN_001049</t>
        </is>
      </c>
      <c r="B1163" s="4" t="inlineStr">
        <is>
          <t>C_00244</t>
        </is>
      </c>
      <c r="C1163" s="4" t="inlineStr">
        <is>
          <t>2026-03-19</t>
        </is>
      </c>
      <c r="D1163" s="5" t="n">
        <v>3327.75</v>
      </c>
      <c r="E1163" s="4" t="inlineStr">
        <is>
          <t>Wire Transfer</t>
        </is>
      </c>
      <c r="F1163" s="4" t="inlineStr">
        <is>
          <t>US</t>
        </is>
      </c>
      <c r="G1163" s="4" t="inlineStr">
        <is>
          <t>Real Estate</t>
        </is>
      </c>
    </row>
    <row r="1164">
      <c r="A1164" s="2" t="inlineStr">
        <is>
          <t>TXN_001048</t>
        </is>
      </c>
      <c r="B1164" s="2" t="inlineStr">
        <is>
          <t>C_00105</t>
        </is>
      </c>
      <c r="C1164" s="2" t="inlineStr">
        <is>
          <t>2026-03-19</t>
        </is>
      </c>
      <c r="D1164" s="3" t="n">
        <v>1383.06</v>
      </c>
      <c r="E1164" s="2" t="inlineStr">
        <is>
          <t>Mobile App</t>
        </is>
      </c>
      <c r="F1164" s="2" t="inlineStr">
        <is>
          <t>AE</t>
        </is>
      </c>
      <c r="G1164" s="2" t="inlineStr">
        <is>
          <t>Travel</t>
        </is>
      </c>
    </row>
    <row r="1165">
      <c r="A1165" s="4" t="inlineStr">
        <is>
          <t>TXN_001054</t>
        </is>
      </c>
      <c r="B1165" s="4" t="inlineStr">
        <is>
          <t>C_00199</t>
        </is>
      </c>
      <c r="C1165" s="4" t="inlineStr">
        <is>
          <t>2026-03-19</t>
        </is>
      </c>
      <c r="D1165" s="5" t="n">
        <v>1294.6</v>
      </c>
      <c r="E1165" s="4" t="inlineStr">
        <is>
          <t>Wire Transfer</t>
        </is>
      </c>
      <c r="F1165" s="4" t="inlineStr">
        <is>
          <t>CN</t>
        </is>
      </c>
      <c r="G1165" s="4" t="inlineStr">
        <is>
          <t>Jewelry</t>
        </is>
      </c>
    </row>
    <row r="1166">
      <c r="A1166" s="2" t="inlineStr">
        <is>
          <t>TXN_001061</t>
        </is>
      </c>
      <c r="B1166" s="2" t="inlineStr">
        <is>
          <t>C_ORPHAN_018</t>
        </is>
      </c>
      <c r="C1166" s="2" t="inlineStr">
        <is>
          <t>2026-03-19</t>
        </is>
      </c>
      <c r="D1166" s="3" t="n">
        <v>3296.31</v>
      </c>
      <c r="E1166" s="2" t="inlineStr">
        <is>
          <t>Mobile App</t>
        </is>
      </c>
      <c r="F1166" s="2" t="inlineStr">
        <is>
          <t>AE</t>
        </is>
      </c>
      <c r="G1166" s="2" t="inlineStr">
        <is>
          <t>Electronics</t>
        </is>
      </c>
    </row>
    <row r="1167">
      <c r="A1167" s="4" t="inlineStr">
        <is>
          <t>TXN_001066</t>
        </is>
      </c>
      <c r="B1167" s="4" t="inlineStr">
        <is>
          <t>C_00236</t>
        </is>
      </c>
      <c r="C1167" s="4" t="inlineStr">
        <is>
          <t>2026-03-20</t>
        </is>
      </c>
      <c r="D1167" s="5" t="n">
        <v>3441.15</v>
      </c>
      <c r="E1167" s="4" t="inlineStr">
        <is>
          <t>Wire Transfer</t>
        </is>
      </c>
      <c r="F1167" s="4" t="inlineStr">
        <is>
          <t>NG</t>
        </is>
      </c>
      <c r="G1167" s="4" t="inlineStr">
        <is>
          <t>Travel</t>
        </is>
      </c>
    </row>
    <row r="1168">
      <c r="A1168" s="2" t="inlineStr">
        <is>
          <t>TXN_001070</t>
        </is>
      </c>
      <c r="B1168" s="2" t="inlineStr">
        <is>
          <t>C_00088</t>
        </is>
      </c>
      <c r="C1168" s="2" t="inlineStr">
        <is>
          <t>2026-03-20</t>
        </is>
      </c>
      <c r="D1168" s="3" t="n">
        <v>4979.28</v>
      </c>
      <c r="E1168" s="2" t="inlineStr">
        <is>
          <t>Cash Deposit</t>
        </is>
      </c>
      <c r="F1168" s="2" t="inlineStr">
        <is>
          <t>MX</t>
        </is>
      </c>
      <c r="G1168" s="2" t="inlineStr">
        <is>
          <t>Real Estate</t>
        </is>
      </c>
    </row>
    <row r="1169">
      <c r="A1169" s="4" t="inlineStr">
        <is>
          <t>TXN_001071</t>
        </is>
      </c>
      <c r="B1169" s="4" t="inlineStr">
        <is>
          <t>C_00284</t>
        </is>
      </c>
      <c r="C1169" s="4" t="inlineStr">
        <is>
          <t>2026-03-20</t>
        </is>
      </c>
      <c r="D1169" s="5" t="n">
        <v>203.09</v>
      </c>
      <c r="E1169" s="4" t="inlineStr">
        <is>
          <t>Cash Deposit</t>
        </is>
      </c>
      <c r="F1169" s="4" t="inlineStr">
        <is>
          <t>CN</t>
        </is>
      </c>
      <c r="G1169" s="4" t="inlineStr">
        <is>
          <t>Travel</t>
        </is>
      </c>
    </row>
    <row r="1170">
      <c r="A1170" s="2" t="inlineStr">
        <is>
          <t>TXN_001076</t>
        </is>
      </c>
      <c r="B1170" s="2" t="inlineStr">
        <is>
          <t>C_00147</t>
        </is>
      </c>
      <c r="C1170" s="2" t="inlineStr">
        <is>
          <t>2026-03-20</t>
        </is>
      </c>
      <c r="D1170" s="3" t="n">
        <v>67.59</v>
      </c>
      <c r="E1170" s="2" t="inlineStr">
        <is>
          <t>ACH</t>
        </is>
      </c>
      <c r="F1170" s="2" t="inlineStr">
        <is>
          <t>US</t>
        </is>
      </c>
      <c r="G1170" s="2" t="inlineStr">
        <is>
          <t>Electronics</t>
        </is>
      </c>
    </row>
    <row r="1171">
      <c r="A1171" s="4" t="inlineStr">
        <is>
          <t>TXN_001075</t>
        </is>
      </c>
      <c r="B1171" s="4" t="inlineStr">
        <is>
          <t>C_00253</t>
        </is>
      </c>
      <c r="C1171" s="4" t="inlineStr">
        <is>
          <t>2026-03-20</t>
        </is>
      </c>
      <c r="D1171" s="5" t="n">
        <v>2717.62</v>
      </c>
      <c r="E1171" s="4" t="inlineStr">
        <is>
          <t>ACH</t>
        </is>
      </c>
      <c r="F1171" s="4" t="inlineStr">
        <is>
          <t>US</t>
        </is>
      </c>
      <c r="G1171" s="4" t="inlineStr">
        <is>
          <t>Money Services</t>
        </is>
      </c>
    </row>
    <row r="1172">
      <c r="A1172" s="2" t="inlineStr">
        <is>
          <t>TXN_001074</t>
        </is>
      </c>
      <c r="B1172" s="2" t="inlineStr">
        <is>
          <t>C_00043</t>
        </is>
      </c>
      <c r="C1172" s="2" t="inlineStr">
        <is>
          <t>2026-03-20</t>
        </is>
      </c>
      <c r="D1172" s="3" t="n">
        <v>2102.75</v>
      </c>
      <c r="E1172" s="2" t="inlineStr">
        <is>
          <t>Cash Deposit</t>
        </is>
      </c>
      <c r="F1172" s="2" t="inlineStr">
        <is>
          <t>US</t>
        </is>
      </c>
      <c r="G1172" s="2" t="inlineStr">
        <is>
          <t>Jewelry</t>
        </is>
      </c>
    </row>
    <row r="1173">
      <c r="A1173" s="4" t="inlineStr">
        <is>
          <t>TXN_001073</t>
        </is>
      </c>
      <c r="B1173" s="4" t="inlineStr">
        <is>
          <t>C_00136</t>
        </is>
      </c>
      <c r="C1173" s="4" t="inlineStr">
        <is>
          <t>2026-03-20</t>
        </is>
      </c>
      <c r="D1173" s="5" t="n">
        <v>3834.87</v>
      </c>
      <c r="E1173" s="4" t="inlineStr">
        <is>
          <t>Cash Deposit</t>
        </is>
      </c>
      <c r="F1173" s="4" t="inlineStr">
        <is>
          <t>US</t>
        </is>
      </c>
      <c r="G1173" s="4" t="inlineStr">
        <is>
          <t>Retail</t>
        </is>
      </c>
    </row>
    <row r="1174">
      <c r="A1174" s="2" t="inlineStr">
        <is>
          <t>TXN_001069</t>
        </is>
      </c>
      <c r="B1174" s="2" t="inlineStr">
        <is>
          <t>C_00100</t>
        </is>
      </c>
      <c r="C1174" s="2" t="inlineStr">
        <is>
          <t>2026-03-20</t>
        </is>
      </c>
      <c r="D1174" s="3" t="n">
        <v>17452.8</v>
      </c>
      <c r="E1174" s="2" t="inlineStr">
        <is>
          <t>Cash Deposit</t>
        </is>
      </c>
      <c r="F1174" s="2" t="inlineStr">
        <is>
          <t>US</t>
        </is>
      </c>
      <c r="G1174" s="2" t="inlineStr">
        <is>
          <t>Real Estate</t>
        </is>
      </c>
    </row>
    <row r="1175">
      <c r="A1175" s="4" t="inlineStr">
        <is>
          <t>TXN_001062</t>
        </is>
      </c>
      <c r="B1175" s="4" t="inlineStr">
        <is>
          <t>C_00235</t>
        </is>
      </c>
      <c r="C1175" s="4" t="inlineStr">
        <is>
          <t>2026-03-20</t>
        </is>
      </c>
      <c r="D1175" s="5" t="n">
        <v>1700.01</v>
      </c>
      <c r="E1175" s="4" t="inlineStr">
        <is>
          <t>Wire Transfer</t>
        </is>
      </c>
      <c r="F1175" s="4" t="inlineStr">
        <is>
          <t>US</t>
        </is>
      </c>
      <c r="G1175" s="4" t="inlineStr">
        <is>
          <t>Money Services</t>
        </is>
      </c>
    </row>
    <row r="1176">
      <c r="A1176" s="2" t="inlineStr">
        <is>
          <t>TXN_001067</t>
        </is>
      </c>
      <c r="B1176" s="2" t="inlineStr">
        <is>
          <t>C_00217</t>
        </is>
      </c>
      <c r="C1176" s="2" t="inlineStr">
        <is>
          <t>2026-03-20</t>
        </is>
      </c>
      <c r="D1176" s="3" t="n">
        <v>243.41</v>
      </c>
      <c r="E1176" s="2" t="inlineStr">
        <is>
          <t>Cash Deposit</t>
        </is>
      </c>
      <c r="F1176" s="2" t="inlineStr">
        <is>
          <t>CA</t>
        </is>
      </c>
      <c r="G1176" s="2" t="inlineStr">
        <is>
          <t>Retail</t>
        </is>
      </c>
    </row>
    <row r="1177">
      <c r="A1177" s="4" t="inlineStr">
        <is>
          <t>TXN_001065</t>
        </is>
      </c>
      <c r="B1177" s="4" t="inlineStr">
        <is>
          <t>C_00200</t>
        </is>
      </c>
      <c r="C1177" s="4" t="inlineStr">
        <is>
          <t>2026-03-20</t>
        </is>
      </c>
      <c r="D1177" s="5" t="n">
        <v>6424.87</v>
      </c>
      <c r="E1177" s="4" t="inlineStr">
        <is>
          <t>Mobile App</t>
        </is>
      </c>
      <c r="F1177" s="4" t="inlineStr">
        <is>
          <t>US</t>
        </is>
      </c>
      <c r="G1177" s="4" t="inlineStr">
        <is>
          <t>Jewelry</t>
        </is>
      </c>
    </row>
    <row r="1178">
      <c r="A1178" s="2" t="inlineStr">
        <is>
          <t>TXN_001064</t>
        </is>
      </c>
      <c r="B1178" s="2" t="inlineStr">
        <is>
          <t>C_00063</t>
        </is>
      </c>
      <c r="C1178" s="2" t="inlineStr">
        <is>
          <t>2026-03-20</t>
        </is>
      </c>
      <c r="D1178" s="3" t="n">
        <v>6954</v>
      </c>
      <c r="E1178" s="2" t="inlineStr">
        <is>
          <t>Mobile App</t>
        </is>
      </c>
      <c r="F1178" s="2" t="inlineStr">
        <is>
          <t>US</t>
        </is>
      </c>
      <c r="G1178" s="2" t="inlineStr">
        <is>
          <t>Auto</t>
        </is>
      </c>
    </row>
    <row r="1179">
      <c r="A1179" s="4" t="inlineStr">
        <is>
          <t>TXN_001063</t>
        </is>
      </c>
      <c r="B1179" s="4" t="inlineStr">
        <is>
          <t>C_00082</t>
        </is>
      </c>
      <c r="C1179" s="4" t="inlineStr">
        <is>
          <t>2026-03-20</t>
        </is>
      </c>
      <c r="D1179" s="5" t="n">
        <v>4883.05</v>
      </c>
      <c r="E1179" s="4" t="inlineStr">
        <is>
          <t>Wire Transfer</t>
        </is>
      </c>
      <c r="F1179" s="4" t="inlineStr">
        <is>
          <t>NG</t>
        </is>
      </c>
      <c r="G1179" s="4" t="inlineStr">
        <is>
          <t>Real Estate</t>
        </is>
      </c>
    </row>
    <row r="1180">
      <c r="A1180" s="2" t="inlineStr">
        <is>
          <t>TXN_001072</t>
        </is>
      </c>
      <c r="B1180" s="2" t="inlineStr">
        <is>
          <t>C_00153</t>
        </is>
      </c>
      <c r="C1180" s="2" t="inlineStr">
        <is>
          <t>2026-03-20</t>
        </is>
      </c>
      <c r="D1180" s="3" t="n">
        <v>141.17</v>
      </c>
      <c r="E1180" s="2" t="inlineStr">
        <is>
          <t>Wire Transfer</t>
        </is>
      </c>
      <c r="F1180" s="2" t="inlineStr">
        <is>
          <t>US</t>
        </is>
      </c>
      <c r="G1180" s="2" t="inlineStr">
        <is>
          <t>Money Services</t>
        </is>
      </c>
    </row>
    <row r="1181">
      <c r="A1181" s="4" t="inlineStr">
        <is>
          <t>TXN_001068</t>
        </is>
      </c>
      <c r="B1181" s="4" t="inlineStr">
        <is>
          <t>C_00223</t>
        </is>
      </c>
      <c r="C1181" s="4" t="inlineStr">
        <is>
          <t>2026-03-20</t>
        </is>
      </c>
      <c r="D1181" s="5" t="n">
        <v>966.86</v>
      </c>
      <c r="E1181" s="4" t="inlineStr">
        <is>
          <t>Wire Transfer</t>
        </is>
      </c>
      <c r="F1181" s="4" t="inlineStr">
        <is>
          <t>MX</t>
        </is>
      </c>
      <c r="G1181" s="4" t="inlineStr">
        <is>
          <t>Food &amp; Beverage</t>
        </is>
      </c>
    </row>
    <row r="1182">
      <c r="A1182" s="2" t="inlineStr">
        <is>
          <t>TXN_001092</t>
        </is>
      </c>
      <c r="B1182" s="2" t="inlineStr">
        <is>
          <t>C_00042</t>
        </is>
      </c>
      <c r="C1182" s="2" t="inlineStr">
        <is>
          <t>2026-03-21</t>
        </is>
      </c>
      <c r="D1182" s="3" t="n">
        <v>249.22</v>
      </c>
      <c r="E1182" s="2" t="inlineStr">
        <is>
          <t>ACH</t>
        </is>
      </c>
      <c r="F1182" s="2" t="inlineStr">
        <is>
          <t>CA</t>
        </is>
      </c>
      <c r="G1182" s="2" t="inlineStr">
        <is>
          <t>Healthcare</t>
        </is>
      </c>
    </row>
    <row r="1183">
      <c r="A1183" s="4" t="inlineStr">
        <is>
          <t>TXN_001091</t>
        </is>
      </c>
      <c r="B1183" s="4" t="inlineStr">
        <is>
          <t>C_00120</t>
        </is>
      </c>
      <c r="C1183" s="4" t="inlineStr">
        <is>
          <t>2026-03-21</t>
        </is>
      </c>
      <c r="D1183" s="5" t="n">
        <v>6103.86</v>
      </c>
      <c r="E1183" s="4" t="inlineStr">
        <is>
          <t>Wire Transfer</t>
        </is>
      </c>
      <c r="F1183" s="4" t="inlineStr">
        <is>
          <t>CA</t>
        </is>
      </c>
      <c r="G1183" s="4" t="inlineStr">
        <is>
          <t>Electronics</t>
        </is>
      </c>
    </row>
    <row r="1184">
      <c r="A1184" s="2" t="inlineStr">
        <is>
          <t>TXN_001090</t>
        </is>
      </c>
      <c r="B1184" s="2" t="inlineStr">
        <is>
          <t>C_00061</t>
        </is>
      </c>
      <c r="C1184" s="2" t="inlineStr">
        <is>
          <t>2026-03-21</t>
        </is>
      </c>
      <c r="D1184" s="3" t="n">
        <v>7289.86</v>
      </c>
      <c r="E1184" s="2" t="inlineStr">
        <is>
          <t>Wire Transfer</t>
        </is>
      </c>
      <c r="F1184" s="2" t="inlineStr">
        <is>
          <t>CN</t>
        </is>
      </c>
      <c r="G1184" s="2" t="inlineStr">
        <is>
          <t>Travel</t>
        </is>
      </c>
    </row>
    <row r="1185">
      <c r="A1185" s="4" t="inlineStr">
        <is>
          <t>TXN_001088</t>
        </is>
      </c>
      <c r="B1185" s="4" t="inlineStr">
        <is>
          <t>C_00229</t>
        </is>
      </c>
      <c r="C1185" s="4" t="inlineStr">
        <is>
          <t>2026-03-21</t>
        </is>
      </c>
      <c r="D1185" s="5" t="n">
        <v>1117.94</v>
      </c>
      <c r="E1185" s="4" t="inlineStr">
        <is>
          <t>Mobile App</t>
        </is>
      </c>
      <c r="F1185" s="4" t="inlineStr">
        <is>
          <t>US</t>
        </is>
      </c>
      <c r="G1185" s="4" t="inlineStr">
        <is>
          <t>Auto</t>
        </is>
      </c>
    </row>
    <row r="1186">
      <c r="A1186" s="2" t="inlineStr">
        <is>
          <t>TXN_001087</t>
        </is>
      </c>
      <c r="B1186" s="2" t="inlineStr">
        <is>
          <t>C_00116</t>
        </is>
      </c>
      <c r="C1186" s="2" t="inlineStr">
        <is>
          <t>2026-03-21</t>
        </is>
      </c>
      <c r="D1186" s="3" t="n">
        <v>433.25</v>
      </c>
      <c r="E1186" s="2" t="inlineStr">
        <is>
          <t>Mobile App</t>
        </is>
      </c>
      <c r="F1186" s="2" t="inlineStr">
        <is>
          <t>US</t>
        </is>
      </c>
      <c r="G1186" s="2" t="inlineStr">
        <is>
          <t>Electronics</t>
        </is>
      </c>
    </row>
    <row r="1187">
      <c r="A1187" s="4" t="inlineStr">
        <is>
          <t>TXN_001086</t>
        </is>
      </c>
      <c r="B1187" s="4" t="inlineStr">
        <is>
          <t>C_00293</t>
        </is>
      </c>
      <c r="C1187" s="4" t="inlineStr">
        <is>
          <t>2026-03-21</t>
        </is>
      </c>
      <c r="D1187" s="5" t="n">
        <v>2756.96</v>
      </c>
      <c r="E1187" s="4" t="inlineStr">
        <is>
          <t>Cash Deposit</t>
        </is>
      </c>
      <c r="F1187" s="4" t="inlineStr">
        <is>
          <t>US</t>
        </is>
      </c>
      <c r="G1187" s="4" t="inlineStr">
        <is>
          <t>Retail</t>
        </is>
      </c>
    </row>
    <row r="1188">
      <c r="A1188" s="2" t="inlineStr">
        <is>
          <t>TXN_001089</t>
        </is>
      </c>
      <c r="B1188" s="2" t="inlineStr">
        <is>
          <t>C_00238</t>
        </is>
      </c>
      <c r="C1188" s="2" t="inlineStr">
        <is>
          <t>2026-03-21</t>
        </is>
      </c>
      <c r="D1188" s="3" t="n">
        <v>1564.12</v>
      </c>
      <c r="E1188" s="2" t="inlineStr">
        <is>
          <t>Cash Deposit</t>
        </is>
      </c>
      <c r="F1188" s="2" t="inlineStr">
        <is>
          <t>AE</t>
        </is>
      </c>
      <c r="G1188" s="2" t="inlineStr">
        <is>
          <t>Travel</t>
        </is>
      </c>
    </row>
    <row r="1189">
      <c r="A1189" s="4" t="inlineStr">
        <is>
          <t>TXN_001084</t>
        </is>
      </c>
      <c r="B1189" s="4" t="inlineStr">
        <is>
          <t>C_00055</t>
        </is>
      </c>
      <c r="C1189" s="4" t="inlineStr">
        <is>
          <t>2026-03-21</t>
        </is>
      </c>
      <c r="D1189" s="5" t="n">
        <v>3009.78</v>
      </c>
      <c r="E1189" s="4" t="inlineStr">
        <is>
          <t>ACH</t>
        </is>
      </c>
      <c r="F1189" s="4" t="inlineStr">
        <is>
          <t>CA</t>
        </is>
      </c>
      <c r="G1189" s="4" t="inlineStr">
        <is>
          <t>Healthcare</t>
        </is>
      </c>
    </row>
    <row r="1190">
      <c r="A1190" s="2" t="inlineStr">
        <is>
          <t>TXN_001083</t>
        </is>
      </c>
      <c r="B1190" s="2" t="inlineStr">
        <is>
          <t>C_00093</t>
        </is>
      </c>
      <c r="C1190" s="2" t="inlineStr">
        <is>
          <t>2026-03-21</t>
        </is>
      </c>
      <c r="D1190" s="3" t="n">
        <v>3023.53</v>
      </c>
      <c r="E1190" s="2" t="inlineStr">
        <is>
          <t>Cash Deposit</t>
        </is>
      </c>
      <c r="F1190" s="2" t="inlineStr">
        <is>
          <t>NG</t>
        </is>
      </c>
      <c r="G1190" s="2" t="inlineStr">
        <is>
          <t>Retail</t>
        </is>
      </c>
    </row>
    <row r="1191">
      <c r="A1191" s="4" t="inlineStr">
        <is>
          <t>TXN_001082</t>
        </is>
      </c>
      <c r="B1191" s="4" t="inlineStr">
        <is>
          <t>C_00134</t>
        </is>
      </c>
      <c r="C1191" s="4" t="inlineStr">
        <is>
          <t>2026-03-21</t>
        </is>
      </c>
      <c r="D1191" s="5" t="n">
        <v>619.38</v>
      </c>
      <c r="E1191" s="4" t="inlineStr">
        <is>
          <t>Cash Deposit</t>
        </is>
      </c>
      <c r="F1191" s="4" t="inlineStr">
        <is>
          <t>NG</t>
        </is>
      </c>
      <c r="G1191" s="4" t="inlineStr">
        <is>
          <t>Real Estate</t>
        </is>
      </c>
    </row>
    <row r="1192">
      <c r="A1192" s="2" t="inlineStr">
        <is>
          <t>TXN_001077</t>
        </is>
      </c>
      <c r="B1192" s="2" t="inlineStr">
        <is>
          <t>C_00293</t>
        </is>
      </c>
      <c r="C1192" s="2" t="inlineStr">
        <is>
          <t>2026-03-21</t>
        </is>
      </c>
      <c r="D1192" s="3" t="n">
        <v>769.02</v>
      </c>
      <c r="E1192" s="2" t="inlineStr">
        <is>
          <t>Mobile App</t>
        </is>
      </c>
      <c r="F1192" s="2" t="inlineStr">
        <is>
          <t>US</t>
        </is>
      </c>
      <c r="G1192" s="2" t="inlineStr">
        <is>
          <t>Travel</t>
        </is>
      </c>
    </row>
    <row r="1193">
      <c r="A1193" s="4" t="inlineStr">
        <is>
          <t>TXN_001081</t>
        </is>
      </c>
      <c r="B1193" s="4" t="inlineStr">
        <is>
          <t>C_00027</t>
        </is>
      </c>
      <c r="C1193" s="4" t="inlineStr">
        <is>
          <t>2026-03-21</t>
        </is>
      </c>
      <c r="D1193" s="5" t="n">
        <v>6587.8</v>
      </c>
      <c r="E1193" s="4" t="inlineStr">
        <is>
          <t>Mobile App</t>
        </is>
      </c>
      <c r="F1193" s="4" t="inlineStr">
        <is>
          <t>US</t>
        </is>
      </c>
      <c r="G1193" s="4" t="inlineStr">
        <is>
          <t>Money Services</t>
        </is>
      </c>
    </row>
    <row r="1194">
      <c r="A1194" s="2" t="inlineStr">
        <is>
          <t>TXN_001080</t>
        </is>
      </c>
      <c r="B1194" s="2" t="inlineStr">
        <is>
          <t>C_00139</t>
        </is>
      </c>
      <c r="C1194" s="2" t="inlineStr">
        <is>
          <t>2026-03-21</t>
        </is>
      </c>
      <c r="D1194" s="3" t="n">
        <v>1670.71</v>
      </c>
      <c r="E1194" s="2" t="inlineStr">
        <is>
          <t>Card</t>
        </is>
      </c>
      <c r="F1194" s="2" t="inlineStr">
        <is>
          <t>US</t>
        </is>
      </c>
      <c r="G1194" s="2" t="inlineStr">
        <is>
          <t>Healthcare</t>
        </is>
      </c>
    </row>
    <row r="1195">
      <c r="A1195" s="4" t="inlineStr">
        <is>
          <t>TXN_001079</t>
        </is>
      </c>
      <c r="B1195" s="4" t="inlineStr">
        <is>
          <t>C_00251</t>
        </is>
      </c>
      <c r="C1195" s="4" t="inlineStr">
        <is>
          <t>2026-03-21</t>
        </is>
      </c>
      <c r="D1195" s="5" t="n">
        <v>2516.85</v>
      </c>
      <c r="E1195" s="4" t="inlineStr">
        <is>
          <t>ACH</t>
        </is>
      </c>
      <c r="F1195" s="4" t="inlineStr">
        <is>
          <t>RU</t>
        </is>
      </c>
      <c r="G1195" s="4" t="inlineStr">
        <is>
          <t>Auto</t>
        </is>
      </c>
    </row>
    <row r="1196">
      <c r="A1196" s="2" t="inlineStr">
        <is>
          <t>TXN_001078</t>
        </is>
      </c>
      <c r="B1196" s="2" t="inlineStr">
        <is>
          <t>C_ORPHAN_018</t>
        </is>
      </c>
      <c r="C1196" s="2" t="inlineStr">
        <is>
          <t>2026-03-21</t>
        </is>
      </c>
      <c r="D1196" s="3" t="n">
        <v>17688.12</v>
      </c>
      <c r="E1196" s="2" t="inlineStr">
        <is>
          <t>Card</t>
        </is>
      </c>
      <c r="F1196" s="2" t="inlineStr">
        <is>
          <t>US</t>
        </is>
      </c>
      <c r="G1196" s="2" t="inlineStr">
        <is>
          <t>Jewelry</t>
        </is>
      </c>
    </row>
    <row r="1197">
      <c r="A1197" s="4" t="inlineStr">
        <is>
          <t>TXN_001085</t>
        </is>
      </c>
      <c r="B1197" s="4" t="inlineStr">
        <is>
          <t>C_00281</t>
        </is>
      </c>
      <c r="C1197" s="4" t="inlineStr">
        <is>
          <t>2026-03-21</t>
        </is>
      </c>
      <c r="D1197" s="5" t="n">
        <v>393.41</v>
      </c>
      <c r="E1197" s="4" t="inlineStr">
        <is>
          <t>Wire Transfer</t>
        </is>
      </c>
      <c r="F1197" s="4" t="inlineStr">
        <is>
          <t>US</t>
        </is>
      </c>
      <c r="G1197" s="4" t="inlineStr">
        <is>
          <t>Jewelry</t>
        </is>
      </c>
    </row>
    <row r="1198">
      <c r="A1198" s="2" t="inlineStr">
        <is>
          <t>TXN_001101</t>
        </is>
      </c>
      <c r="B1198" s="2" t="inlineStr">
        <is>
          <t>C_00096</t>
        </is>
      </c>
      <c r="C1198" s="2" t="inlineStr">
        <is>
          <t>2026-03-22</t>
        </is>
      </c>
      <c r="D1198" s="3" t="n">
        <v>1894.77</v>
      </c>
      <c r="E1198" s="2" t="inlineStr">
        <is>
          <t>ACH</t>
        </is>
      </c>
      <c r="F1198" s="2" t="inlineStr">
        <is>
          <t>US</t>
        </is>
      </c>
      <c r="G1198" s="2" t="inlineStr">
        <is>
          <t>Electronics</t>
        </is>
      </c>
    </row>
    <row r="1199">
      <c r="A1199" s="4" t="inlineStr">
        <is>
          <t>TXN_001099</t>
        </is>
      </c>
      <c r="B1199" s="4" t="inlineStr">
        <is>
          <t>C_00108</t>
        </is>
      </c>
      <c r="C1199" s="4" t="inlineStr">
        <is>
          <t>2026-03-22</t>
        </is>
      </c>
      <c r="D1199" s="5" t="n">
        <v>5266.34</v>
      </c>
      <c r="E1199" s="4" t="inlineStr">
        <is>
          <t>Cash Deposit</t>
        </is>
      </c>
      <c r="F1199" s="4" t="inlineStr">
        <is>
          <t>US</t>
        </is>
      </c>
      <c r="G1199" s="4" t="inlineStr">
        <is>
          <t>Crypto Exchange</t>
        </is>
      </c>
    </row>
    <row r="1200">
      <c r="A1200" s="2" t="inlineStr">
        <is>
          <t>TXN_001098</t>
        </is>
      </c>
      <c r="B1200" s="2" t="inlineStr">
        <is>
          <t>C_00055</t>
        </is>
      </c>
      <c r="C1200" s="2" t="inlineStr">
        <is>
          <t>2026-03-22</t>
        </is>
      </c>
      <c r="D1200" s="3" t="n">
        <v>1391.48</v>
      </c>
      <c r="E1200" s="2" t="inlineStr">
        <is>
          <t>Mobile App</t>
        </is>
      </c>
      <c r="F1200" s="2" t="inlineStr">
        <is>
          <t>RU</t>
        </is>
      </c>
      <c r="G1200" s="2" t="inlineStr">
        <is>
          <t>Electronics</t>
        </is>
      </c>
    </row>
    <row r="1201">
      <c r="A1201" s="4" t="inlineStr">
        <is>
          <t>TXN_001100</t>
        </is>
      </c>
      <c r="B1201" s="4" t="inlineStr">
        <is>
          <t>C_00067</t>
        </is>
      </c>
      <c r="C1201" s="4" t="inlineStr">
        <is>
          <t>2026-03-22</t>
        </is>
      </c>
      <c r="D1201" s="5" t="n">
        <v>1705.11</v>
      </c>
      <c r="E1201" s="4" t="inlineStr">
        <is>
          <t>Card</t>
        </is>
      </c>
      <c r="F1201" s="4" t="inlineStr">
        <is>
          <t>US</t>
        </is>
      </c>
      <c r="G1201" s="4" t="inlineStr">
        <is>
          <t>Healthcare</t>
        </is>
      </c>
    </row>
    <row r="1202">
      <c r="A1202" s="2" t="inlineStr">
        <is>
          <t>TXN_001096</t>
        </is>
      </c>
      <c r="B1202" s="2" t="inlineStr">
        <is>
          <t>C_00189</t>
        </is>
      </c>
      <c r="C1202" s="2" t="inlineStr">
        <is>
          <t>2026-03-22</t>
        </is>
      </c>
      <c r="D1202" s="3" t="n">
        <v>1769.73</v>
      </c>
      <c r="E1202" s="2" t="inlineStr">
        <is>
          <t>Wire Transfer</t>
        </is>
      </c>
      <c r="F1202" s="2" t="inlineStr">
        <is>
          <t>US</t>
        </is>
      </c>
      <c r="G1202" s="2" t="inlineStr">
        <is>
          <t>Electronics</t>
        </is>
      </c>
    </row>
    <row r="1203">
      <c r="A1203" s="4" t="inlineStr">
        <is>
          <t>TXN_001095</t>
        </is>
      </c>
      <c r="B1203" s="4" t="inlineStr">
        <is>
          <t>C_00285</t>
        </is>
      </c>
      <c r="C1203" s="4" t="inlineStr">
        <is>
          <t>2026-03-22</t>
        </is>
      </c>
      <c r="D1203" s="5" t="n">
        <v>2160.01</v>
      </c>
      <c r="E1203" s="4" t="inlineStr">
        <is>
          <t>Wire Transfer</t>
        </is>
      </c>
      <c r="F1203" s="4" t="inlineStr">
        <is>
          <t>US</t>
        </is>
      </c>
      <c r="G1203" s="4" t="inlineStr">
        <is>
          <t>Retail</t>
        </is>
      </c>
    </row>
    <row r="1204">
      <c r="A1204" s="2" t="inlineStr">
        <is>
          <t>TXN_001094</t>
        </is>
      </c>
      <c r="B1204" s="2" t="inlineStr">
        <is>
          <t>C_00267</t>
        </is>
      </c>
      <c r="C1204" s="2" t="inlineStr">
        <is>
          <t>2026-03-22</t>
        </is>
      </c>
      <c r="D1204" s="3" t="n">
        <v>513.29</v>
      </c>
      <c r="E1204" s="2" t="inlineStr">
        <is>
          <t>ACH</t>
        </is>
      </c>
      <c r="F1204" s="2" t="inlineStr">
        <is>
          <t>US</t>
        </is>
      </c>
      <c r="G1204" s="2" t="inlineStr">
        <is>
          <t>Crypto Exchange</t>
        </is>
      </c>
    </row>
    <row r="1205">
      <c r="A1205" s="4" t="inlineStr">
        <is>
          <t>TXN_001097</t>
        </is>
      </c>
      <c r="B1205" s="4" t="inlineStr">
        <is>
          <t>C_00175</t>
        </is>
      </c>
      <c r="C1205" s="4" t="inlineStr">
        <is>
          <t>2026-03-22</t>
        </is>
      </c>
      <c r="D1205" s="5" t="n">
        <v>1884.26</v>
      </c>
      <c r="E1205" s="4" t="inlineStr">
        <is>
          <t>ACH</t>
        </is>
      </c>
      <c r="F1205" s="4" t="inlineStr">
        <is>
          <t>US</t>
        </is>
      </c>
      <c r="G1205" s="4" t="inlineStr">
        <is>
          <t>Crypto Exchange</t>
        </is>
      </c>
    </row>
    <row r="1206">
      <c r="A1206" s="2" t="inlineStr">
        <is>
          <t>TXN_001093</t>
        </is>
      </c>
      <c r="B1206" s="2" t="inlineStr">
        <is>
          <t>C_00107</t>
        </is>
      </c>
      <c r="C1206" s="2" t="inlineStr">
        <is>
          <t>2026-03-22</t>
        </is>
      </c>
      <c r="D1206" s="3" t="n">
        <v>140.82</v>
      </c>
      <c r="E1206" s="2" t="inlineStr">
        <is>
          <t>Card</t>
        </is>
      </c>
      <c r="F1206" s="2" t="inlineStr">
        <is>
          <t>US</t>
        </is>
      </c>
      <c r="G1206" s="2" t="inlineStr">
        <is>
          <t>Money Services</t>
        </is>
      </c>
    </row>
    <row r="1207">
      <c r="A1207" s="4" t="inlineStr">
        <is>
          <t>TXN_001102</t>
        </is>
      </c>
      <c r="B1207" s="4" t="inlineStr">
        <is>
          <t>C_00104</t>
        </is>
      </c>
      <c r="C1207" s="4" t="inlineStr">
        <is>
          <t>2026-03-23</t>
        </is>
      </c>
      <c r="D1207" s="5" t="n">
        <v>840.26</v>
      </c>
      <c r="E1207" s="4" t="inlineStr">
        <is>
          <t>Cash Deposit</t>
        </is>
      </c>
      <c r="F1207" s="4" t="inlineStr">
        <is>
          <t>CN</t>
        </is>
      </c>
      <c r="G1207" s="4" t="inlineStr">
        <is>
          <t>Retail</t>
        </is>
      </c>
    </row>
    <row r="1208">
      <c r="A1208" s="2" t="inlineStr">
        <is>
          <t>TXN_001103</t>
        </is>
      </c>
      <c r="B1208" s="2" t="inlineStr">
        <is>
          <t>C_00114</t>
        </is>
      </c>
      <c r="C1208" s="2" t="inlineStr">
        <is>
          <t>2026-03-23</t>
        </is>
      </c>
      <c r="D1208" s="3" t="n">
        <v>8653.139999999999</v>
      </c>
      <c r="E1208" s="2" t="inlineStr">
        <is>
          <t>Mobile App</t>
        </is>
      </c>
      <c r="F1208" s="2" t="inlineStr">
        <is>
          <t>AE</t>
        </is>
      </c>
      <c r="G1208" s="2" t="inlineStr">
        <is>
          <t>Retail</t>
        </is>
      </c>
    </row>
    <row r="1209">
      <c r="A1209" s="4" t="inlineStr">
        <is>
          <t>TXN_001104</t>
        </is>
      </c>
      <c r="B1209" s="4" t="inlineStr">
        <is>
          <t>C_00264</t>
        </is>
      </c>
      <c r="C1209" s="4" t="inlineStr">
        <is>
          <t>2026-03-23</t>
        </is>
      </c>
      <c r="D1209" s="5" t="n">
        <v>20670.18</v>
      </c>
      <c r="E1209" s="4" t="inlineStr">
        <is>
          <t>ACH</t>
        </is>
      </c>
      <c r="F1209" s="4" t="inlineStr">
        <is>
          <t>AE</t>
        </is>
      </c>
      <c r="G1209" s="4" t="inlineStr">
        <is>
          <t>Healthcare</t>
        </is>
      </c>
    </row>
    <row r="1210">
      <c r="A1210" s="2" t="inlineStr">
        <is>
          <t>TXN_001105</t>
        </is>
      </c>
      <c r="B1210" s="2" t="inlineStr">
        <is>
          <t>C_00182</t>
        </is>
      </c>
      <c r="C1210" s="2" t="inlineStr">
        <is>
          <t>2026-03-23</t>
        </is>
      </c>
      <c r="D1210" s="3" t="n">
        <v>1805.51</v>
      </c>
      <c r="E1210" s="2" t="inlineStr">
        <is>
          <t>Cash Deposit</t>
        </is>
      </c>
      <c r="F1210" s="2" t="inlineStr">
        <is>
          <t>CN</t>
        </is>
      </c>
      <c r="G1210" s="2" t="inlineStr">
        <is>
          <t>Retail</t>
        </is>
      </c>
    </row>
    <row r="1211">
      <c r="A1211" s="4" t="inlineStr">
        <is>
          <t>TXN_001106</t>
        </is>
      </c>
      <c r="B1211" s="4" t="inlineStr">
        <is>
          <t>C_00040</t>
        </is>
      </c>
      <c r="C1211" s="4" t="inlineStr">
        <is>
          <t>2026-03-23</t>
        </is>
      </c>
      <c r="D1211" s="5" t="n">
        <v>28975.25</v>
      </c>
      <c r="E1211" s="4" t="inlineStr">
        <is>
          <t>Wire Transfer</t>
        </is>
      </c>
      <c r="F1211" s="4" t="inlineStr">
        <is>
          <t>US</t>
        </is>
      </c>
      <c r="G1211" s="4" t="inlineStr">
        <is>
          <t>Electronics</t>
        </is>
      </c>
    </row>
    <row r="1212">
      <c r="A1212" s="2" t="inlineStr">
        <is>
          <t>TXN_001107</t>
        </is>
      </c>
      <c r="B1212" s="2" t="inlineStr">
        <is>
          <t>C_00142</t>
        </is>
      </c>
      <c r="C1212" s="2" t="inlineStr">
        <is>
          <t>2026-03-23</t>
        </is>
      </c>
      <c r="D1212" s="3" t="n">
        <v>12424.67</v>
      </c>
      <c r="E1212" s="2" t="inlineStr">
        <is>
          <t>Wire Transfer</t>
        </is>
      </c>
      <c r="F1212" s="2" t="inlineStr">
        <is>
          <t>AE</t>
        </is>
      </c>
      <c r="G1212" s="2" t="inlineStr">
        <is>
          <t>Jewelry</t>
        </is>
      </c>
    </row>
    <row r="1213">
      <c r="A1213" s="4" t="inlineStr">
        <is>
          <t>TXN_001108</t>
        </is>
      </c>
      <c r="B1213" s="4" t="inlineStr">
        <is>
          <t>C_00035</t>
        </is>
      </c>
      <c r="C1213" s="4" t="inlineStr">
        <is>
          <t>2026-03-23</t>
        </is>
      </c>
      <c r="D1213" s="5" t="n">
        <v>678.6799999999999</v>
      </c>
      <c r="E1213" s="4" t="inlineStr">
        <is>
          <t>Wire Transfer</t>
        </is>
      </c>
      <c r="F1213" s="4" t="inlineStr">
        <is>
          <t>US</t>
        </is>
      </c>
      <c r="G1213" s="4" t="inlineStr">
        <is>
          <t>Travel</t>
        </is>
      </c>
    </row>
    <row r="1214">
      <c r="A1214" s="2" t="inlineStr">
        <is>
          <t>TXN_001109</t>
        </is>
      </c>
      <c r="B1214" s="2" t="inlineStr">
        <is>
          <t>C_00026</t>
        </is>
      </c>
      <c r="C1214" s="2" t="inlineStr">
        <is>
          <t>2026-03-23</t>
        </is>
      </c>
      <c r="D1214" s="3" t="n">
        <v>3753.89</v>
      </c>
      <c r="E1214" s="2" t="inlineStr">
        <is>
          <t>Mobile App</t>
        </is>
      </c>
      <c r="F1214" s="2" t="inlineStr">
        <is>
          <t>US</t>
        </is>
      </c>
      <c r="G1214" s="2" t="inlineStr">
        <is>
          <t>Jewelry</t>
        </is>
      </c>
    </row>
    <row r="1215">
      <c r="A1215" s="4" t="inlineStr">
        <is>
          <t>TXN_001110</t>
        </is>
      </c>
      <c r="B1215" s="4" t="inlineStr">
        <is>
          <t>C_00187</t>
        </is>
      </c>
      <c r="C1215" s="4" t="inlineStr">
        <is>
          <t>2026-03-23</t>
        </is>
      </c>
      <c r="D1215" s="5" t="n">
        <v>4695.81</v>
      </c>
      <c r="E1215" s="4" t="inlineStr">
        <is>
          <t>Card</t>
        </is>
      </c>
      <c r="F1215" s="4" t="inlineStr">
        <is>
          <t>US</t>
        </is>
      </c>
      <c r="G1215" s="4" t="inlineStr">
        <is>
          <t>Food &amp; Beverage</t>
        </is>
      </c>
    </row>
    <row r="1216">
      <c r="A1216" s="2" t="inlineStr">
        <is>
          <t>TXN_001111</t>
        </is>
      </c>
      <c r="B1216" s="2" t="inlineStr">
        <is>
          <t>C_00199</t>
        </is>
      </c>
      <c r="C1216" s="2" t="inlineStr">
        <is>
          <t>2026-03-23</t>
        </is>
      </c>
      <c r="D1216" s="3" t="n">
        <v>1422.51</v>
      </c>
      <c r="E1216" s="2" t="inlineStr">
        <is>
          <t>Cash Deposit</t>
        </is>
      </c>
      <c r="F1216" s="2" t="inlineStr">
        <is>
          <t>US</t>
        </is>
      </c>
      <c r="G1216" s="2" t="inlineStr">
        <is>
          <t>Travel</t>
        </is>
      </c>
    </row>
    <row r="1217">
      <c r="A1217" s="4" t="inlineStr">
        <is>
          <t>TXN_001112</t>
        </is>
      </c>
      <c r="B1217" s="4" t="inlineStr">
        <is>
          <t>C_00273</t>
        </is>
      </c>
      <c r="C1217" s="4" t="inlineStr">
        <is>
          <t>2026-03-23</t>
        </is>
      </c>
      <c r="D1217" s="5" t="n">
        <v>327.94</v>
      </c>
      <c r="E1217" s="4" t="inlineStr">
        <is>
          <t>ACH</t>
        </is>
      </c>
      <c r="F1217" s="4" t="inlineStr">
        <is>
          <t>US</t>
        </is>
      </c>
      <c r="G1217" s="4" t="inlineStr">
        <is>
          <t>Crypto Exchange</t>
        </is>
      </c>
    </row>
    <row r="1218">
      <c r="A1218" s="2" t="inlineStr">
        <is>
          <t>TXN_001113</t>
        </is>
      </c>
      <c r="B1218" s="2" t="inlineStr">
        <is>
          <t>C_00216</t>
        </is>
      </c>
      <c r="C1218" s="2" t="inlineStr">
        <is>
          <t>2026-03-24</t>
        </is>
      </c>
      <c r="D1218" s="3" t="n">
        <v>9393.84</v>
      </c>
      <c r="E1218" s="2" t="inlineStr">
        <is>
          <t>Mobile App</t>
        </is>
      </c>
      <c r="F1218" s="2" t="inlineStr">
        <is>
          <t>CN</t>
        </is>
      </c>
      <c r="G1218" s="2" t="inlineStr">
        <is>
          <t>Retail</t>
        </is>
      </c>
    </row>
    <row r="1219">
      <c r="A1219" s="4" t="inlineStr">
        <is>
          <t>TXN_001115</t>
        </is>
      </c>
      <c r="B1219" s="4" t="inlineStr">
        <is>
          <t>C_00119</t>
        </is>
      </c>
      <c r="C1219" s="4" t="inlineStr">
        <is>
          <t>2026-03-24</t>
        </is>
      </c>
      <c r="D1219" s="5" t="n">
        <v>1226.67</v>
      </c>
      <c r="E1219" s="4" t="inlineStr">
        <is>
          <t>Cash Deposit</t>
        </is>
      </c>
      <c r="F1219" s="4" t="inlineStr">
        <is>
          <t>CA</t>
        </is>
      </c>
      <c r="G1219" s="4" t="inlineStr">
        <is>
          <t>Food &amp; Beverage</t>
        </is>
      </c>
    </row>
    <row r="1220">
      <c r="A1220" s="2" t="inlineStr">
        <is>
          <t>TXN_001114</t>
        </is>
      </c>
      <c r="B1220" s="2" t="inlineStr">
        <is>
          <t>C_00031</t>
        </is>
      </c>
      <c r="C1220" s="2" t="inlineStr">
        <is>
          <t>2026-03-24</t>
        </is>
      </c>
      <c r="D1220" s="3" t="n">
        <v>1834.11</v>
      </c>
      <c r="E1220" s="2" t="inlineStr">
        <is>
          <t>Mobile App</t>
        </is>
      </c>
      <c r="F1220" s="2" t="inlineStr">
        <is>
          <t>NG</t>
        </is>
      </c>
      <c r="G1220" s="2" t="inlineStr">
        <is>
          <t>Auto</t>
        </is>
      </c>
    </row>
    <row r="1221">
      <c r="A1221" s="4" t="inlineStr">
        <is>
          <t>TXN_001126</t>
        </is>
      </c>
      <c r="B1221" s="4" t="inlineStr">
        <is>
          <t>C_00041</t>
        </is>
      </c>
      <c r="C1221" s="4" t="inlineStr">
        <is>
          <t>2026-03-24</t>
        </is>
      </c>
      <c r="D1221" s="5" t="n">
        <v>813.1</v>
      </c>
      <c r="E1221" s="4" t="inlineStr">
        <is>
          <t>Card</t>
        </is>
      </c>
      <c r="F1221" s="4" t="inlineStr">
        <is>
          <t>CA</t>
        </is>
      </c>
      <c r="G1221" s="4" t="inlineStr">
        <is>
          <t>Real Estate</t>
        </is>
      </c>
    </row>
    <row r="1222">
      <c r="A1222" s="2" t="inlineStr">
        <is>
          <t>TXN_001125</t>
        </is>
      </c>
      <c r="B1222" s="2" t="inlineStr">
        <is>
          <t>C_00201</t>
        </is>
      </c>
      <c r="C1222" s="2" t="inlineStr">
        <is>
          <t>2026-03-24</t>
        </is>
      </c>
      <c r="D1222" s="3" t="n">
        <v>1441.59</v>
      </c>
      <c r="E1222" s="2" t="inlineStr">
        <is>
          <t>ACH</t>
        </is>
      </c>
      <c r="F1222" s="2" t="inlineStr">
        <is>
          <t>US</t>
        </is>
      </c>
      <c r="G1222" s="2" t="inlineStr">
        <is>
          <t>Retail</t>
        </is>
      </c>
    </row>
    <row r="1223">
      <c r="A1223" s="4" t="inlineStr">
        <is>
          <t>TXN_001124</t>
        </is>
      </c>
      <c r="B1223" s="4" t="inlineStr">
        <is>
          <t>C_00131</t>
        </is>
      </c>
      <c r="C1223" s="4" t="inlineStr">
        <is>
          <t>2026-03-24</t>
        </is>
      </c>
      <c r="D1223" s="5" t="n">
        <v>1618.98</v>
      </c>
      <c r="E1223" s="4" t="inlineStr">
        <is>
          <t>Card</t>
        </is>
      </c>
      <c r="F1223" s="4" t="inlineStr">
        <is>
          <t>US</t>
        </is>
      </c>
      <c r="G1223" s="4" t="inlineStr">
        <is>
          <t>Electronics</t>
        </is>
      </c>
    </row>
    <row r="1224">
      <c r="A1224" s="2" t="inlineStr">
        <is>
          <t>TXN_001123</t>
        </is>
      </c>
      <c r="B1224" s="2" t="inlineStr">
        <is>
          <t>C_00161</t>
        </is>
      </c>
      <c r="C1224" s="2" t="inlineStr">
        <is>
          <t>2026-03-24</t>
        </is>
      </c>
      <c r="D1224" s="3" t="n">
        <v>483.3</v>
      </c>
      <c r="E1224" s="2" t="inlineStr">
        <is>
          <t>Card</t>
        </is>
      </c>
      <c r="F1224" s="2" t="inlineStr">
        <is>
          <t>CN</t>
        </is>
      </c>
      <c r="G1224" s="2" t="inlineStr">
        <is>
          <t>Jewelry</t>
        </is>
      </c>
    </row>
    <row r="1225">
      <c r="A1225" s="4" t="inlineStr">
        <is>
          <t>TXN_001117</t>
        </is>
      </c>
      <c r="B1225" s="4" t="inlineStr">
        <is>
          <t>C_00092</t>
        </is>
      </c>
      <c r="C1225" s="4" t="inlineStr">
        <is>
          <t>2026-03-24</t>
        </is>
      </c>
      <c r="D1225" s="5" t="n">
        <v>6599.75</v>
      </c>
      <c r="E1225" s="4" t="inlineStr">
        <is>
          <t>Wire Transfer</t>
        </is>
      </c>
      <c r="F1225" s="4" t="inlineStr">
        <is>
          <t>US</t>
        </is>
      </c>
      <c r="G1225" s="4" t="inlineStr">
        <is>
          <t>Auto</t>
        </is>
      </c>
    </row>
    <row r="1226">
      <c r="A1226" s="2" t="inlineStr">
        <is>
          <t>TXN_001121</t>
        </is>
      </c>
      <c r="B1226" s="2" t="inlineStr">
        <is>
          <t>C_00112</t>
        </is>
      </c>
      <c r="C1226" s="2" t="inlineStr">
        <is>
          <t>2026-03-24</t>
        </is>
      </c>
      <c r="D1226" s="3" t="n">
        <v>142.5</v>
      </c>
      <c r="E1226" s="2" t="inlineStr">
        <is>
          <t>ACH</t>
        </is>
      </c>
      <c r="F1226" s="2" t="inlineStr">
        <is>
          <t>US</t>
        </is>
      </c>
      <c r="G1226" s="2" t="inlineStr">
        <is>
          <t>Real Estate</t>
        </is>
      </c>
    </row>
    <row r="1227">
      <c r="A1227" s="4" t="inlineStr">
        <is>
          <t>TXN_001120</t>
        </is>
      </c>
      <c r="B1227" s="4" t="inlineStr">
        <is>
          <t>C_00281</t>
        </is>
      </c>
      <c r="C1227" s="4" t="inlineStr">
        <is>
          <t>2026-03-24</t>
        </is>
      </c>
      <c r="D1227" s="5" t="n">
        <v>632.23</v>
      </c>
      <c r="E1227" s="4" t="inlineStr">
        <is>
          <t>Card</t>
        </is>
      </c>
      <c r="F1227" s="4" t="inlineStr">
        <is>
          <t>NG</t>
        </is>
      </c>
      <c r="G1227" s="4" t="inlineStr">
        <is>
          <t>Money Services</t>
        </is>
      </c>
    </row>
    <row r="1228">
      <c r="A1228" s="2" t="inlineStr">
        <is>
          <t>TXN_001119</t>
        </is>
      </c>
      <c r="B1228" s="2" t="inlineStr">
        <is>
          <t>C_00259</t>
        </is>
      </c>
      <c r="C1228" s="2" t="inlineStr">
        <is>
          <t>2026-03-24</t>
        </is>
      </c>
      <c r="D1228" s="3" t="n">
        <v>1635.99</v>
      </c>
      <c r="E1228" s="2" t="inlineStr">
        <is>
          <t>Mobile App</t>
        </is>
      </c>
      <c r="F1228" s="2" t="inlineStr">
        <is>
          <t>US</t>
        </is>
      </c>
      <c r="G1228" s="2" t="inlineStr">
        <is>
          <t>Money Services</t>
        </is>
      </c>
    </row>
    <row r="1229">
      <c r="A1229" s="4" t="inlineStr">
        <is>
          <t>TXN_001118</t>
        </is>
      </c>
      <c r="B1229" s="4" t="inlineStr">
        <is>
          <t>C_00060</t>
        </is>
      </c>
      <c r="C1229" s="4" t="inlineStr">
        <is>
          <t>2026-03-24</t>
        </is>
      </c>
      <c r="D1229" s="5" t="n">
        <v>725.79</v>
      </c>
      <c r="E1229" s="4" t="inlineStr">
        <is>
          <t>Cash Deposit</t>
        </is>
      </c>
      <c r="F1229" s="4" t="inlineStr">
        <is>
          <t>CN</t>
        </is>
      </c>
      <c r="G1229" s="4" t="inlineStr">
        <is>
          <t>Auto</t>
        </is>
      </c>
    </row>
    <row r="1230">
      <c r="A1230" s="2" t="inlineStr">
        <is>
          <t>TXN_001122</t>
        </is>
      </c>
      <c r="B1230" s="2" t="inlineStr">
        <is>
          <t>C_00240</t>
        </is>
      </c>
      <c r="C1230" s="2" t="inlineStr">
        <is>
          <t>2026-03-24</t>
        </is>
      </c>
      <c r="D1230" s="3" t="n">
        <v>2235.33</v>
      </c>
      <c r="E1230" s="2" t="inlineStr">
        <is>
          <t>Wire Transfer</t>
        </is>
      </c>
      <c r="F1230" s="2" t="inlineStr">
        <is>
          <t>CN</t>
        </is>
      </c>
      <c r="G1230" s="2" t="inlineStr">
        <is>
          <t>Electronics</t>
        </is>
      </c>
    </row>
    <row r="1231">
      <c r="A1231" s="4" t="inlineStr">
        <is>
          <t>TXN_001116</t>
        </is>
      </c>
      <c r="B1231" s="4" t="inlineStr">
        <is>
          <t>C_00113</t>
        </is>
      </c>
      <c r="C1231" s="4" t="inlineStr">
        <is>
          <t>2026-03-24</t>
        </is>
      </c>
      <c r="D1231" s="5" t="n">
        <v>3173.67</v>
      </c>
      <c r="E1231" s="4" t="inlineStr">
        <is>
          <t>Cash Deposit</t>
        </is>
      </c>
      <c r="F1231" s="4" t="inlineStr">
        <is>
          <t>US</t>
        </is>
      </c>
      <c r="G1231" s="4" t="inlineStr">
        <is>
          <t>Auto</t>
        </is>
      </c>
    </row>
    <row r="1232">
      <c r="A1232" s="2" t="inlineStr">
        <is>
          <t>TXN_001136</t>
        </is>
      </c>
      <c r="B1232" s="2" t="inlineStr">
        <is>
          <t>C_00231</t>
        </is>
      </c>
      <c r="C1232" s="2" t="inlineStr">
        <is>
          <t>2026-03-25</t>
        </is>
      </c>
      <c r="D1232" s="3" t="n">
        <v>2894.23</v>
      </c>
      <c r="E1232" s="2" t="inlineStr">
        <is>
          <t>Card</t>
        </is>
      </c>
      <c r="F1232" s="2" t="inlineStr">
        <is>
          <t>AE</t>
        </is>
      </c>
      <c r="G1232" s="2" t="inlineStr">
        <is>
          <t>Travel</t>
        </is>
      </c>
    </row>
    <row r="1233">
      <c r="A1233" s="4" t="inlineStr">
        <is>
          <t>TXN_001134</t>
        </is>
      </c>
      <c r="B1233" s="4" t="inlineStr">
        <is>
          <t>C_00087</t>
        </is>
      </c>
      <c r="C1233" s="4" t="inlineStr">
        <is>
          <t>2026-03-25</t>
        </is>
      </c>
      <c r="D1233" s="5" t="n">
        <v>767.55</v>
      </c>
      <c r="E1233" s="4" t="inlineStr">
        <is>
          <t>ACH</t>
        </is>
      </c>
      <c r="F1233" s="4" t="inlineStr">
        <is>
          <t>RU</t>
        </is>
      </c>
      <c r="G1233" s="4" t="inlineStr">
        <is>
          <t>Retail</t>
        </is>
      </c>
    </row>
    <row r="1234">
      <c r="A1234" s="2" t="inlineStr">
        <is>
          <t>TXN_001133</t>
        </is>
      </c>
      <c r="B1234" s="2" t="inlineStr">
        <is>
          <t>C_00099</t>
        </is>
      </c>
      <c r="C1234" s="2" t="inlineStr">
        <is>
          <t>2026-03-25</t>
        </is>
      </c>
      <c r="D1234" s="3" t="n">
        <v>4395.2</v>
      </c>
      <c r="E1234" s="2" t="inlineStr">
        <is>
          <t>Card</t>
        </is>
      </c>
      <c r="F1234" s="2" t="inlineStr">
        <is>
          <t>RU</t>
        </is>
      </c>
      <c r="G1234" s="2" t="inlineStr">
        <is>
          <t>Crypto Exchange</t>
        </is>
      </c>
    </row>
    <row r="1235">
      <c r="A1235" s="4" t="inlineStr">
        <is>
          <t>TXN_001135</t>
        </is>
      </c>
      <c r="B1235" s="4" t="inlineStr">
        <is>
          <t>C_00219</t>
        </is>
      </c>
      <c r="C1235" s="4" t="inlineStr">
        <is>
          <t>2026-03-25</t>
        </is>
      </c>
      <c r="D1235" s="5" t="n">
        <v>3721.42</v>
      </c>
      <c r="E1235" s="4" t="inlineStr">
        <is>
          <t>Cash Deposit</t>
        </is>
      </c>
      <c r="F1235" s="4" t="inlineStr">
        <is>
          <t>US</t>
        </is>
      </c>
      <c r="G1235" s="4" t="inlineStr">
        <is>
          <t>Retail</t>
        </is>
      </c>
    </row>
    <row r="1236">
      <c r="A1236" s="2" t="inlineStr">
        <is>
          <t>TXN_001131</t>
        </is>
      </c>
      <c r="B1236" s="2" t="inlineStr">
        <is>
          <t>C_00091</t>
        </is>
      </c>
      <c r="C1236" s="2" t="inlineStr">
        <is>
          <t>2026-03-25</t>
        </is>
      </c>
      <c r="D1236" s="3" t="n">
        <v>434.49</v>
      </c>
      <c r="E1236" s="2" t="inlineStr">
        <is>
          <t>Mobile App</t>
        </is>
      </c>
      <c r="F1236" s="2" t="inlineStr">
        <is>
          <t>US</t>
        </is>
      </c>
      <c r="G1236" s="2" t="inlineStr">
        <is>
          <t>Real Estate</t>
        </is>
      </c>
    </row>
    <row r="1237">
      <c r="A1237" s="4" t="inlineStr">
        <is>
          <t>TXN_001130</t>
        </is>
      </c>
      <c r="B1237" s="4" t="inlineStr">
        <is>
          <t>C_00119</t>
        </is>
      </c>
      <c r="C1237" s="4" t="inlineStr">
        <is>
          <t>2026-03-25</t>
        </is>
      </c>
      <c r="D1237" s="5" t="n">
        <v>1389.14</v>
      </c>
      <c r="E1237" s="4" t="inlineStr">
        <is>
          <t>Wire Transfer</t>
        </is>
      </c>
      <c r="F1237" s="4" t="inlineStr">
        <is>
          <t>CA</t>
        </is>
      </c>
      <c r="G1237" s="4" t="inlineStr">
        <is>
          <t>Food &amp; Beverage</t>
        </is>
      </c>
    </row>
    <row r="1238">
      <c r="A1238" s="2" t="inlineStr">
        <is>
          <t>TXN_001129</t>
        </is>
      </c>
      <c r="B1238" s="2" t="inlineStr">
        <is>
          <t>C_00234</t>
        </is>
      </c>
      <c r="C1238" s="2" t="inlineStr">
        <is>
          <t>2026-03-25</t>
        </is>
      </c>
      <c r="D1238" s="3" t="n">
        <v>5565.6</v>
      </c>
      <c r="E1238" s="2" t="inlineStr">
        <is>
          <t>ACH</t>
        </is>
      </c>
      <c r="F1238" s="2" t="inlineStr">
        <is>
          <t>AE</t>
        </is>
      </c>
      <c r="G1238" s="2" t="inlineStr">
        <is>
          <t>Crypto Exchange</t>
        </is>
      </c>
    </row>
    <row r="1239">
      <c r="A1239" s="4" t="inlineStr">
        <is>
          <t>TXN_001128</t>
        </is>
      </c>
      <c r="B1239" s="4" t="inlineStr">
        <is>
          <t>C_00058</t>
        </is>
      </c>
      <c r="C1239" s="4" t="inlineStr">
        <is>
          <t>2026-03-25</t>
        </is>
      </c>
      <c r="D1239" s="5" t="n">
        <v>3339.84</v>
      </c>
      <c r="E1239" s="4" t="inlineStr">
        <is>
          <t>ACH</t>
        </is>
      </c>
      <c r="F1239" s="4" t="inlineStr">
        <is>
          <t>US</t>
        </is>
      </c>
      <c r="G1239" s="4" t="inlineStr">
        <is>
          <t>Healthcare</t>
        </is>
      </c>
    </row>
    <row r="1240">
      <c r="A1240" s="2" t="inlineStr">
        <is>
          <t>TXN_001127</t>
        </is>
      </c>
      <c r="B1240" s="2" t="inlineStr">
        <is>
          <t>C_00299</t>
        </is>
      </c>
      <c r="C1240" s="2" t="inlineStr">
        <is>
          <t>2026-03-25</t>
        </is>
      </c>
      <c r="D1240" s="3" t="n">
        <v>4461.8</v>
      </c>
      <c r="E1240" s="2" t="inlineStr">
        <is>
          <t>ACH</t>
        </is>
      </c>
      <c r="F1240" s="2" t="inlineStr">
        <is>
          <t>US</t>
        </is>
      </c>
      <c r="G1240" s="2" t="inlineStr">
        <is>
          <t>Crypto Exchange</t>
        </is>
      </c>
    </row>
    <row r="1241">
      <c r="A1241" s="4" t="inlineStr">
        <is>
          <t>TXN_001132</t>
        </is>
      </c>
      <c r="B1241" s="4" t="inlineStr">
        <is>
          <t>C_00094</t>
        </is>
      </c>
      <c r="C1241" s="4" t="inlineStr">
        <is>
          <t>2026-03-25</t>
        </is>
      </c>
      <c r="D1241" s="5" t="n">
        <v>544.23</v>
      </c>
      <c r="E1241" s="4" t="inlineStr">
        <is>
          <t>Card</t>
        </is>
      </c>
      <c r="F1241" s="4" t="inlineStr">
        <is>
          <t>MX</t>
        </is>
      </c>
      <c r="G1241" s="4" t="inlineStr">
        <is>
          <t>Food &amp; Beverage</t>
        </is>
      </c>
    </row>
    <row r="1242">
      <c r="A1242" s="2" t="inlineStr">
        <is>
          <t>TXN_001149</t>
        </is>
      </c>
      <c r="B1242" s="2" t="inlineStr">
        <is>
          <t>C_00093</t>
        </is>
      </c>
      <c r="C1242" s="2" t="inlineStr">
        <is>
          <t>2026-03-26</t>
        </is>
      </c>
      <c r="D1242" s="3" t="n">
        <v>2096.39</v>
      </c>
      <c r="E1242" s="2" t="inlineStr">
        <is>
          <t>ACH</t>
        </is>
      </c>
      <c r="F1242" s="2" t="inlineStr">
        <is>
          <t>AE</t>
        </is>
      </c>
      <c r="G1242" s="2" t="inlineStr">
        <is>
          <t>Food &amp; Beverage</t>
        </is>
      </c>
    </row>
    <row r="1243">
      <c r="A1243" s="4" t="inlineStr">
        <is>
          <t>TXN_001156</t>
        </is>
      </c>
      <c r="B1243" s="4" t="inlineStr">
        <is>
          <t>C_00062</t>
        </is>
      </c>
      <c r="C1243" s="4" t="inlineStr">
        <is>
          <t>2026-03-26</t>
        </is>
      </c>
      <c r="D1243" s="5" t="n">
        <v>11098.58</v>
      </c>
      <c r="E1243" s="4" t="inlineStr">
        <is>
          <t>Card</t>
        </is>
      </c>
      <c r="F1243" s="4" t="inlineStr">
        <is>
          <t>US</t>
        </is>
      </c>
      <c r="G1243" s="4" t="inlineStr">
        <is>
          <t>Jewelry</t>
        </is>
      </c>
    </row>
    <row r="1244">
      <c r="A1244" s="2" t="inlineStr">
        <is>
          <t>TXN_001155</t>
        </is>
      </c>
      <c r="B1244" s="2" t="inlineStr">
        <is>
          <t>C_00058</t>
        </is>
      </c>
      <c r="C1244" s="2" t="inlineStr">
        <is>
          <t>2026-03-26</t>
        </is>
      </c>
      <c r="D1244" s="3" t="n">
        <v>720.78</v>
      </c>
      <c r="E1244" s="2" t="inlineStr">
        <is>
          <t>Card</t>
        </is>
      </c>
      <c r="F1244" s="2" t="inlineStr">
        <is>
          <t>US</t>
        </is>
      </c>
      <c r="G1244" s="2" t="inlineStr">
        <is>
          <t>Auto</t>
        </is>
      </c>
    </row>
    <row r="1245">
      <c r="A1245" s="4" t="inlineStr">
        <is>
          <t>TXN_001154</t>
        </is>
      </c>
      <c r="B1245" s="4" t="inlineStr">
        <is>
          <t>C_00300</t>
        </is>
      </c>
      <c r="C1245" s="4" t="inlineStr">
        <is>
          <t>2026-03-26</t>
        </is>
      </c>
      <c r="D1245" s="5" t="n">
        <v>743.6799999999999</v>
      </c>
      <c r="E1245" s="4" t="inlineStr">
        <is>
          <t>Cash Deposit</t>
        </is>
      </c>
      <c r="F1245" s="4" t="inlineStr">
        <is>
          <t>US</t>
        </is>
      </c>
      <c r="G1245" s="4" t="inlineStr">
        <is>
          <t>Retail</t>
        </is>
      </c>
    </row>
    <row r="1246">
      <c r="A1246" s="2" t="inlineStr">
        <is>
          <t>TXN_001153</t>
        </is>
      </c>
      <c r="B1246" s="2" t="inlineStr">
        <is>
          <t>C_00056</t>
        </is>
      </c>
      <c r="C1246" s="2" t="inlineStr">
        <is>
          <t>2026-03-26</t>
        </is>
      </c>
      <c r="D1246" s="3" t="n">
        <v>2715.49</v>
      </c>
      <c r="E1246" s="2" t="inlineStr">
        <is>
          <t>Mobile App</t>
        </is>
      </c>
      <c r="F1246" s="2" t="inlineStr">
        <is>
          <t>US</t>
        </is>
      </c>
      <c r="G1246" s="2" t="inlineStr">
        <is>
          <t>Real Estate</t>
        </is>
      </c>
    </row>
    <row r="1247">
      <c r="A1247" s="4" t="inlineStr">
        <is>
          <t>TXN_001152</t>
        </is>
      </c>
      <c r="B1247" s="4" t="inlineStr">
        <is>
          <t>C_00187</t>
        </is>
      </c>
      <c r="C1247" s="4" t="inlineStr">
        <is>
          <t>2026-03-26</t>
        </is>
      </c>
      <c r="D1247" s="5" t="n">
        <v>5501.08</v>
      </c>
      <c r="E1247" s="4" t="inlineStr">
        <is>
          <t>Wire Transfer</t>
        </is>
      </c>
      <c r="F1247" s="4" t="inlineStr">
        <is>
          <t>US</t>
        </is>
      </c>
      <c r="G1247" s="4" t="inlineStr">
        <is>
          <t>Jewelry</t>
        </is>
      </c>
    </row>
    <row r="1248">
      <c r="A1248" s="2" t="inlineStr">
        <is>
          <t>TXN_001151</t>
        </is>
      </c>
      <c r="B1248" s="2" t="inlineStr">
        <is>
          <t>C_00161</t>
        </is>
      </c>
      <c r="C1248" s="2" t="inlineStr">
        <is>
          <t>2026-03-26</t>
        </is>
      </c>
      <c r="D1248" s="3" t="n">
        <v>2586.65</v>
      </c>
      <c r="E1248" s="2" t="inlineStr">
        <is>
          <t>Mobile App</t>
        </is>
      </c>
      <c r="F1248" s="2" t="inlineStr">
        <is>
          <t>US</t>
        </is>
      </c>
      <c r="G1248" s="2" t="inlineStr">
        <is>
          <t>Money Services</t>
        </is>
      </c>
    </row>
    <row r="1249">
      <c r="A1249" s="4" t="inlineStr">
        <is>
          <t>TXN_001150</t>
        </is>
      </c>
      <c r="B1249" s="4" t="inlineStr">
        <is>
          <t>C_00130</t>
        </is>
      </c>
      <c r="C1249" s="4" t="inlineStr">
        <is>
          <t>2026-03-26</t>
        </is>
      </c>
      <c r="D1249" s="5" t="n">
        <v>289.74</v>
      </c>
      <c r="E1249" s="4" t="inlineStr">
        <is>
          <t>Card</t>
        </is>
      </c>
      <c r="F1249" s="4" t="inlineStr">
        <is>
          <t>US</t>
        </is>
      </c>
      <c r="G1249" s="4" t="inlineStr">
        <is>
          <t>Food &amp; Beverage</t>
        </is>
      </c>
    </row>
    <row r="1250">
      <c r="A1250" s="2" t="inlineStr">
        <is>
          <t>TXN_001148</t>
        </is>
      </c>
      <c r="B1250" s="2" t="inlineStr">
        <is>
          <t>C_00104</t>
        </is>
      </c>
      <c r="C1250" s="2" t="inlineStr">
        <is>
          <t>2026-03-26</t>
        </is>
      </c>
      <c r="D1250" s="3" t="n">
        <v>859.9</v>
      </c>
      <c r="E1250" s="2" t="inlineStr">
        <is>
          <t>ACH</t>
        </is>
      </c>
      <c r="F1250" s="2" t="inlineStr">
        <is>
          <t>US</t>
        </is>
      </c>
      <c r="G1250" s="2" t="inlineStr">
        <is>
          <t>Retail</t>
        </is>
      </c>
    </row>
    <row r="1251">
      <c r="A1251" s="4" t="inlineStr">
        <is>
          <t>TXN_001141</t>
        </is>
      </c>
      <c r="B1251" s="4" t="inlineStr">
        <is>
          <t>C_00027</t>
        </is>
      </c>
      <c r="C1251" s="4" t="inlineStr">
        <is>
          <t>2026-03-26</t>
        </is>
      </c>
      <c r="D1251" s="5" t="n">
        <v>2140.19</v>
      </c>
      <c r="E1251" s="4" t="inlineStr">
        <is>
          <t>ACH</t>
        </is>
      </c>
      <c r="F1251" s="4" t="inlineStr">
        <is>
          <t>CA</t>
        </is>
      </c>
      <c r="G1251" s="4" t="inlineStr">
        <is>
          <t>Healthcare</t>
        </is>
      </c>
    </row>
    <row r="1252">
      <c r="A1252" s="2" t="inlineStr">
        <is>
          <t>TXN_001146</t>
        </is>
      </c>
      <c r="B1252" s="2" t="inlineStr">
        <is>
          <t>C_00101</t>
        </is>
      </c>
      <c r="C1252" s="2" t="inlineStr">
        <is>
          <t>2026-03-26</t>
        </is>
      </c>
      <c r="D1252" s="3" t="n">
        <v>554.6900000000001</v>
      </c>
      <c r="E1252" s="2" t="inlineStr">
        <is>
          <t>Mobile App</t>
        </is>
      </c>
      <c r="F1252" s="2" t="inlineStr">
        <is>
          <t>MX</t>
        </is>
      </c>
      <c r="G1252" s="2" t="inlineStr">
        <is>
          <t>Real Estate</t>
        </is>
      </c>
    </row>
    <row r="1253">
      <c r="A1253" s="4" t="inlineStr">
        <is>
          <t>TXN_001145</t>
        </is>
      </c>
      <c r="B1253" s="4" t="inlineStr">
        <is>
          <t>C_00036</t>
        </is>
      </c>
      <c r="C1253" s="4" t="inlineStr">
        <is>
          <t>2026-03-26</t>
        </is>
      </c>
      <c r="D1253" s="5" t="n">
        <v>3387.47</v>
      </c>
      <c r="E1253" s="4" t="inlineStr">
        <is>
          <t>Card</t>
        </is>
      </c>
      <c r="F1253" s="4" t="inlineStr">
        <is>
          <t>US</t>
        </is>
      </c>
      <c r="G1253" s="4" t="inlineStr">
        <is>
          <t>Food &amp; Beverage</t>
        </is>
      </c>
    </row>
    <row r="1254">
      <c r="A1254" s="2" t="inlineStr">
        <is>
          <t>TXN_001144</t>
        </is>
      </c>
      <c r="B1254" s="2" t="inlineStr">
        <is>
          <t>C_00247</t>
        </is>
      </c>
      <c r="C1254" s="2" t="inlineStr">
        <is>
          <t>2026-03-26</t>
        </is>
      </c>
      <c r="D1254" s="3" t="n">
        <v>3244.1</v>
      </c>
      <c r="E1254" s="2" t="inlineStr">
        <is>
          <t>Card</t>
        </is>
      </c>
      <c r="F1254" s="2" t="inlineStr">
        <is>
          <t>US</t>
        </is>
      </c>
      <c r="G1254" s="2" t="inlineStr">
        <is>
          <t>Food &amp; Beverage</t>
        </is>
      </c>
    </row>
    <row r="1255">
      <c r="A1255" s="4" t="inlineStr">
        <is>
          <t>TXN_001143</t>
        </is>
      </c>
      <c r="B1255" s="4" t="inlineStr">
        <is>
          <t>C_00227</t>
        </is>
      </c>
      <c r="C1255" s="4" t="inlineStr">
        <is>
          <t>2026-03-26</t>
        </is>
      </c>
      <c r="D1255" s="5" t="n">
        <v>14064.96</v>
      </c>
      <c r="E1255" s="4" t="inlineStr">
        <is>
          <t>Card</t>
        </is>
      </c>
      <c r="F1255" s="4" t="inlineStr">
        <is>
          <t>NG</t>
        </is>
      </c>
      <c r="G1255" s="4" t="inlineStr">
        <is>
          <t>Auto</t>
        </is>
      </c>
    </row>
    <row r="1256">
      <c r="A1256" s="2" t="inlineStr">
        <is>
          <t>TXN_001142</t>
        </is>
      </c>
      <c r="B1256" s="2" t="inlineStr">
        <is>
          <t>C_00186</t>
        </is>
      </c>
      <c r="C1256" s="2" t="inlineStr">
        <is>
          <t>2026-03-26</t>
        </is>
      </c>
      <c r="D1256" s="3" t="n">
        <v>2670.05</v>
      </c>
      <c r="E1256" s="2" t="inlineStr">
        <is>
          <t>Cash Deposit</t>
        </is>
      </c>
      <c r="F1256" s="2" t="inlineStr">
        <is>
          <t>CA</t>
        </is>
      </c>
      <c r="G1256" s="2" t="inlineStr">
        <is>
          <t>Crypto Exchange</t>
        </is>
      </c>
    </row>
    <row r="1257">
      <c r="A1257" s="4" t="inlineStr">
        <is>
          <t>TXN_001140</t>
        </is>
      </c>
      <c r="B1257" s="4" t="inlineStr">
        <is>
          <t>C_00140</t>
        </is>
      </c>
      <c r="C1257" s="4" t="inlineStr">
        <is>
          <t>2026-03-26</t>
        </is>
      </c>
      <c r="D1257" s="5" t="n">
        <v>781.71</v>
      </c>
      <c r="E1257" s="4" t="inlineStr">
        <is>
          <t>Mobile App</t>
        </is>
      </c>
      <c r="F1257" s="4" t="inlineStr">
        <is>
          <t>US</t>
        </is>
      </c>
      <c r="G1257" s="4" t="inlineStr">
        <is>
          <t>Money Services</t>
        </is>
      </c>
    </row>
    <row r="1258">
      <c r="A1258" s="2" t="inlineStr">
        <is>
          <t>TXN_001139</t>
        </is>
      </c>
      <c r="B1258" s="2" t="inlineStr">
        <is>
          <t>C_00029</t>
        </is>
      </c>
      <c r="C1258" s="2" t="inlineStr">
        <is>
          <t>2026-03-26</t>
        </is>
      </c>
      <c r="D1258" s="3" t="n">
        <v>2705.43</v>
      </c>
      <c r="E1258" s="2" t="inlineStr">
        <is>
          <t>Wire Transfer</t>
        </is>
      </c>
      <c r="F1258" s="2" t="inlineStr">
        <is>
          <t>AE</t>
        </is>
      </c>
      <c r="G1258" s="2" t="inlineStr">
        <is>
          <t>Healthcare</t>
        </is>
      </c>
    </row>
    <row r="1259">
      <c r="A1259" s="4" t="inlineStr">
        <is>
          <t>TXN_001138</t>
        </is>
      </c>
      <c r="B1259" s="4" t="inlineStr">
        <is>
          <t>C_00112</t>
        </is>
      </c>
      <c r="C1259" s="4" t="inlineStr">
        <is>
          <t>2026-03-26</t>
        </is>
      </c>
      <c r="D1259" s="5" t="n">
        <v>21031.74</v>
      </c>
      <c r="E1259" s="4" t="inlineStr">
        <is>
          <t>Cash Deposit</t>
        </is>
      </c>
      <c r="F1259" s="4" t="inlineStr">
        <is>
          <t>US</t>
        </is>
      </c>
      <c r="G1259" s="4" t="inlineStr">
        <is>
          <t>Auto</t>
        </is>
      </c>
    </row>
    <row r="1260">
      <c r="A1260" s="2" t="inlineStr">
        <is>
          <t>TXN_001147</t>
        </is>
      </c>
      <c r="B1260" s="2" t="inlineStr">
        <is>
          <t>C_00022</t>
        </is>
      </c>
      <c r="C1260" s="2" t="inlineStr">
        <is>
          <t>2026-03-26</t>
        </is>
      </c>
      <c r="D1260" s="3" t="n">
        <v>4397.41</v>
      </c>
      <c r="E1260" s="2" t="inlineStr">
        <is>
          <t>Cash Deposit</t>
        </is>
      </c>
      <c r="F1260" s="2" t="inlineStr">
        <is>
          <t>CN</t>
        </is>
      </c>
      <c r="G1260" s="2" t="inlineStr">
        <is>
          <t>Jewelry</t>
        </is>
      </c>
    </row>
    <row r="1261">
      <c r="A1261" s="4" t="inlineStr">
        <is>
          <t>TXN_001137</t>
        </is>
      </c>
      <c r="B1261" s="4" t="inlineStr">
        <is>
          <t>C_00196</t>
        </is>
      </c>
      <c r="C1261" s="4" t="inlineStr">
        <is>
          <t>2026-03-26</t>
        </is>
      </c>
      <c r="D1261" s="5" t="n">
        <v>1243.77</v>
      </c>
      <c r="E1261" s="4" t="inlineStr">
        <is>
          <t>Card</t>
        </is>
      </c>
      <c r="F1261" s="4" t="inlineStr">
        <is>
          <t>US</t>
        </is>
      </c>
      <c r="G1261" s="4" t="inlineStr">
        <is>
          <t>Healthcare</t>
        </is>
      </c>
    </row>
    <row r="1262">
      <c r="A1262" s="2" t="inlineStr">
        <is>
          <t>TXN_001165</t>
        </is>
      </c>
      <c r="B1262" s="2" t="inlineStr">
        <is>
          <t>C_00150</t>
        </is>
      </c>
      <c r="C1262" s="2" t="inlineStr">
        <is>
          <t>2026-03-27</t>
        </is>
      </c>
      <c r="D1262" s="3" t="n">
        <v>2091.19</v>
      </c>
      <c r="E1262" s="2" t="inlineStr">
        <is>
          <t>Wire Transfer</t>
        </is>
      </c>
      <c r="F1262" s="2" t="inlineStr">
        <is>
          <t>RU</t>
        </is>
      </c>
      <c r="G1262" s="2" t="inlineStr">
        <is>
          <t>Retail</t>
        </is>
      </c>
    </row>
    <row r="1263">
      <c r="A1263" s="4" t="inlineStr">
        <is>
          <t>TXN_001167</t>
        </is>
      </c>
      <c r="B1263" s="4" t="inlineStr">
        <is>
          <t>C_00036</t>
        </is>
      </c>
      <c r="C1263" s="4" t="inlineStr">
        <is>
          <t>2026-03-27</t>
        </is>
      </c>
      <c r="D1263" s="5" t="n">
        <v>918.04</v>
      </c>
      <c r="E1263" s="4" t="inlineStr">
        <is>
          <t>Wire Transfer</t>
        </is>
      </c>
      <c r="F1263" s="4" t="inlineStr">
        <is>
          <t>US</t>
        </is>
      </c>
      <c r="G1263" s="4" t="inlineStr">
        <is>
          <t>Jewelry</t>
        </is>
      </c>
    </row>
    <row r="1264">
      <c r="A1264" s="2" t="inlineStr">
        <is>
          <t>TXN_001158</t>
        </is>
      </c>
      <c r="B1264" s="2" t="inlineStr">
        <is>
          <t>C_00234</t>
        </is>
      </c>
      <c r="C1264" s="2" t="inlineStr">
        <is>
          <t>2026-03-27</t>
        </is>
      </c>
      <c r="D1264" s="3" t="n">
        <v>1751.6</v>
      </c>
      <c r="E1264" s="2" t="inlineStr">
        <is>
          <t>Wire Transfer</t>
        </is>
      </c>
      <c r="F1264" s="2" t="inlineStr">
        <is>
          <t>US</t>
        </is>
      </c>
      <c r="G1264" s="2" t="inlineStr">
        <is>
          <t>Auto</t>
        </is>
      </c>
    </row>
    <row r="1265">
      <c r="A1265" s="4" t="inlineStr">
        <is>
          <t>TXN_001159</t>
        </is>
      </c>
      <c r="B1265" s="4" t="inlineStr">
        <is>
          <t>C_00021</t>
        </is>
      </c>
      <c r="C1265" s="4" t="inlineStr">
        <is>
          <t>2026-03-27</t>
        </is>
      </c>
      <c r="D1265" s="5" t="n">
        <v>178.07</v>
      </c>
      <c r="E1265" s="4" t="inlineStr">
        <is>
          <t>Card</t>
        </is>
      </c>
      <c r="F1265" s="4" t="inlineStr">
        <is>
          <t>CA</t>
        </is>
      </c>
      <c r="G1265" s="4" t="inlineStr">
        <is>
          <t>Travel</t>
        </is>
      </c>
    </row>
    <row r="1266">
      <c r="A1266" s="2" t="inlineStr">
        <is>
          <t>TXN_001160</t>
        </is>
      </c>
      <c r="B1266" s="2" t="inlineStr">
        <is>
          <t>C_00133</t>
        </is>
      </c>
      <c r="C1266" s="2" t="inlineStr">
        <is>
          <t>2026-03-27</t>
        </is>
      </c>
      <c r="D1266" s="3" t="n">
        <v>823.96</v>
      </c>
      <c r="E1266" s="2" t="inlineStr">
        <is>
          <t>ACH</t>
        </is>
      </c>
      <c r="F1266" s="2" t="inlineStr">
        <is>
          <t>CN</t>
        </is>
      </c>
      <c r="G1266" s="2" t="inlineStr">
        <is>
          <t>Jewelry</t>
        </is>
      </c>
    </row>
    <row r="1267">
      <c r="A1267" s="4" t="inlineStr">
        <is>
          <t>TXN_001161</t>
        </is>
      </c>
      <c r="B1267" s="4" t="inlineStr">
        <is>
          <t>C_ORPHAN_001</t>
        </is>
      </c>
      <c r="C1267" s="4" t="inlineStr">
        <is>
          <t>2026-03-27</t>
        </is>
      </c>
      <c r="D1267" s="5" t="n">
        <v>20478.02</v>
      </c>
      <c r="E1267" s="4" t="inlineStr">
        <is>
          <t>Cash Deposit</t>
        </is>
      </c>
      <c r="F1267" s="4" t="inlineStr">
        <is>
          <t>US</t>
        </is>
      </c>
      <c r="G1267" s="4" t="inlineStr">
        <is>
          <t>Food &amp; Beverage</t>
        </is>
      </c>
    </row>
    <row r="1268">
      <c r="A1268" s="2" t="inlineStr">
        <is>
          <t>TXN_001162</t>
        </is>
      </c>
      <c r="B1268" s="2" t="inlineStr">
        <is>
          <t>C_00193</t>
        </is>
      </c>
      <c r="C1268" s="2" t="inlineStr">
        <is>
          <t>2026-03-27</t>
        </is>
      </c>
      <c r="D1268" s="3" t="n">
        <v>2878.86</v>
      </c>
      <c r="E1268" s="2" t="inlineStr">
        <is>
          <t>Cash Deposit</t>
        </is>
      </c>
      <c r="F1268" s="2" t="inlineStr">
        <is>
          <t>US</t>
        </is>
      </c>
      <c r="G1268" s="2" t="inlineStr">
        <is>
          <t>Crypto Exchange</t>
        </is>
      </c>
    </row>
    <row r="1269">
      <c r="A1269" s="4" t="inlineStr">
        <is>
          <t>TXN_001166</t>
        </is>
      </c>
      <c r="B1269" s="4" t="inlineStr">
        <is>
          <t>C_00201</t>
        </is>
      </c>
      <c r="C1269" s="4" t="inlineStr">
        <is>
          <t>2026-03-27</t>
        </is>
      </c>
      <c r="D1269" s="5" t="n">
        <v>435.4</v>
      </c>
      <c r="E1269" s="4" t="inlineStr">
        <is>
          <t>Wire Transfer</t>
        </is>
      </c>
      <c r="F1269" s="4" t="inlineStr">
        <is>
          <t>AE</t>
        </is>
      </c>
      <c r="G1269" s="4" t="inlineStr">
        <is>
          <t>Travel</t>
        </is>
      </c>
    </row>
    <row r="1270">
      <c r="A1270" s="2" t="inlineStr">
        <is>
          <t>TXN_001157</t>
        </is>
      </c>
      <c r="B1270" s="2" t="inlineStr">
        <is>
          <t>C_00095</t>
        </is>
      </c>
      <c r="C1270" s="2" t="inlineStr">
        <is>
          <t>2026-03-27</t>
        </is>
      </c>
      <c r="D1270" s="3" t="n">
        <v>556.16</v>
      </c>
      <c r="E1270" s="2" t="inlineStr">
        <is>
          <t>Wire Transfer</t>
        </is>
      </c>
      <c r="F1270" s="2" t="inlineStr">
        <is>
          <t>CA</t>
        </is>
      </c>
      <c r="G1270" s="2" t="inlineStr">
        <is>
          <t>Travel</t>
        </is>
      </c>
    </row>
    <row r="1271">
      <c r="A1271" s="4" t="inlineStr">
        <is>
          <t>TXN_001163</t>
        </is>
      </c>
      <c r="B1271" s="4" t="inlineStr">
        <is>
          <t>C_00058</t>
        </is>
      </c>
      <c r="C1271" s="4" t="inlineStr">
        <is>
          <t>2026-03-27</t>
        </is>
      </c>
      <c r="D1271" s="5" t="n">
        <v>6788.33</v>
      </c>
      <c r="E1271" s="4" t="inlineStr">
        <is>
          <t>Wire Transfer</t>
        </is>
      </c>
      <c r="F1271" s="4" t="inlineStr">
        <is>
          <t>CN</t>
        </is>
      </c>
      <c r="G1271" s="4" t="inlineStr">
        <is>
          <t>Food &amp; Beverage</t>
        </is>
      </c>
    </row>
    <row r="1272">
      <c r="A1272" s="2" t="inlineStr">
        <is>
          <t>TXN_001164</t>
        </is>
      </c>
      <c r="B1272" s="2" t="inlineStr">
        <is>
          <t>C_00231</t>
        </is>
      </c>
      <c r="C1272" s="2" t="inlineStr">
        <is>
          <t>2026-03-27</t>
        </is>
      </c>
      <c r="D1272" s="3" t="n">
        <v>2638.49</v>
      </c>
      <c r="E1272" s="2" t="inlineStr">
        <is>
          <t>Card</t>
        </is>
      </c>
      <c r="F1272" s="2" t="inlineStr">
        <is>
          <t>US</t>
        </is>
      </c>
      <c r="G1272" s="2" t="inlineStr">
        <is>
          <t>Auto</t>
        </is>
      </c>
    </row>
    <row r="1273">
      <c r="A1273" s="4" t="inlineStr">
        <is>
          <t>TXN_001168</t>
        </is>
      </c>
      <c r="B1273" s="4" t="inlineStr">
        <is>
          <t>C_00205</t>
        </is>
      </c>
      <c r="C1273" s="4" t="inlineStr">
        <is>
          <t>2026-03-27</t>
        </is>
      </c>
      <c r="D1273" s="5" t="n">
        <v>1423.04</v>
      </c>
      <c r="E1273" s="4" t="inlineStr">
        <is>
          <t>Mobile App</t>
        </is>
      </c>
      <c r="F1273" s="4" t="inlineStr">
        <is>
          <t>US</t>
        </is>
      </c>
      <c r="G1273" s="4" t="inlineStr">
        <is>
          <t>Retail</t>
        </is>
      </c>
    </row>
    <row r="1274">
      <c r="A1274" s="2" t="inlineStr">
        <is>
          <t>TXN_001169</t>
        </is>
      </c>
      <c r="B1274" s="2" t="inlineStr">
        <is>
          <t>C_00282</t>
        </is>
      </c>
      <c r="C1274" s="2" t="inlineStr">
        <is>
          <t>2026-03-27</t>
        </is>
      </c>
      <c r="D1274" s="3" t="n">
        <v>1687.35</v>
      </c>
      <c r="E1274" s="2" t="inlineStr">
        <is>
          <t>ACH</t>
        </is>
      </c>
      <c r="F1274" s="2" t="inlineStr">
        <is>
          <t>US</t>
        </is>
      </c>
      <c r="G1274" s="2" t="inlineStr">
        <is>
          <t>Healthcare</t>
        </is>
      </c>
    </row>
    <row r="1275">
      <c r="A1275" s="4" t="inlineStr">
        <is>
          <t>TXN_001170</t>
        </is>
      </c>
      <c r="B1275" s="4" t="inlineStr">
        <is>
          <t>C_00250</t>
        </is>
      </c>
      <c r="C1275" s="4" t="inlineStr">
        <is>
          <t>2026-03-27</t>
        </is>
      </c>
      <c r="D1275" s="5" t="n">
        <v>2132.71</v>
      </c>
      <c r="E1275" s="4" t="inlineStr">
        <is>
          <t>Wire Transfer</t>
        </is>
      </c>
      <c r="F1275" s="4" t="inlineStr">
        <is>
          <t>CN</t>
        </is>
      </c>
      <c r="G1275" s="4" t="inlineStr">
        <is>
          <t>Money Services</t>
        </is>
      </c>
    </row>
    <row r="1276">
      <c r="A1276" s="2" t="inlineStr">
        <is>
          <t>TXN_001171</t>
        </is>
      </c>
      <c r="B1276" s="2" t="inlineStr">
        <is>
          <t>C_00277</t>
        </is>
      </c>
      <c r="C1276" s="2" t="inlineStr">
        <is>
          <t>2026-03-27</t>
        </is>
      </c>
      <c r="D1276" s="3" t="n">
        <v>19805.12</v>
      </c>
      <c r="E1276" s="2" t="inlineStr">
        <is>
          <t>Card</t>
        </is>
      </c>
      <c r="F1276" s="2" t="inlineStr">
        <is>
          <t>US</t>
        </is>
      </c>
      <c r="G1276" s="2" t="inlineStr">
        <is>
          <t>Real Estate</t>
        </is>
      </c>
    </row>
    <row r="1277">
      <c r="A1277" s="4" t="inlineStr">
        <is>
          <t>TXN_001172</t>
        </is>
      </c>
      <c r="B1277" s="4" t="inlineStr">
        <is>
          <t>C_00120</t>
        </is>
      </c>
      <c r="C1277" s="4" t="inlineStr">
        <is>
          <t>2026-03-27</t>
        </is>
      </c>
      <c r="D1277" s="5" t="n">
        <v>15340.87</v>
      </c>
      <c r="E1277" s="4" t="inlineStr">
        <is>
          <t>ACH</t>
        </is>
      </c>
      <c r="F1277" s="4" t="inlineStr">
        <is>
          <t>US</t>
        </is>
      </c>
      <c r="G1277" s="4" t="inlineStr">
        <is>
          <t>Real Estate</t>
        </is>
      </c>
    </row>
    <row r="1278">
      <c r="A1278" s="2" t="inlineStr">
        <is>
          <t>TXN_001178</t>
        </is>
      </c>
      <c r="B1278" s="2" t="inlineStr">
        <is>
          <t>C_00259</t>
        </is>
      </c>
      <c r="C1278" s="2" t="inlineStr">
        <is>
          <t>2026-03-28</t>
        </is>
      </c>
      <c r="D1278" s="3" t="n">
        <v>3056.23</v>
      </c>
      <c r="E1278" s="2" t="inlineStr">
        <is>
          <t>Mobile App</t>
        </is>
      </c>
      <c r="F1278" s="2" t="inlineStr">
        <is>
          <t>US</t>
        </is>
      </c>
      <c r="G1278" s="2" t="inlineStr">
        <is>
          <t>Food &amp; Beverage</t>
        </is>
      </c>
    </row>
    <row r="1279">
      <c r="A1279" s="4" t="inlineStr">
        <is>
          <t>TXN_001182</t>
        </is>
      </c>
      <c r="B1279" s="4" t="inlineStr">
        <is>
          <t>C_00206</t>
        </is>
      </c>
      <c r="C1279" s="4" t="inlineStr">
        <is>
          <t>2026-03-28</t>
        </is>
      </c>
      <c r="D1279" s="5" t="n">
        <v>4594.71</v>
      </c>
      <c r="E1279" s="4" t="inlineStr">
        <is>
          <t>Cash Deposit</t>
        </is>
      </c>
      <c r="F1279" s="4" t="inlineStr">
        <is>
          <t>MX</t>
        </is>
      </c>
      <c r="G1279" s="4" t="inlineStr">
        <is>
          <t>Electronics</t>
        </is>
      </c>
    </row>
    <row r="1280">
      <c r="A1280" s="2" t="inlineStr">
        <is>
          <t>TXN_001181</t>
        </is>
      </c>
      <c r="B1280" s="2" t="inlineStr">
        <is>
          <t>C_00082</t>
        </is>
      </c>
      <c r="C1280" s="2" t="inlineStr">
        <is>
          <t>2026-03-28</t>
        </is>
      </c>
      <c r="D1280" s="3" t="n">
        <v>269.8</v>
      </c>
      <c r="E1280" s="2" t="inlineStr">
        <is>
          <t>Card</t>
        </is>
      </c>
      <c r="F1280" s="2" t="inlineStr">
        <is>
          <t>AE</t>
        </is>
      </c>
      <c r="G1280" s="2" t="inlineStr">
        <is>
          <t>Retail</t>
        </is>
      </c>
    </row>
    <row r="1281">
      <c r="A1281" s="4" t="inlineStr">
        <is>
          <t>TXN_001180</t>
        </is>
      </c>
      <c r="B1281" s="4" t="inlineStr">
        <is>
          <t>C_00255</t>
        </is>
      </c>
      <c r="C1281" s="4" t="inlineStr">
        <is>
          <t>2026-03-28</t>
        </is>
      </c>
      <c r="D1281" s="5" t="n">
        <v>369.4</v>
      </c>
      <c r="E1281" s="4" t="inlineStr">
        <is>
          <t>ACH</t>
        </is>
      </c>
      <c r="F1281" s="4" t="inlineStr">
        <is>
          <t>US</t>
        </is>
      </c>
      <c r="G1281" s="4" t="inlineStr">
        <is>
          <t>Money Services</t>
        </is>
      </c>
    </row>
    <row r="1282">
      <c r="A1282" s="2" t="inlineStr">
        <is>
          <t>TXN_001179</t>
        </is>
      </c>
      <c r="B1282" s="2" t="inlineStr">
        <is>
          <t>C_00268</t>
        </is>
      </c>
      <c r="C1282" s="2" t="inlineStr">
        <is>
          <t>2026-03-28</t>
        </is>
      </c>
      <c r="D1282" s="3" t="n">
        <v>217.96</v>
      </c>
      <c r="E1282" s="2" t="inlineStr">
        <is>
          <t>Mobile App</t>
        </is>
      </c>
      <c r="F1282" s="2" t="inlineStr">
        <is>
          <t>CA</t>
        </is>
      </c>
      <c r="G1282" s="2" t="inlineStr">
        <is>
          <t>Auto</t>
        </is>
      </c>
    </row>
    <row r="1283">
      <c r="A1283" s="4" t="inlineStr">
        <is>
          <t>TXN_001175</t>
        </is>
      </c>
      <c r="B1283" s="4" t="inlineStr">
        <is>
          <t>C_00225</t>
        </is>
      </c>
      <c r="C1283" s="4" t="inlineStr">
        <is>
          <t>2026-03-28</t>
        </is>
      </c>
      <c r="D1283" s="5" t="n">
        <v>7152.29</v>
      </c>
      <c r="E1283" s="4" t="inlineStr">
        <is>
          <t>ACH</t>
        </is>
      </c>
      <c r="F1283" s="4" t="inlineStr">
        <is>
          <t>US</t>
        </is>
      </c>
      <c r="G1283" s="4" t="inlineStr">
        <is>
          <t>Healthcare</t>
        </is>
      </c>
    </row>
    <row r="1284">
      <c r="A1284" s="2" t="inlineStr">
        <is>
          <t>TXN_001176</t>
        </is>
      </c>
      <c r="B1284" s="2" t="inlineStr">
        <is>
          <t>C_00156</t>
        </is>
      </c>
      <c r="C1284" s="2" t="inlineStr">
        <is>
          <t>2026-03-28</t>
        </is>
      </c>
      <c r="D1284" s="3" t="n">
        <v>1311.58</v>
      </c>
      <c r="E1284" s="2" t="inlineStr">
        <is>
          <t>Wire Transfer</t>
        </is>
      </c>
      <c r="F1284" s="2" t="inlineStr">
        <is>
          <t>CN</t>
        </is>
      </c>
      <c r="G1284" s="2" t="inlineStr">
        <is>
          <t>Electronics</t>
        </is>
      </c>
    </row>
    <row r="1285">
      <c r="A1285" s="4" t="inlineStr">
        <is>
          <t>TXN_001174</t>
        </is>
      </c>
      <c r="B1285" s="4" t="inlineStr">
        <is>
          <t>C_00065</t>
        </is>
      </c>
      <c r="C1285" s="4" t="inlineStr">
        <is>
          <t>2026-03-28</t>
        </is>
      </c>
      <c r="D1285" s="5" t="n">
        <v>811.9299999999999</v>
      </c>
      <c r="E1285" s="4" t="inlineStr">
        <is>
          <t>Cash Deposit</t>
        </is>
      </c>
      <c r="F1285" s="4" t="inlineStr">
        <is>
          <t>CN</t>
        </is>
      </c>
      <c r="G1285" s="4" t="inlineStr">
        <is>
          <t>Electronics</t>
        </is>
      </c>
    </row>
    <row r="1286">
      <c r="A1286" s="2" t="inlineStr">
        <is>
          <t>TXN_001173</t>
        </is>
      </c>
      <c r="B1286" s="2" t="inlineStr">
        <is>
          <t>C_00151</t>
        </is>
      </c>
      <c r="C1286" s="2" t="inlineStr">
        <is>
          <t>2026-03-28</t>
        </is>
      </c>
      <c r="D1286" s="3" t="n">
        <v>1236.52</v>
      </c>
      <c r="E1286" s="2" t="inlineStr">
        <is>
          <t>Card</t>
        </is>
      </c>
      <c r="F1286" s="2" t="inlineStr">
        <is>
          <t>CA</t>
        </is>
      </c>
      <c r="G1286" s="2" t="inlineStr">
        <is>
          <t>Jewelry</t>
        </is>
      </c>
    </row>
    <row r="1287">
      <c r="A1287" s="4" t="inlineStr">
        <is>
          <t>TXN_001177</t>
        </is>
      </c>
      <c r="B1287" s="4" t="inlineStr">
        <is>
          <t>C_00101</t>
        </is>
      </c>
      <c r="C1287" s="4" t="inlineStr">
        <is>
          <t>2026-03-28</t>
        </is>
      </c>
      <c r="D1287" s="5" t="n">
        <v>839.6900000000001</v>
      </c>
      <c r="E1287" s="4" t="inlineStr">
        <is>
          <t>ACH</t>
        </is>
      </c>
      <c r="F1287" s="4" t="inlineStr">
        <is>
          <t>MX</t>
        </is>
      </c>
      <c r="G1287" s="4" t="inlineStr">
        <is>
          <t>Crypto Exchange</t>
        </is>
      </c>
    </row>
    <row r="1288">
      <c r="A1288" s="2" t="inlineStr">
        <is>
          <t>TXN_001193</t>
        </is>
      </c>
      <c r="B1288" s="2" t="inlineStr">
        <is>
          <t>C_00040</t>
        </is>
      </c>
      <c r="C1288" s="2" t="inlineStr">
        <is>
          <t>2026-03-29</t>
        </is>
      </c>
      <c r="D1288" s="3" t="n">
        <v>194.96</v>
      </c>
      <c r="E1288" s="2" t="inlineStr">
        <is>
          <t>ACH</t>
        </is>
      </c>
      <c r="F1288" s="2" t="inlineStr">
        <is>
          <t>US</t>
        </is>
      </c>
      <c r="G1288" s="2" t="inlineStr">
        <is>
          <t>Crypto Exchange</t>
        </is>
      </c>
    </row>
    <row r="1289">
      <c r="A1289" s="4" t="inlineStr">
        <is>
          <t>TXN_001194</t>
        </is>
      </c>
      <c r="B1289" s="4" t="inlineStr">
        <is>
          <t>C_00192</t>
        </is>
      </c>
      <c r="C1289" s="4" t="inlineStr">
        <is>
          <t>2026-03-29</t>
        </is>
      </c>
      <c r="D1289" s="5" t="n">
        <v>3532.43</v>
      </c>
      <c r="E1289" s="4" t="inlineStr">
        <is>
          <t>Card</t>
        </is>
      </c>
      <c r="F1289" s="4" t="inlineStr">
        <is>
          <t>NG</t>
        </is>
      </c>
      <c r="G1289" s="4" t="inlineStr">
        <is>
          <t>Retail</t>
        </is>
      </c>
    </row>
    <row r="1290">
      <c r="A1290" s="2" t="inlineStr">
        <is>
          <t>TXN_001195</t>
        </is>
      </c>
      <c r="B1290" s="2" t="inlineStr">
        <is>
          <t>C_00088</t>
        </is>
      </c>
      <c r="C1290" s="2" t="inlineStr">
        <is>
          <t>2026-03-29</t>
        </is>
      </c>
      <c r="D1290" s="3" t="n">
        <v>561</v>
      </c>
      <c r="E1290" s="2" t="inlineStr">
        <is>
          <t>Card</t>
        </is>
      </c>
      <c r="F1290" s="2" t="inlineStr">
        <is>
          <t>US</t>
        </is>
      </c>
      <c r="G1290" s="2" t="inlineStr">
        <is>
          <t>Jewelry</t>
        </is>
      </c>
    </row>
    <row r="1291">
      <c r="A1291" s="4" t="inlineStr">
        <is>
          <t>TXN_001190</t>
        </is>
      </c>
      <c r="B1291" s="4" t="inlineStr">
        <is>
          <t>C_00022</t>
        </is>
      </c>
      <c r="C1291" s="4" t="inlineStr">
        <is>
          <t>2026-03-29</t>
        </is>
      </c>
      <c r="D1291" s="5" t="n">
        <v>7288.71</v>
      </c>
      <c r="E1291" s="4" t="inlineStr">
        <is>
          <t>Wire Transfer</t>
        </is>
      </c>
      <c r="F1291" s="4" t="inlineStr">
        <is>
          <t>NG</t>
        </is>
      </c>
      <c r="G1291" s="4" t="inlineStr">
        <is>
          <t>Crypto Exchange</t>
        </is>
      </c>
    </row>
    <row r="1292">
      <c r="A1292" s="2" t="inlineStr">
        <is>
          <t>TXN_001197</t>
        </is>
      </c>
      <c r="B1292" s="2" t="inlineStr">
        <is>
          <t>C_00147</t>
        </is>
      </c>
      <c r="C1292" s="2" t="inlineStr">
        <is>
          <t>2026-03-29</t>
        </is>
      </c>
      <c r="D1292" s="3" t="n">
        <v>3192.01</v>
      </c>
      <c r="E1292" s="2" t="inlineStr">
        <is>
          <t>Mobile App</t>
        </is>
      </c>
      <c r="F1292" s="2" t="inlineStr">
        <is>
          <t>MX</t>
        </is>
      </c>
      <c r="G1292" s="2" t="inlineStr">
        <is>
          <t>Electronics</t>
        </is>
      </c>
    </row>
    <row r="1293">
      <c r="A1293" s="4" t="inlineStr">
        <is>
          <t>TXN_001192</t>
        </is>
      </c>
      <c r="B1293" s="4" t="inlineStr">
        <is>
          <t>C_00287</t>
        </is>
      </c>
      <c r="C1293" s="4" t="inlineStr">
        <is>
          <t>2026-03-29</t>
        </is>
      </c>
      <c r="D1293" s="5" t="n">
        <v>14903.03</v>
      </c>
      <c r="E1293" s="4" t="inlineStr">
        <is>
          <t>Card</t>
        </is>
      </c>
      <c r="F1293" s="4" t="inlineStr">
        <is>
          <t>MX</t>
        </is>
      </c>
      <c r="G1293" s="4" t="inlineStr">
        <is>
          <t>Healthcare</t>
        </is>
      </c>
    </row>
    <row r="1294">
      <c r="A1294" s="2" t="inlineStr">
        <is>
          <t>TXN_001196</t>
        </is>
      </c>
      <c r="B1294" s="2" t="inlineStr">
        <is>
          <t>C_00161</t>
        </is>
      </c>
      <c r="C1294" s="2" t="inlineStr">
        <is>
          <t>2026-03-29</t>
        </is>
      </c>
      <c r="D1294" s="3" t="n">
        <v>2824.6</v>
      </c>
      <c r="E1294" s="2" t="inlineStr">
        <is>
          <t>Cash Deposit</t>
        </is>
      </c>
      <c r="F1294" s="2" t="inlineStr">
        <is>
          <t>MX</t>
        </is>
      </c>
      <c r="G1294" s="2" t="inlineStr">
        <is>
          <t>Retail</t>
        </is>
      </c>
    </row>
    <row r="1295">
      <c r="A1295" s="4" t="inlineStr">
        <is>
          <t>TXN_001191</t>
        </is>
      </c>
      <c r="B1295" s="4" t="inlineStr">
        <is>
          <t>C_00223</t>
        </is>
      </c>
      <c r="C1295" s="4" t="inlineStr">
        <is>
          <t>2026-03-29</t>
        </is>
      </c>
      <c r="D1295" s="5" t="n">
        <v>8562.459999999999</v>
      </c>
      <c r="E1295" s="4" t="inlineStr">
        <is>
          <t>Card</t>
        </is>
      </c>
      <c r="F1295" s="4" t="inlineStr">
        <is>
          <t>NG</t>
        </is>
      </c>
      <c r="G1295" s="4" t="inlineStr">
        <is>
          <t>Real Estate</t>
        </is>
      </c>
    </row>
    <row r="1296">
      <c r="A1296" s="2" t="inlineStr">
        <is>
          <t>TXN_001184</t>
        </is>
      </c>
      <c r="B1296" s="2" t="inlineStr">
        <is>
          <t>C_00293</t>
        </is>
      </c>
      <c r="C1296" s="2" t="inlineStr">
        <is>
          <t>2026-03-29</t>
        </is>
      </c>
      <c r="D1296" s="3" t="n">
        <v>5605.74</v>
      </c>
      <c r="E1296" s="2" t="inlineStr">
        <is>
          <t>Wire Transfer</t>
        </is>
      </c>
      <c r="F1296" s="2" t="inlineStr">
        <is>
          <t>CN</t>
        </is>
      </c>
      <c r="G1296" s="2" t="inlineStr">
        <is>
          <t>Food &amp; Beverage</t>
        </is>
      </c>
    </row>
    <row r="1297">
      <c r="A1297" s="4" t="inlineStr">
        <is>
          <t>TXN_001189</t>
        </is>
      </c>
      <c r="B1297" s="4" t="inlineStr">
        <is>
          <t>C_00248</t>
        </is>
      </c>
      <c r="C1297" s="4" t="inlineStr">
        <is>
          <t>2026-03-29</t>
        </is>
      </c>
      <c r="D1297" s="5" t="n">
        <v>1795.57</v>
      </c>
      <c r="E1297" s="4" t="inlineStr">
        <is>
          <t>Wire Transfer</t>
        </is>
      </c>
      <c r="F1297" s="4" t="inlineStr">
        <is>
          <t>US</t>
        </is>
      </c>
      <c r="G1297" s="4" t="inlineStr">
        <is>
          <t>Auto</t>
        </is>
      </c>
    </row>
    <row r="1298">
      <c r="A1298" s="2" t="inlineStr">
        <is>
          <t>TXN_001188</t>
        </is>
      </c>
      <c r="B1298" s="2" t="inlineStr">
        <is>
          <t>C_00264</t>
        </is>
      </c>
      <c r="C1298" s="2" t="inlineStr">
        <is>
          <t>2026-03-29</t>
        </is>
      </c>
      <c r="D1298" s="3" t="n">
        <v>891.47</v>
      </c>
      <c r="E1298" s="2" t="inlineStr">
        <is>
          <t>Wire Transfer</t>
        </is>
      </c>
      <c r="F1298" s="2" t="inlineStr">
        <is>
          <t>NG</t>
        </is>
      </c>
      <c r="G1298" s="2" t="inlineStr">
        <is>
          <t>Auto</t>
        </is>
      </c>
    </row>
    <row r="1299">
      <c r="A1299" s="4" t="inlineStr">
        <is>
          <t>TXN_001187</t>
        </is>
      </c>
      <c r="B1299" s="4" t="inlineStr">
        <is>
          <t>C_00096</t>
        </is>
      </c>
      <c r="C1299" s="4" t="inlineStr">
        <is>
          <t>2026-03-29</t>
        </is>
      </c>
      <c r="D1299" s="5" t="n">
        <v>490.86</v>
      </c>
      <c r="E1299" s="4" t="inlineStr">
        <is>
          <t>Wire Transfer</t>
        </is>
      </c>
      <c r="F1299" s="4" t="inlineStr">
        <is>
          <t>AE</t>
        </is>
      </c>
      <c r="G1299" s="4" t="inlineStr">
        <is>
          <t>Travel</t>
        </is>
      </c>
    </row>
    <row r="1300">
      <c r="A1300" s="2" t="inlineStr">
        <is>
          <t>TXN_001186</t>
        </is>
      </c>
      <c r="B1300" s="2" t="inlineStr">
        <is>
          <t>C_00103</t>
        </is>
      </c>
      <c r="C1300" s="2" t="inlineStr">
        <is>
          <t>2026-03-29</t>
        </is>
      </c>
      <c r="D1300" s="3" t="n">
        <v>6049.12</v>
      </c>
      <c r="E1300" s="2" t="inlineStr">
        <is>
          <t>Wire Transfer</t>
        </is>
      </c>
      <c r="F1300" s="2" t="inlineStr">
        <is>
          <t>US</t>
        </is>
      </c>
      <c r="G1300" s="2" t="inlineStr">
        <is>
          <t>Real Estate</t>
        </is>
      </c>
    </row>
    <row r="1301">
      <c r="A1301" s="4" t="inlineStr">
        <is>
          <t>TXN_001185</t>
        </is>
      </c>
      <c r="B1301" s="4" t="inlineStr">
        <is>
          <t>C_00100</t>
        </is>
      </c>
      <c r="C1301" s="4" t="inlineStr">
        <is>
          <t>2026-03-29</t>
        </is>
      </c>
      <c r="D1301" s="5" t="n">
        <v>4266.91</v>
      </c>
      <c r="E1301" s="4" t="inlineStr">
        <is>
          <t>Mobile App</t>
        </is>
      </c>
      <c r="F1301" s="4" t="inlineStr">
        <is>
          <t>NG</t>
        </is>
      </c>
      <c r="G1301" s="4" t="inlineStr">
        <is>
          <t>Real Estate</t>
        </is>
      </c>
    </row>
    <row r="1302">
      <c r="A1302" s="2" t="inlineStr">
        <is>
          <t>TXN_001183</t>
        </is>
      </c>
      <c r="B1302" s="2" t="inlineStr">
        <is>
          <t>C_00219</t>
        </is>
      </c>
      <c r="C1302" s="2" t="inlineStr">
        <is>
          <t>2026-03-29</t>
        </is>
      </c>
      <c r="D1302" s="3" t="n">
        <v>3769.94</v>
      </c>
      <c r="E1302" s="2" t="inlineStr">
        <is>
          <t>Card</t>
        </is>
      </c>
      <c r="F1302" s="2" t="inlineStr">
        <is>
          <t>US</t>
        </is>
      </c>
      <c r="G1302" s="2" t="inlineStr">
        <is>
          <t>Jewelry</t>
        </is>
      </c>
    </row>
    <row r="1303">
      <c r="A1303" s="4" t="inlineStr">
        <is>
          <t>TXN_001206</t>
        </is>
      </c>
      <c r="B1303" s="4" t="inlineStr">
        <is>
          <t>C_00035</t>
        </is>
      </c>
      <c r="C1303" s="4" t="inlineStr">
        <is>
          <t>2026-03-30</t>
        </is>
      </c>
      <c r="D1303" s="5" t="n">
        <v>284.49</v>
      </c>
      <c r="E1303" s="4" t="inlineStr">
        <is>
          <t>ACH</t>
        </is>
      </c>
      <c r="F1303" s="4" t="inlineStr">
        <is>
          <t>US</t>
        </is>
      </c>
      <c r="G1303" s="4" t="inlineStr">
        <is>
          <t>Retail</t>
        </is>
      </c>
    </row>
    <row r="1304">
      <c r="A1304" s="2" t="inlineStr">
        <is>
          <t>TXN_001209</t>
        </is>
      </c>
      <c r="B1304" s="2" t="inlineStr">
        <is>
          <t>C_00243</t>
        </is>
      </c>
      <c r="C1304" s="2" t="inlineStr">
        <is>
          <t>2026-03-30</t>
        </is>
      </c>
      <c r="D1304" s="3" t="n">
        <v>1491.52</v>
      </c>
      <c r="E1304" s="2" t="inlineStr">
        <is>
          <t>Card</t>
        </is>
      </c>
      <c r="F1304" s="2" t="inlineStr">
        <is>
          <t>AE</t>
        </is>
      </c>
      <c r="G1304" s="2" t="inlineStr">
        <is>
          <t>Money Services</t>
        </is>
      </c>
    </row>
    <row r="1305">
      <c r="A1305" s="4" t="inlineStr">
        <is>
          <t>TXN_001208</t>
        </is>
      </c>
      <c r="B1305" s="4" t="inlineStr">
        <is>
          <t>C_00073</t>
        </is>
      </c>
      <c r="C1305" s="4" t="inlineStr">
        <is>
          <t>2026-03-30</t>
        </is>
      </c>
      <c r="D1305" s="5" t="n">
        <v>4080.94</v>
      </c>
      <c r="E1305" s="4" t="inlineStr">
        <is>
          <t>ACH</t>
        </is>
      </c>
      <c r="F1305" s="4" t="inlineStr">
        <is>
          <t>US</t>
        </is>
      </c>
      <c r="G1305" s="4" t="inlineStr">
        <is>
          <t>Travel</t>
        </is>
      </c>
    </row>
    <row r="1306">
      <c r="A1306" s="2" t="inlineStr">
        <is>
          <t>TXN_001207</t>
        </is>
      </c>
      <c r="B1306" s="2" t="inlineStr">
        <is>
          <t>C_00099</t>
        </is>
      </c>
      <c r="C1306" s="2" t="inlineStr">
        <is>
          <t>2026-03-30</t>
        </is>
      </c>
      <c r="D1306" s="3" t="n">
        <v>1978.27</v>
      </c>
      <c r="E1306" s="2" t="inlineStr">
        <is>
          <t>Wire Transfer</t>
        </is>
      </c>
      <c r="F1306" s="2" t="inlineStr">
        <is>
          <t>US</t>
        </is>
      </c>
      <c r="G1306" s="2" t="inlineStr">
        <is>
          <t>Jewelry</t>
        </is>
      </c>
    </row>
    <row r="1307">
      <c r="A1307" s="4" t="inlineStr">
        <is>
          <t>TXN_001210</t>
        </is>
      </c>
      <c r="B1307" s="4" t="inlineStr">
        <is>
          <t>C_00167</t>
        </is>
      </c>
      <c r="C1307" s="4" t="inlineStr">
        <is>
          <t>2026-03-30</t>
        </is>
      </c>
      <c r="D1307" s="5" t="n">
        <v>1375.79</v>
      </c>
      <c r="E1307" s="4" t="inlineStr">
        <is>
          <t>Wire Transfer</t>
        </is>
      </c>
      <c r="F1307" s="4" t="inlineStr">
        <is>
          <t>US</t>
        </is>
      </c>
      <c r="G1307" s="4" t="inlineStr">
        <is>
          <t>Food &amp; Beverage</t>
        </is>
      </c>
    </row>
    <row r="1308">
      <c r="A1308" s="2" t="inlineStr">
        <is>
          <t>TXN_001205</t>
        </is>
      </c>
      <c r="B1308" s="2" t="inlineStr">
        <is>
          <t>C_00071</t>
        </is>
      </c>
      <c r="C1308" s="2" t="inlineStr">
        <is>
          <t>2026-03-30</t>
        </is>
      </c>
      <c r="D1308" s="3" t="n">
        <v>2220.16</v>
      </c>
      <c r="E1308" s="2" t="inlineStr">
        <is>
          <t>Cash Deposit</t>
        </is>
      </c>
      <c r="F1308" s="2" t="inlineStr">
        <is>
          <t>US</t>
        </is>
      </c>
      <c r="G1308" s="2" t="inlineStr">
        <is>
          <t>Money Services</t>
        </is>
      </c>
    </row>
    <row r="1309">
      <c r="A1309" s="4" t="inlineStr">
        <is>
          <t>TXN_001204</t>
        </is>
      </c>
      <c r="B1309" s="4" t="inlineStr">
        <is>
          <t>C_00138</t>
        </is>
      </c>
      <c r="C1309" s="4" t="inlineStr">
        <is>
          <t>2026-03-30</t>
        </is>
      </c>
      <c r="D1309" s="5" t="n">
        <v>1976.34</v>
      </c>
      <c r="E1309" s="4" t="inlineStr">
        <is>
          <t>Card</t>
        </is>
      </c>
      <c r="F1309" s="4" t="inlineStr">
        <is>
          <t>US</t>
        </is>
      </c>
      <c r="G1309" s="4" t="inlineStr">
        <is>
          <t>Money Services</t>
        </is>
      </c>
    </row>
    <row r="1310">
      <c r="A1310" s="2" t="inlineStr">
        <is>
          <t>TXN_001202</t>
        </is>
      </c>
      <c r="B1310" s="2" t="inlineStr">
        <is>
          <t>C_00193</t>
        </is>
      </c>
      <c r="C1310" s="2" t="inlineStr">
        <is>
          <t>2026-03-30</t>
        </is>
      </c>
      <c r="D1310" s="3" t="n">
        <v>879.33</v>
      </c>
      <c r="E1310" s="2" t="inlineStr">
        <is>
          <t>Card</t>
        </is>
      </c>
      <c r="F1310" s="2" t="inlineStr">
        <is>
          <t>CN</t>
        </is>
      </c>
      <c r="G1310" s="2" t="inlineStr">
        <is>
          <t>Real Estate</t>
        </is>
      </c>
    </row>
    <row r="1311">
      <c r="A1311" s="4" t="inlineStr">
        <is>
          <t>TXN_001201</t>
        </is>
      </c>
      <c r="B1311" s="4" t="inlineStr">
        <is>
          <t>C_00066</t>
        </is>
      </c>
      <c r="C1311" s="4" t="inlineStr">
        <is>
          <t>2026-03-30</t>
        </is>
      </c>
      <c r="D1311" s="5" t="n">
        <v>1409.64</v>
      </c>
      <c r="E1311" s="4" t="inlineStr">
        <is>
          <t>Card</t>
        </is>
      </c>
      <c r="F1311" s="4" t="inlineStr">
        <is>
          <t>US</t>
        </is>
      </c>
      <c r="G1311" s="4" t="inlineStr">
        <is>
          <t>Crypto Exchange</t>
        </is>
      </c>
    </row>
    <row r="1312">
      <c r="A1312" s="2" t="inlineStr">
        <is>
          <t>TXN_001200</t>
        </is>
      </c>
      <c r="B1312" s="2" t="inlineStr">
        <is>
          <t>C_00295</t>
        </is>
      </c>
      <c r="C1312" s="2" t="inlineStr">
        <is>
          <t>2026-03-30</t>
        </is>
      </c>
      <c r="D1312" s="3" t="n">
        <v>553.88</v>
      </c>
      <c r="E1312" s="2" t="inlineStr">
        <is>
          <t>Wire Transfer</t>
        </is>
      </c>
      <c r="F1312" s="2" t="inlineStr">
        <is>
          <t>US</t>
        </is>
      </c>
      <c r="G1312" s="2" t="inlineStr">
        <is>
          <t>Real Estate</t>
        </is>
      </c>
    </row>
    <row r="1313">
      <c r="A1313" s="4" t="inlineStr">
        <is>
          <t>TXN_001199</t>
        </is>
      </c>
      <c r="B1313" s="4" t="inlineStr">
        <is>
          <t>C_00265</t>
        </is>
      </c>
      <c r="C1313" s="4" t="inlineStr">
        <is>
          <t>2026-03-30</t>
        </is>
      </c>
      <c r="D1313" s="5" t="n">
        <v>4764.68</v>
      </c>
      <c r="E1313" s="4" t="inlineStr">
        <is>
          <t>ACH</t>
        </is>
      </c>
      <c r="F1313" s="4" t="inlineStr">
        <is>
          <t>US</t>
        </is>
      </c>
      <c r="G1313" s="4" t="inlineStr">
        <is>
          <t>Auto</t>
        </is>
      </c>
    </row>
    <row r="1314">
      <c r="A1314" s="2" t="inlineStr">
        <is>
          <t>TXN_001198</t>
        </is>
      </c>
      <c r="B1314" s="2" t="inlineStr">
        <is>
          <t>C_00147</t>
        </is>
      </c>
      <c r="C1314" s="2" t="inlineStr">
        <is>
          <t>2026-03-30</t>
        </is>
      </c>
      <c r="D1314" s="3" t="n">
        <v>4042.98</v>
      </c>
      <c r="E1314" s="2" t="inlineStr">
        <is>
          <t>Card</t>
        </is>
      </c>
      <c r="F1314" s="2" t="inlineStr">
        <is>
          <t>US</t>
        </is>
      </c>
      <c r="G1314" s="2" t="inlineStr">
        <is>
          <t>Crypto Exchange</t>
        </is>
      </c>
    </row>
    <row r="1315">
      <c r="A1315" s="4" t="inlineStr">
        <is>
          <t>TXN_001203</t>
        </is>
      </c>
      <c r="B1315" s="4" t="inlineStr">
        <is>
          <t>C_00224</t>
        </is>
      </c>
      <c r="C1315" s="4" t="inlineStr">
        <is>
          <t>2026-03-30</t>
        </is>
      </c>
      <c r="D1315" s="5" t="n">
        <v>1000.62</v>
      </c>
      <c r="E1315" s="4" t="inlineStr">
        <is>
          <t>Wire Transfer</t>
        </is>
      </c>
      <c r="F1315" s="4" t="inlineStr">
        <is>
          <t>US</t>
        </is>
      </c>
      <c r="G1315" s="4" t="inlineStr">
        <is>
          <t>Retail</t>
        </is>
      </c>
    </row>
    <row r="1316">
      <c r="A1316" s="2" t="inlineStr">
        <is>
          <t>TXN_001220</t>
        </is>
      </c>
      <c r="B1316" s="2" t="inlineStr">
        <is>
          <t>C_00289</t>
        </is>
      </c>
      <c r="C1316" s="2" t="inlineStr">
        <is>
          <t>2026-03-31</t>
        </is>
      </c>
      <c r="D1316" s="3" t="n">
        <v>2287.28</v>
      </c>
      <c r="E1316" s="2" t="inlineStr">
        <is>
          <t>Card</t>
        </is>
      </c>
      <c r="F1316" s="2" t="inlineStr">
        <is>
          <t>US</t>
        </is>
      </c>
      <c r="G1316" s="2" t="inlineStr">
        <is>
          <t>Jewelry</t>
        </is>
      </c>
    </row>
    <row r="1317">
      <c r="A1317" s="4" t="inlineStr">
        <is>
          <t>TXN_001217</t>
        </is>
      </c>
      <c r="B1317" s="4" t="inlineStr">
        <is>
          <t>C_00044</t>
        </is>
      </c>
      <c r="C1317" s="4" t="inlineStr">
        <is>
          <t>2026-03-31</t>
        </is>
      </c>
      <c r="D1317" s="5" t="n">
        <v>902.3200000000001</v>
      </c>
      <c r="E1317" s="4" t="inlineStr">
        <is>
          <t>Wire Transfer</t>
        </is>
      </c>
      <c r="F1317" s="4" t="inlineStr">
        <is>
          <t>NG</t>
        </is>
      </c>
      <c r="G1317" s="4" t="inlineStr">
        <is>
          <t>Auto</t>
        </is>
      </c>
    </row>
    <row r="1318">
      <c r="A1318" s="2" t="inlineStr">
        <is>
          <t>TXN_001219</t>
        </is>
      </c>
      <c r="B1318" s="2" t="inlineStr">
        <is>
          <t>C_00186</t>
        </is>
      </c>
      <c r="C1318" s="2" t="inlineStr">
        <is>
          <t>2026-03-31</t>
        </is>
      </c>
      <c r="D1318" s="3" t="n">
        <v>3330.71</v>
      </c>
      <c r="E1318" s="2" t="inlineStr">
        <is>
          <t>Wire Transfer</t>
        </is>
      </c>
      <c r="F1318" s="2" t="inlineStr">
        <is>
          <t>US</t>
        </is>
      </c>
      <c r="G1318" s="2" t="inlineStr">
        <is>
          <t>Retail</t>
        </is>
      </c>
    </row>
    <row r="1319">
      <c r="A1319" s="4" t="inlineStr">
        <is>
          <t>TXN_001218</t>
        </is>
      </c>
      <c r="B1319" s="4" t="inlineStr">
        <is>
          <t>C_00022</t>
        </is>
      </c>
      <c r="C1319" s="4" t="inlineStr">
        <is>
          <t>2026-03-31</t>
        </is>
      </c>
      <c r="D1319" s="5" t="n">
        <v>35850.22</v>
      </c>
      <c r="E1319" s="4" t="inlineStr">
        <is>
          <t>ACH</t>
        </is>
      </c>
      <c r="F1319" s="4" t="inlineStr">
        <is>
          <t>NG</t>
        </is>
      </c>
      <c r="G1319" s="4" t="inlineStr">
        <is>
          <t>Healthcare</t>
        </is>
      </c>
    </row>
    <row r="1320">
      <c r="A1320" s="2" t="inlineStr">
        <is>
          <t>TXN_001216</t>
        </is>
      </c>
      <c r="B1320" s="2" t="inlineStr">
        <is>
          <t>C_00200</t>
        </is>
      </c>
      <c r="C1320" s="2" t="inlineStr">
        <is>
          <t>2026-03-31</t>
        </is>
      </c>
      <c r="D1320" s="3" t="n">
        <v>1469.21</v>
      </c>
      <c r="E1320" s="2" t="inlineStr">
        <is>
          <t>Wire Transfer</t>
        </is>
      </c>
      <c r="F1320" s="2" t="inlineStr">
        <is>
          <t>US</t>
        </is>
      </c>
      <c r="G1320" s="2" t="inlineStr">
        <is>
          <t>Auto</t>
        </is>
      </c>
    </row>
    <row r="1321">
      <c r="A1321" s="4" t="inlineStr">
        <is>
          <t>TXN_001215</t>
        </is>
      </c>
      <c r="B1321" s="4" t="inlineStr">
        <is>
          <t>C_00230</t>
        </is>
      </c>
      <c r="C1321" s="4" t="inlineStr">
        <is>
          <t>2026-03-31</t>
        </is>
      </c>
      <c r="D1321" s="5" t="n">
        <v>4282.73</v>
      </c>
      <c r="E1321" s="4" t="inlineStr">
        <is>
          <t>Cash Deposit</t>
        </is>
      </c>
      <c r="F1321" s="4" t="inlineStr">
        <is>
          <t>US</t>
        </is>
      </c>
      <c r="G1321" s="4" t="inlineStr">
        <is>
          <t>Retail</t>
        </is>
      </c>
    </row>
    <row r="1322">
      <c r="A1322" s="2" t="inlineStr">
        <is>
          <t>TXN_001214</t>
        </is>
      </c>
      <c r="B1322" s="2" t="inlineStr">
        <is>
          <t>C_00128</t>
        </is>
      </c>
      <c r="C1322" s="2" t="inlineStr">
        <is>
          <t>2026-03-31</t>
        </is>
      </c>
      <c r="D1322" s="3" t="n">
        <v>14145.86</v>
      </c>
      <c r="E1322" s="2" t="inlineStr">
        <is>
          <t>ACH</t>
        </is>
      </c>
      <c r="F1322" s="2" t="inlineStr">
        <is>
          <t>CA</t>
        </is>
      </c>
      <c r="G1322" s="2" t="inlineStr">
        <is>
          <t>Real Estate</t>
        </is>
      </c>
    </row>
    <row r="1323">
      <c r="A1323" s="4" t="inlineStr">
        <is>
          <t>TXN_001213</t>
        </is>
      </c>
      <c r="B1323" s="4" t="inlineStr">
        <is>
          <t>C_00195</t>
        </is>
      </c>
      <c r="C1323" s="4" t="inlineStr">
        <is>
          <t>2026-03-31</t>
        </is>
      </c>
      <c r="D1323" s="5" t="n">
        <v>3725</v>
      </c>
      <c r="E1323" s="4" t="inlineStr">
        <is>
          <t>Mobile App</t>
        </is>
      </c>
      <c r="F1323" s="4" t="inlineStr">
        <is>
          <t>US</t>
        </is>
      </c>
      <c r="G1323" s="4" t="inlineStr">
        <is>
          <t>Electronics</t>
        </is>
      </c>
    </row>
    <row r="1324">
      <c r="A1324" s="2" t="inlineStr">
        <is>
          <t>TXN_001212</t>
        </is>
      </c>
      <c r="B1324" s="2" t="inlineStr">
        <is>
          <t>C_00184</t>
        </is>
      </c>
      <c r="C1324" s="2" t="inlineStr">
        <is>
          <t>2026-03-31</t>
        </is>
      </c>
      <c r="D1324" s="3" t="n">
        <v>3560.62</v>
      </c>
      <c r="E1324" s="2" t="inlineStr">
        <is>
          <t>Mobile App</t>
        </is>
      </c>
      <c r="F1324" s="2" t="inlineStr">
        <is>
          <t>CN</t>
        </is>
      </c>
      <c r="G1324" s="2" t="inlineStr">
        <is>
          <t>Electronics</t>
        </is>
      </c>
    </row>
    <row r="1325">
      <c r="A1325" s="4" t="inlineStr">
        <is>
          <t>TXN_001211</t>
        </is>
      </c>
      <c r="B1325" s="4" t="inlineStr">
        <is>
          <t>C_00188</t>
        </is>
      </c>
      <c r="C1325" s="4" t="inlineStr">
        <is>
          <t>2026-03-31</t>
        </is>
      </c>
      <c r="D1325" s="5" t="n">
        <v>2775.46</v>
      </c>
      <c r="E1325" s="4" t="inlineStr">
        <is>
          <t>Mobile App</t>
        </is>
      </c>
      <c r="F1325" s="4" t="inlineStr">
        <is>
          <t>RU</t>
        </is>
      </c>
      <c r="G1325" s="4" t="inlineStr">
        <is>
          <t>Auto</t>
        </is>
      </c>
    </row>
    <row r="1326">
      <c r="A1326" s="2" t="inlineStr">
        <is>
          <t>TXN_001237</t>
        </is>
      </c>
      <c r="B1326" s="2" t="inlineStr">
        <is>
          <t>C_00264</t>
        </is>
      </c>
      <c r="C1326" s="2" t="inlineStr">
        <is>
          <t>2026-04-01</t>
        </is>
      </c>
      <c r="D1326" s="3" t="n">
        <v>14760.42</v>
      </c>
      <c r="E1326" s="2" t="inlineStr">
        <is>
          <t>Wire Transfer</t>
        </is>
      </c>
      <c r="F1326" s="2" t="inlineStr">
        <is>
          <t>US</t>
        </is>
      </c>
      <c r="G1326" s="2" t="inlineStr">
        <is>
          <t>Healthcare</t>
        </is>
      </c>
    </row>
    <row r="1327">
      <c r="A1327" s="4" t="inlineStr">
        <is>
          <t>TXN_001236</t>
        </is>
      </c>
      <c r="B1327" s="4" t="inlineStr">
        <is>
          <t>C_00123</t>
        </is>
      </c>
      <c r="C1327" s="4" t="inlineStr">
        <is>
          <t>2026-04-01</t>
        </is>
      </c>
      <c r="D1327" s="5" t="n">
        <v>3647.48</v>
      </c>
      <c r="E1327" s="4" t="inlineStr">
        <is>
          <t>Wire Transfer</t>
        </is>
      </c>
      <c r="F1327" s="4" t="inlineStr">
        <is>
          <t>RU</t>
        </is>
      </c>
      <c r="G1327" s="4" t="inlineStr">
        <is>
          <t>Electronics</t>
        </is>
      </c>
    </row>
    <row r="1328">
      <c r="A1328" s="2" t="inlineStr">
        <is>
          <t>TXN_001235</t>
        </is>
      </c>
      <c r="B1328" s="2" t="inlineStr">
        <is>
          <t>C_00065</t>
        </is>
      </c>
      <c r="C1328" s="2" t="inlineStr">
        <is>
          <t>2026-04-01</t>
        </is>
      </c>
      <c r="D1328" s="3" t="n">
        <v>107.77</v>
      </c>
      <c r="E1328" s="2" t="inlineStr">
        <is>
          <t>Mobile App</t>
        </is>
      </c>
      <c r="F1328" s="2" t="inlineStr">
        <is>
          <t>US</t>
        </is>
      </c>
      <c r="G1328" s="2" t="inlineStr">
        <is>
          <t>Electronics</t>
        </is>
      </c>
    </row>
    <row r="1329">
      <c r="A1329" s="4" t="inlineStr">
        <is>
          <t>TXN_001234</t>
        </is>
      </c>
      <c r="B1329" s="4" t="inlineStr">
        <is>
          <t>C_00255</t>
        </is>
      </c>
      <c r="C1329" s="4" t="inlineStr">
        <is>
          <t>2026-04-01</t>
        </is>
      </c>
      <c r="D1329" s="5" t="n">
        <v>11195.48</v>
      </c>
      <c r="E1329" s="4" t="inlineStr">
        <is>
          <t>Card</t>
        </is>
      </c>
      <c r="F1329" s="4" t="inlineStr">
        <is>
          <t>US</t>
        </is>
      </c>
      <c r="G1329" s="4" t="inlineStr">
        <is>
          <t>Money Services</t>
        </is>
      </c>
    </row>
    <row r="1330">
      <c r="A1330" s="2" t="inlineStr">
        <is>
          <t>TXN_001233</t>
        </is>
      </c>
      <c r="B1330" s="2" t="inlineStr">
        <is>
          <t>C_00090</t>
        </is>
      </c>
      <c r="C1330" s="2" t="inlineStr">
        <is>
          <t>2026-04-01</t>
        </is>
      </c>
      <c r="D1330" s="3" t="n">
        <v>9.33</v>
      </c>
      <c r="E1330" s="2" t="inlineStr">
        <is>
          <t>Mobile App</t>
        </is>
      </c>
      <c r="F1330" s="2" t="inlineStr">
        <is>
          <t>RU</t>
        </is>
      </c>
      <c r="G1330" s="2" t="inlineStr">
        <is>
          <t>Jewelry</t>
        </is>
      </c>
    </row>
    <row r="1331">
      <c r="A1331" s="4" t="inlineStr">
        <is>
          <t>TXN_001232</t>
        </is>
      </c>
      <c r="B1331" s="4" t="inlineStr">
        <is>
          <t>C_00230</t>
        </is>
      </c>
      <c r="C1331" s="4" t="inlineStr">
        <is>
          <t>2026-04-01</t>
        </is>
      </c>
      <c r="D1331" s="5" t="n">
        <v>238.94</v>
      </c>
      <c r="E1331" s="4" t="inlineStr">
        <is>
          <t>Cash Deposit</t>
        </is>
      </c>
      <c r="F1331" s="4" t="inlineStr">
        <is>
          <t>US</t>
        </is>
      </c>
      <c r="G1331" s="4" t="inlineStr">
        <is>
          <t>Retail</t>
        </is>
      </c>
    </row>
    <row r="1332">
      <c r="A1332" s="2" t="inlineStr">
        <is>
          <t>TXN_001231</t>
        </is>
      </c>
      <c r="B1332" s="2" t="inlineStr">
        <is>
          <t>C_00114</t>
        </is>
      </c>
      <c r="C1332" s="2" t="inlineStr">
        <is>
          <t>2026-04-01</t>
        </is>
      </c>
      <c r="D1332" s="3" t="n">
        <v>3188.23</v>
      </c>
      <c r="E1332" s="2" t="inlineStr">
        <is>
          <t>Card</t>
        </is>
      </c>
      <c r="F1332" s="2" t="inlineStr">
        <is>
          <t>US</t>
        </is>
      </c>
      <c r="G1332" s="2" t="inlineStr">
        <is>
          <t>Crypto Exchange</t>
        </is>
      </c>
    </row>
    <row r="1333">
      <c r="A1333" s="4" t="inlineStr">
        <is>
          <t>TXN_001230</t>
        </is>
      </c>
      <c r="B1333" s="4" t="inlineStr">
        <is>
          <t>C_00034</t>
        </is>
      </c>
      <c r="C1333" s="4" t="inlineStr">
        <is>
          <t>2026-04-01</t>
        </is>
      </c>
      <c r="D1333" s="5" t="n">
        <v>1131.25</v>
      </c>
      <c r="E1333" s="4" t="inlineStr">
        <is>
          <t>Mobile App</t>
        </is>
      </c>
      <c r="F1333" s="4" t="inlineStr">
        <is>
          <t>AE</t>
        </is>
      </c>
      <c r="G1333" s="4" t="inlineStr">
        <is>
          <t>Real Estate</t>
        </is>
      </c>
    </row>
    <row r="1334">
      <c r="A1334" s="2" t="inlineStr">
        <is>
          <t>TXN_001229</t>
        </is>
      </c>
      <c r="B1334" s="2" t="inlineStr">
        <is>
          <t>C_00162</t>
        </is>
      </c>
      <c r="C1334" s="2" t="inlineStr">
        <is>
          <t>2026-04-01</t>
        </is>
      </c>
      <c r="D1334" s="3" t="n">
        <v>787.9299999999999</v>
      </c>
      <c r="E1334" s="2" t="inlineStr">
        <is>
          <t>Wire Transfer</t>
        </is>
      </c>
      <c r="F1334" s="2" t="inlineStr">
        <is>
          <t>US</t>
        </is>
      </c>
      <c r="G1334" s="2" t="inlineStr">
        <is>
          <t>Healthcare</t>
        </is>
      </c>
    </row>
    <row r="1335">
      <c r="A1335" s="4" t="inlineStr">
        <is>
          <t>TXN_001227</t>
        </is>
      </c>
      <c r="B1335" s="4" t="inlineStr">
        <is>
          <t>C_00290</t>
        </is>
      </c>
      <c r="C1335" s="4" t="inlineStr">
        <is>
          <t>2026-04-01</t>
        </is>
      </c>
      <c r="D1335" s="5" t="n">
        <v>2847.4</v>
      </c>
      <c r="E1335" s="4" t="inlineStr">
        <is>
          <t>Card</t>
        </is>
      </c>
      <c r="F1335" s="4" t="inlineStr">
        <is>
          <t>US</t>
        </is>
      </c>
      <c r="G1335" s="4" t="inlineStr">
        <is>
          <t>Real Estate</t>
        </is>
      </c>
    </row>
    <row r="1336">
      <c r="A1336" s="2" t="inlineStr">
        <is>
          <t>TXN_001226</t>
        </is>
      </c>
      <c r="B1336" s="2" t="inlineStr">
        <is>
          <t>C_00235</t>
        </is>
      </c>
      <c r="C1336" s="2" t="inlineStr">
        <is>
          <t>2026-04-01</t>
        </is>
      </c>
      <c r="D1336" s="3" t="n">
        <v>1212.27</v>
      </c>
      <c r="E1336" s="2" t="inlineStr">
        <is>
          <t>Mobile App</t>
        </is>
      </c>
      <c r="F1336" s="2" t="inlineStr">
        <is>
          <t>CA</t>
        </is>
      </c>
      <c r="G1336" s="2" t="inlineStr">
        <is>
          <t>Healthcare</t>
        </is>
      </c>
    </row>
    <row r="1337">
      <c r="A1337" s="4" t="inlineStr">
        <is>
          <t>TXN_001225</t>
        </is>
      </c>
      <c r="B1337" s="4" t="inlineStr">
        <is>
          <t>C_00108</t>
        </is>
      </c>
      <c r="C1337" s="4" t="inlineStr">
        <is>
          <t>2026-04-01</t>
        </is>
      </c>
      <c r="D1337" s="5" t="n">
        <v>2655.4</v>
      </c>
      <c r="E1337" s="4" t="inlineStr">
        <is>
          <t>ACH</t>
        </is>
      </c>
      <c r="F1337" s="4" t="inlineStr">
        <is>
          <t>NG</t>
        </is>
      </c>
      <c r="G1337" s="4" t="inlineStr">
        <is>
          <t>Auto</t>
        </is>
      </c>
    </row>
    <row r="1338">
      <c r="A1338" s="2" t="inlineStr">
        <is>
          <t>TXN_001224</t>
        </is>
      </c>
      <c r="B1338" s="2" t="inlineStr">
        <is>
          <t>C_00237</t>
        </is>
      </c>
      <c r="C1338" s="2" t="inlineStr">
        <is>
          <t>2026-04-01</t>
        </is>
      </c>
      <c r="D1338" s="3" t="n">
        <v>2218.1</v>
      </c>
      <c r="E1338" s="2" t="inlineStr">
        <is>
          <t>Mobile App</t>
        </is>
      </c>
      <c r="F1338" s="2" t="inlineStr">
        <is>
          <t>US</t>
        </is>
      </c>
      <c r="G1338" s="2" t="inlineStr">
        <is>
          <t>Real Estate</t>
        </is>
      </c>
    </row>
    <row r="1339">
      <c r="A1339" s="4" t="inlineStr">
        <is>
          <t>TXN_001223</t>
        </is>
      </c>
      <c r="B1339" s="4" t="inlineStr">
        <is>
          <t>C_00113</t>
        </is>
      </c>
      <c r="C1339" s="4" t="inlineStr">
        <is>
          <t>2026-04-01</t>
        </is>
      </c>
      <c r="D1339" s="5" t="n">
        <v>4627.46</v>
      </c>
      <c r="E1339" s="4" t="inlineStr">
        <is>
          <t>Wire Transfer</t>
        </is>
      </c>
      <c r="F1339" s="4" t="inlineStr">
        <is>
          <t>RU</t>
        </is>
      </c>
      <c r="G1339" s="4" t="inlineStr">
        <is>
          <t>Auto</t>
        </is>
      </c>
    </row>
    <row r="1340">
      <c r="A1340" s="2" t="inlineStr">
        <is>
          <t>TXN_001222</t>
        </is>
      </c>
      <c r="B1340" s="2" t="inlineStr">
        <is>
          <t>C_00083</t>
        </is>
      </c>
      <c r="C1340" s="2" t="inlineStr">
        <is>
          <t>2026-04-01</t>
        </is>
      </c>
      <c r="D1340" s="3" t="n">
        <v>509.89</v>
      </c>
      <c r="E1340" s="2" t="inlineStr">
        <is>
          <t>Mobile App</t>
        </is>
      </c>
      <c r="F1340" s="2" t="inlineStr">
        <is>
          <t>US</t>
        </is>
      </c>
      <c r="G1340" s="2" t="inlineStr">
        <is>
          <t>Food &amp; Beverage</t>
        </is>
      </c>
    </row>
    <row r="1341">
      <c r="A1341" s="4" t="inlineStr">
        <is>
          <t>TXN_001221</t>
        </is>
      </c>
      <c r="B1341" s="4" t="inlineStr">
        <is>
          <t>C_00290</t>
        </is>
      </c>
      <c r="C1341" s="4" t="inlineStr">
        <is>
          <t>2026-04-01</t>
        </is>
      </c>
      <c r="D1341" s="5" t="n">
        <v>6196.32</v>
      </c>
      <c r="E1341" s="4" t="inlineStr">
        <is>
          <t>Card</t>
        </is>
      </c>
      <c r="F1341" s="4" t="inlineStr">
        <is>
          <t>MX</t>
        </is>
      </c>
      <c r="G1341" s="4" t="inlineStr">
        <is>
          <t>Food &amp; Beverage</t>
        </is>
      </c>
    </row>
    <row r="1342">
      <c r="A1342" s="2" t="inlineStr">
        <is>
          <t>TXN_001228</t>
        </is>
      </c>
      <c r="B1342" s="2" t="inlineStr">
        <is>
          <t>C_00029</t>
        </is>
      </c>
      <c r="C1342" s="2" t="inlineStr">
        <is>
          <t>2026-04-01</t>
        </is>
      </c>
      <c r="D1342" s="3" t="n">
        <v>2041.99</v>
      </c>
      <c r="E1342" s="2" t="inlineStr">
        <is>
          <t>Card</t>
        </is>
      </c>
      <c r="F1342" s="2" t="inlineStr">
        <is>
          <t>US</t>
        </is>
      </c>
      <c r="G1342" s="2" t="inlineStr">
        <is>
          <t>Auto</t>
        </is>
      </c>
    </row>
    <row r="1343">
      <c r="A1343" s="4" t="inlineStr">
        <is>
          <t>TXN_001249</t>
        </is>
      </c>
      <c r="B1343" s="4" t="inlineStr">
        <is>
          <t>C_00166</t>
        </is>
      </c>
      <c r="C1343" s="4" t="inlineStr">
        <is>
          <t>2026-04-02</t>
        </is>
      </c>
      <c r="D1343" s="5" t="n">
        <v>10144.74</v>
      </c>
      <c r="E1343" s="4" t="inlineStr">
        <is>
          <t>Card</t>
        </is>
      </c>
      <c r="F1343" s="4" t="inlineStr">
        <is>
          <t>US</t>
        </is>
      </c>
      <c r="G1343" s="4" t="inlineStr">
        <is>
          <t>Travel</t>
        </is>
      </c>
    </row>
    <row r="1344">
      <c r="A1344" s="2" t="inlineStr">
        <is>
          <t>TXN_001245</t>
        </is>
      </c>
      <c r="B1344" s="2" t="inlineStr">
        <is>
          <t>C_00163</t>
        </is>
      </c>
      <c r="C1344" s="2" t="inlineStr">
        <is>
          <t>2026-04-02</t>
        </is>
      </c>
      <c r="D1344" s="3" t="n">
        <v>2862.57</v>
      </c>
      <c r="E1344" s="2" t="inlineStr">
        <is>
          <t>Card</t>
        </is>
      </c>
      <c r="F1344" s="2" t="inlineStr">
        <is>
          <t>CN</t>
        </is>
      </c>
      <c r="G1344" s="2" t="inlineStr">
        <is>
          <t>Money Services</t>
        </is>
      </c>
    </row>
    <row r="1345">
      <c r="A1345" s="4" t="inlineStr">
        <is>
          <t>TXN_001248</t>
        </is>
      </c>
      <c r="B1345" s="4" t="inlineStr">
        <is>
          <t>C_00159</t>
        </is>
      </c>
      <c r="C1345" s="4" t="inlineStr">
        <is>
          <t>2026-04-02</t>
        </is>
      </c>
      <c r="D1345" s="5" t="n">
        <v>616.89</v>
      </c>
      <c r="E1345" s="4" t="inlineStr">
        <is>
          <t>Wire Transfer</t>
        </is>
      </c>
      <c r="F1345" s="4" t="inlineStr">
        <is>
          <t>RU</t>
        </is>
      </c>
      <c r="G1345" s="4" t="inlineStr">
        <is>
          <t>Travel</t>
        </is>
      </c>
    </row>
    <row r="1346">
      <c r="A1346" s="2" t="inlineStr">
        <is>
          <t>TXN_001247</t>
        </is>
      </c>
      <c r="B1346" s="2" t="inlineStr">
        <is>
          <t>C_00105</t>
        </is>
      </c>
      <c r="C1346" s="2" t="inlineStr">
        <is>
          <t>2026-04-02</t>
        </is>
      </c>
      <c r="D1346" s="3" t="n">
        <v>225.72</v>
      </c>
      <c r="E1346" s="2" t="inlineStr">
        <is>
          <t>Mobile App</t>
        </is>
      </c>
      <c r="F1346" s="2" t="inlineStr">
        <is>
          <t>US</t>
        </is>
      </c>
      <c r="G1346" s="2" t="inlineStr">
        <is>
          <t>Food &amp; Beverage</t>
        </is>
      </c>
    </row>
    <row r="1347">
      <c r="A1347" s="4" t="inlineStr">
        <is>
          <t>TXN_001246</t>
        </is>
      </c>
      <c r="B1347" s="4" t="inlineStr">
        <is>
          <t>C_00138</t>
        </is>
      </c>
      <c r="C1347" s="4" t="inlineStr">
        <is>
          <t>2026-04-02</t>
        </is>
      </c>
      <c r="D1347" s="5" t="n">
        <v>17579</v>
      </c>
      <c r="E1347" s="4" t="inlineStr">
        <is>
          <t>ACH</t>
        </is>
      </c>
      <c r="F1347" s="4" t="inlineStr">
        <is>
          <t>US</t>
        </is>
      </c>
      <c r="G1347" s="4" t="inlineStr">
        <is>
          <t>Jewelry</t>
        </is>
      </c>
    </row>
    <row r="1348">
      <c r="A1348" s="2" t="inlineStr">
        <is>
          <t>TXN_001244</t>
        </is>
      </c>
      <c r="B1348" s="2" t="inlineStr">
        <is>
          <t>C_00115</t>
        </is>
      </c>
      <c r="C1348" s="2" t="inlineStr">
        <is>
          <t>2026-04-02</t>
        </is>
      </c>
      <c r="D1348" s="3" t="n">
        <v>1255.49</v>
      </c>
      <c r="E1348" s="2" t="inlineStr">
        <is>
          <t>Card</t>
        </is>
      </c>
      <c r="F1348" s="2" t="inlineStr">
        <is>
          <t>AE</t>
        </is>
      </c>
      <c r="G1348" s="2" t="inlineStr">
        <is>
          <t>Retail</t>
        </is>
      </c>
    </row>
    <row r="1349">
      <c r="A1349" s="4" t="inlineStr">
        <is>
          <t>TXN_001250</t>
        </is>
      </c>
      <c r="B1349" s="4" t="inlineStr">
        <is>
          <t>C_00114</t>
        </is>
      </c>
      <c r="C1349" s="4" t="inlineStr">
        <is>
          <t>2026-04-02</t>
        </is>
      </c>
      <c r="D1349" s="5" t="n">
        <v>1122.78</v>
      </c>
      <c r="E1349" s="4" t="inlineStr">
        <is>
          <t>Card</t>
        </is>
      </c>
      <c r="F1349" s="4" t="inlineStr">
        <is>
          <t>US</t>
        </is>
      </c>
      <c r="G1349" s="4" t="inlineStr">
        <is>
          <t>Retail</t>
        </is>
      </c>
    </row>
    <row r="1350">
      <c r="A1350" s="2" t="inlineStr">
        <is>
          <t>TXN_001242</t>
        </is>
      </c>
      <c r="B1350" s="2" t="inlineStr">
        <is>
          <t>C_00244</t>
        </is>
      </c>
      <c r="C1350" s="2" t="inlineStr">
        <is>
          <t>2026-04-02</t>
        </is>
      </c>
      <c r="D1350" s="3" t="n">
        <v>1612.28</v>
      </c>
      <c r="E1350" s="2" t="inlineStr">
        <is>
          <t>Card</t>
        </is>
      </c>
      <c r="F1350" s="2" t="inlineStr">
        <is>
          <t>AE</t>
        </is>
      </c>
      <c r="G1350" s="2" t="inlineStr">
        <is>
          <t>Electronics</t>
        </is>
      </c>
    </row>
    <row r="1351">
      <c r="A1351" s="4" t="inlineStr">
        <is>
          <t>TXN_001241</t>
        </is>
      </c>
      <c r="B1351" s="4" t="inlineStr">
        <is>
          <t>C_00190</t>
        </is>
      </c>
      <c r="C1351" s="4" t="inlineStr">
        <is>
          <t>2026-04-02</t>
        </is>
      </c>
      <c r="D1351" s="5" t="n">
        <v>2423.8</v>
      </c>
      <c r="E1351" s="4" t="inlineStr">
        <is>
          <t>Mobile App</t>
        </is>
      </c>
      <c r="F1351" s="4" t="inlineStr">
        <is>
          <t>NG</t>
        </is>
      </c>
      <c r="G1351" s="4" t="inlineStr">
        <is>
          <t>Real Estate</t>
        </is>
      </c>
    </row>
    <row r="1352">
      <c r="A1352" s="2" t="inlineStr">
        <is>
          <t>TXN_001240</t>
        </is>
      </c>
      <c r="B1352" s="2" t="inlineStr">
        <is>
          <t>C_00068</t>
        </is>
      </c>
      <c r="C1352" s="2" t="inlineStr">
        <is>
          <t>2026-04-02</t>
        </is>
      </c>
      <c r="D1352" s="3" t="n">
        <v>1213.53</v>
      </c>
      <c r="E1352" s="2" t="inlineStr">
        <is>
          <t>Wire Transfer</t>
        </is>
      </c>
      <c r="F1352" s="2" t="inlineStr">
        <is>
          <t>US</t>
        </is>
      </c>
      <c r="G1352" s="2" t="inlineStr">
        <is>
          <t>Crypto Exchange</t>
        </is>
      </c>
    </row>
    <row r="1353">
      <c r="A1353" s="4" t="inlineStr">
        <is>
          <t>TXN_001239</t>
        </is>
      </c>
      <c r="B1353" s="4" t="inlineStr">
        <is>
          <t>C_00300</t>
        </is>
      </c>
      <c r="C1353" s="4" t="inlineStr">
        <is>
          <t>2026-04-02</t>
        </is>
      </c>
      <c r="D1353" s="5" t="n">
        <v>3719.43</v>
      </c>
      <c r="E1353" s="4" t="inlineStr">
        <is>
          <t>Cash Deposit</t>
        </is>
      </c>
      <c r="F1353" s="4" t="inlineStr">
        <is>
          <t>US</t>
        </is>
      </c>
      <c r="G1353" s="4" t="inlineStr">
        <is>
          <t>Crypto Exchange</t>
        </is>
      </c>
    </row>
    <row r="1354">
      <c r="A1354" s="2" t="inlineStr">
        <is>
          <t>TXN_001238</t>
        </is>
      </c>
      <c r="B1354" s="2" t="inlineStr">
        <is>
          <t>C_00046</t>
        </is>
      </c>
      <c r="C1354" s="2" t="inlineStr">
        <is>
          <t>2026-04-02</t>
        </is>
      </c>
      <c r="D1354" s="3" t="n">
        <v>1906.51</v>
      </c>
      <c r="E1354" s="2" t="inlineStr">
        <is>
          <t>Card</t>
        </is>
      </c>
      <c r="F1354" s="2" t="inlineStr">
        <is>
          <t>US</t>
        </is>
      </c>
      <c r="G1354" s="2" t="inlineStr">
        <is>
          <t>Auto</t>
        </is>
      </c>
    </row>
    <row r="1355">
      <c r="A1355" s="4" t="inlineStr">
        <is>
          <t>TXN_001243</t>
        </is>
      </c>
      <c r="B1355" s="4" t="inlineStr">
        <is>
          <t>C_00115</t>
        </is>
      </c>
      <c r="C1355" s="4" t="inlineStr">
        <is>
          <t>2026-04-02</t>
        </is>
      </c>
      <c r="D1355" s="5" t="n">
        <v>3386.17</v>
      </c>
      <c r="E1355" s="4" t="inlineStr">
        <is>
          <t>Card</t>
        </is>
      </c>
      <c r="F1355" s="4" t="inlineStr">
        <is>
          <t>AE</t>
        </is>
      </c>
      <c r="G1355" s="4" t="inlineStr">
        <is>
          <t>Auto</t>
        </is>
      </c>
    </row>
    <row r="1356">
      <c r="A1356" s="2" t="inlineStr">
        <is>
          <t>TXN_001251</t>
        </is>
      </c>
      <c r="B1356" s="2" t="inlineStr">
        <is>
          <t>C_00269</t>
        </is>
      </c>
      <c r="C1356" s="2" t="inlineStr">
        <is>
          <t>2026-04-02</t>
        </is>
      </c>
      <c r="D1356" s="3" t="n">
        <v>7140.31</v>
      </c>
      <c r="E1356" s="2" t="inlineStr">
        <is>
          <t>Cash Deposit</t>
        </is>
      </c>
      <c r="F1356" s="2" t="inlineStr">
        <is>
          <t>US</t>
        </is>
      </c>
      <c r="G1356" s="2" t="inlineStr">
        <is>
          <t>Food &amp; Beverage</t>
        </is>
      </c>
    </row>
    <row r="1357">
      <c r="A1357" s="4" t="inlineStr">
        <is>
          <t>TXN_001252</t>
        </is>
      </c>
      <c r="B1357" s="4" t="inlineStr">
        <is>
          <t>C_00201</t>
        </is>
      </c>
      <c r="C1357" s="4" t="inlineStr">
        <is>
          <t>2026-04-03</t>
        </is>
      </c>
      <c r="D1357" s="5" t="n">
        <v>3031.65</v>
      </c>
      <c r="E1357" s="4" t="inlineStr">
        <is>
          <t>Cash Deposit</t>
        </is>
      </c>
      <c r="F1357" s="4" t="inlineStr">
        <is>
          <t>US</t>
        </is>
      </c>
      <c r="G1357" s="4" t="inlineStr">
        <is>
          <t>Auto</t>
        </is>
      </c>
    </row>
    <row r="1358">
      <c r="A1358" s="2" t="inlineStr">
        <is>
          <t>TXN_001253</t>
        </is>
      </c>
      <c r="B1358" s="2" t="inlineStr">
        <is>
          <t>C_00266</t>
        </is>
      </c>
      <c r="C1358" s="2" t="inlineStr">
        <is>
          <t>2026-04-03</t>
        </is>
      </c>
      <c r="D1358" s="3" t="n">
        <v>42.17</v>
      </c>
      <c r="E1358" s="2" t="inlineStr">
        <is>
          <t>ACH</t>
        </is>
      </c>
      <c r="F1358" s="2" t="inlineStr">
        <is>
          <t>US</t>
        </is>
      </c>
      <c r="G1358" s="2" t="inlineStr">
        <is>
          <t>Money Services</t>
        </is>
      </c>
    </row>
    <row r="1359">
      <c r="A1359" s="4" t="inlineStr">
        <is>
          <t>TXN_001254</t>
        </is>
      </c>
      <c r="B1359" s="4" t="inlineStr">
        <is>
          <t>C_00258</t>
        </is>
      </c>
      <c r="C1359" s="4" t="inlineStr">
        <is>
          <t>2026-04-03</t>
        </is>
      </c>
      <c r="D1359" s="5" t="n">
        <v>1353.37</v>
      </c>
      <c r="E1359" s="4" t="inlineStr">
        <is>
          <t>Mobile App</t>
        </is>
      </c>
      <c r="F1359" s="4" t="inlineStr">
        <is>
          <t>US</t>
        </is>
      </c>
      <c r="G1359" s="4" t="inlineStr">
        <is>
          <t>Travel</t>
        </is>
      </c>
    </row>
    <row r="1360">
      <c r="A1360" s="2" t="inlineStr">
        <is>
          <t>TXN_001255</t>
        </is>
      </c>
      <c r="B1360" s="2" t="inlineStr">
        <is>
          <t>C_00195</t>
        </is>
      </c>
      <c r="C1360" s="2" t="inlineStr">
        <is>
          <t>2026-04-03</t>
        </is>
      </c>
      <c r="D1360" s="3" t="n">
        <v>3187.34</v>
      </c>
      <c r="E1360" s="2" t="inlineStr">
        <is>
          <t>Mobile App</t>
        </is>
      </c>
      <c r="F1360" s="2" t="inlineStr">
        <is>
          <t>CN</t>
        </is>
      </c>
      <c r="G1360" s="2" t="inlineStr">
        <is>
          <t>Electronics</t>
        </is>
      </c>
    </row>
    <row r="1361">
      <c r="A1361" s="4" t="inlineStr">
        <is>
          <t>TXN_001257</t>
        </is>
      </c>
      <c r="B1361" s="4" t="inlineStr">
        <is>
          <t>C_00215</t>
        </is>
      </c>
      <c r="C1361" s="4" t="inlineStr">
        <is>
          <t>2026-04-03</t>
        </is>
      </c>
      <c r="D1361" s="5" t="n">
        <v>941.86</v>
      </c>
      <c r="E1361" s="4" t="inlineStr">
        <is>
          <t>Card</t>
        </is>
      </c>
      <c r="F1361" s="4" t="inlineStr">
        <is>
          <t>NG</t>
        </is>
      </c>
      <c r="G1361" s="4" t="inlineStr">
        <is>
          <t>Real Estate</t>
        </is>
      </c>
    </row>
    <row r="1362">
      <c r="A1362" s="2" t="inlineStr">
        <is>
          <t>TXN_001260</t>
        </is>
      </c>
      <c r="B1362" s="2" t="inlineStr">
        <is>
          <t>C_00052</t>
        </is>
      </c>
      <c r="C1362" s="2" t="inlineStr">
        <is>
          <t>2026-04-03</t>
        </is>
      </c>
      <c r="D1362" s="3" t="n">
        <v>7054.63</v>
      </c>
      <c r="E1362" s="2" t="inlineStr">
        <is>
          <t>Cash Deposit</t>
        </is>
      </c>
      <c r="F1362" s="2" t="inlineStr">
        <is>
          <t>MX</t>
        </is>
      </c>
      <c r="G1362" s="2" t="inlineStr">
        <is>
          <t>Food &amp; Beverage</t>
        </is>
      </c>
    </row>
    <row r="1363">
      <c r="A1363" s="4" t="inlineStr">
        <is>
          <t>TXN_001259</t>
        </is>
      </c>
      <c r="B1363" s="4" t="inlineStr">
        <is>
          <t>C_00177</t>
        </is>
      </c>
      <c r="C1363" s="4" t="inlineStr">
        <is>
          <t>2026-04-03</t>
        </is>
      </c>
      <c r="D1363" s="5" t="n">
        <v>194.38</v>
      </c>
      <c r="E1363" s="4" t="inlineStr">
        <is>
          <t>ACH</t>
        </is>
      </c>
      <c r="F1363" s="4" t="inlineStr">
        <is>
          <t>CA</t>
        </is>
      </c>
      <c r="G1363" s="4" t="inlineStr">
        <is>
          <t>Food &amp; Beverage</t>
        </is>
      </c>
    </row>
    <row r="1364">
      <c r="A1364" s="2" t="inlineStr">
        <is>
          <t>TXN_001261</t>
        </is>
      </c>
      <c r="B1364" s="2" t="inlineStr">
        <is>
          <t>C_00296</t>
        </is>
      </c>
      <c r="C1364" s="2" t="inlineStr">
        <is>
          <t>2026-04-03</t>
        </is>
      </c>
      <c r="D1364" s="3" t="n">
        <v>3961.66</v>
      </c>
      <c r="E1364" s="2" t="inlineStr">
        <is>
          <t>ACH</t>
        </is>
      </c>
      <c r="F1364" s="2" t="inlineStr">
        <is>
          <t>US</t>
        </is>
      </c>
      <c r="G1364" s="2" t="inlineStr">
        <is>
          <t>Travel</t>
        </is>
      </c>
    </row>
    <row r="1365">
      <c r="A1365" s="4" t="inlineStr">
        <is>
          <t>TXN_001262</t>
        </is>
      </c>
      <c r="B1365" s="4" t="inlineStr">
        <is>
          <t>C_00220</t>
        </is>
      </c>
      <c r="C1365" s="4" t="inlineStr">
        <is>
          <t>2026-04-03</t>
        </is>
      </c>
      <c r="D1365" s="5" t="n">
        <v>298.49</v>
      </c>
      <c r="E1365" s="4" t="inlineStr">
        <is>
          <t>Mobile App</t>
        </is>
      </c>
      <c r="F1365" s="4" t="inlineStr">
        <is>
          <t>US</t>
        </is>
      </c>
      <c r="G1365" s="4" t="inlineStr">
        <is>
          <t>Retail</t>
        </is>
      </c>
    </row>
    <row r="1366">
      <c r="A1366" s="2" t="inlineStr">
        <is>
          <t>TXN_001263</t>
        </is>
      </c>
      <c r="B1366" s="2" t="inlineStr">
        <is>
          <t>C_00155</t>
        </is>
      </c>
      <c r="C1366" s="2" t="inlineStr">
        <is>
          <t>2026-04-03</t>
        </is>
      </c>
      <c r="D1366" s="3" t="n">
        <v>2669.42</v>
      </c>
      <c r="E1366" s="2" t="inlineStr">
        <is>
          <t>Wire Transfer</t>
        </is>
      </c>
      <c r="F1366" s="2" t="inlineStr">
        <is>
          <t>US</t>
        </is>
      </c>
      <c r="G1366" s="2" t="inlineStr">
        <is>
          <t>Retail</t>
        </is>
      </c>
    </row>
    <row r="1367">
      <c r="A1367" s="4" t="inlineStr">
        <is>
          <t>TXN_001264</t>
        </is>
      </c>
      <c r="B1367" s="4" t="inlineStr">
        <is>
          <t>C_00258</t>
        </is>
      </c>
      <c r="C1367" s="4" t="inlineStr">
        <is>
          <t>2026-04-03</t>
        </is>
      </c>
      <c r="D1367" s="5" t="n">
        <v>2407.37</v>
      </c>
      <c r="E1367" s="4" t="inlineStr">
        <is>
          <t>Cash Deposit</t>
        </is>
      </c>
      <c r="F1367" s="4" t="inlineStr">
        <is>
          <t>NG</t>
        </is>
      </c>
      <c r="G1367" s="4" t="inlineStr">
        <is>
          <t>Auto</t>
        </is>
      </c>
    </row>
    <row r="1368">
      <c r="A1368" s="2" t="inlineStr">
        <is>
          <t>TXN_001258</t>
        </is>
      </c>
      <c r="B1368" s="2" t="inlineStr">
        <is>
          <t>C_00152</t>
        </is>
      </c>
      <c r="C1368" s="2" t="inlineStr">
        <is>
          <t>2026-04-03</t>
        </is>
      </c>
      <c r="D1368" s="3" t="n">
        <v>1879.53</v>
      </c>
      <c r="E1368" s="2" t="inlineStr">
        <is>
          <t>Card</t>
        </is>
      </c>
      <c r="F1368" s="2" t="inlineStr">
        <is>
          <t>US</t>
        </is>
      </c>
      <c r="G1368" s="2" t="inlineStr">
        <is>
          <t>Food &amp; Beverage</t>
        </is>
      </c>
    </row>
    <row r="1369">
      <c r="A1369" s="4" t="inlineStr">
        <is>
          <t>TXN_001256</t>
        </is>
      </c>
      <c r="B1369" s="4" t="inlineStr">
        <is>
          <t>C_00283</t>
        </is>
      </c>
      <c r="C1369" s="4" t="inlineStr">
        <is>
          <t>2026-04-03</t>
        </is>
      </c>
      <c r="D1369" s="5" t="n">
        <v>82111.83</v>
      </c>
      <c r="E1369" s="4" t="inlineStr">
        <is>
          <t>ACH</t>
        </is>
      </c>
      <c r="F1369" s="4" t="inlineStr">
        <is>
          <t>NG</t>
        </is>
      </c>
      <c r="G1369" s="4" t="inlineStr">
        <is>
          <t>Retail</t>
        </is>
      </c>
    </row>
    <row r="1370">
      <c r="A1370" s="2" t="inlineStr">
        <is>
          <t>TXN_001272</t>
        </is>
      </c>
      <c r="B1370" s="2" t="inlineStr">
        <is>
          <t>C_00225</t>
        </is>
      </c>
      <c r="C1370" s="2" t="inlineStr">
        <is>
          <t>2026-04-04</t>
        </is>
      </c>
      <c r="D1370" s="3" t="n">
        <v>1870.16</v>
      </c>
      <c r="E1370" s="2" t="inlineStr">
        <is>
          <t>Mobile App</t>
        </is>
      </c>
      <c r="F1370" s="2" t="inlineStr">
        <is>
          <t>US</t>
        </is>
      </c>
      <c r="G1370" s="2" t="inlineStr">
        <is>
          <t>Retail</t>
        </is>
      </c>
    </row>
    <row r="1371">
      <c r="A1371" s="4" t="inlineStr">
        <is>
          <t>TXN_001265</t>
        </is>
      </c>
      <c r="B1371" s="4" t="inlineStr">
        <is>
          <t>C_00289</t>
        </is>
      </c>
      <c r="C1371" s="4" t="inlineStr">
        <is>
          <t>2026-04-04</t>
        </is>
      </c>
      <c r="D1371" s="5" t="n">
        <v>18266.86</v>
      </c>
      <c r="E1371" s="4" t="inlineStr">
        <is>
          <t>Wire Transfer</t>
        </is>
      </c>
      <c r="F1371" s="4" t="inlineStr">
        <is>
          <t>NG</t>
        </is>
      </c>
      <c r="G1371" s="4" t="inlineStr">
        <is>
          <t>Retail</t>
        </is>
      </c>
    </row>
    <row r="1372">
      <c r="A1372" s="2" t="inlineStr">
        <is>
          <t>TXN_001271</t>
        </is>
      </c>
      <c r="B1372" s="2" t="inlineStr">
        <is>
          <t>C_00251</t>
        </is>
      </c>
      <c r="C1372" s="2" t="inlineStr">
        <is>
          <t>2026-04-04</t>
        </is>
      </c>
      <c r="D1372" s="3" t="n">
        <v>605.17</v>
      </c>
      <c r="E1372" s="2" t="inlineStr">
        <is>
          <t>ACH</t>
        </is>
      </c>
      <c r="F1372" s="2" t="inlineStr">
        <is>
          <t>CA</t>
        </is>
      </c>
      <c r="G1372" s="2" t="inlineStr">
        <is>
          <t>Food &amp; Beverage</t>
        </is>
      </c>
    </row>
    <row r="1373">
      <c r="A1373" s="4" t="inlineStr">
        <is>
          <t>TXN_001273</t>
        </is>
      </c>
      <c r="B1373" s="4" t="inlineStr">
        <is>
          <t>C_00200</t>
        </is>
      </c>
      <c r="C1373" s="4" t="inlineStr">
        <is>
          <t>2026-04-04</t>
        </is>
      </c>
      <c r="D1373" s="5" t="n">
        <v>2894.12</v>
      </c>
      <c r="E1373" s="4" t="inlineStr">
        <is>
          <t>ACH</t>
        </is>
      </c>
      <c r="F1373" s="4" t="inlineStr">
        <is>
          <t>NG</t>
        </is>
      </c>
      <c r="G1373" s="4" t="inlineStr">
        <is>
          <t>Travel</t>
        </is>
      </c>
    </row>
    <row r="1374">
      <c r="A1374" s="2" t="inlineStr">
        <is>
          <t>TXN_001269</t>
        </is>
      </c>
      <c r="B1374" s="2" t="inlineStr">
        <is>
          <t>C_00177</t>
        </is>
      </c>
      <c r="C1374" s="2" t="inlineStr">
        <is>
          <t>2026-04-04</t>
        </is>
      </c>
      <c r="D1374" s="3" t="n">
        <v>880.92</v>
      </c>
      <c r="E1374" s="2" t="inlineStr">
        <is>
          <t>Cash Deposit</t>
        </is>
      </c>
      <c r="F1374" s="2" t="inlineStr">
        <is>
          <t>US</t>
        </is>
      </c>
      <c r="G1374" s="2" t="inlineStr">
        <is>
          <t>Money Services</t>
        </is>
      </c>
    </row>
    <row r="1375">
      <c r="A1375" s="4" t="inlineStr">
        <is>
          <t>TXN_001270</t>
        </is>
      </c>
      <c r="B1375" s="4" t="inlineStr">
        <is>
          <t>C_00088</t>
        </is>
      </c>
      <c r="C1375" s="4" t="inlineStr">
        <is>
          <t>2026-04-04</t>
        </is>
      </c>
      <c r="D1375" s="5" t="n">
        <v>971.3</v>
      </c>
      <c r="E1375" s="4" t="inlineStr">
        <is>
          <t>ACH</t>
        </is>
      </c>
      <c r="F1375" s="4" t="inlineStr">
        <is>
          <t>RU</t>
        </is>
      </c>
      <c r="G1375" s="4" t="inlineStr">
        <is>
          <t>Retail</t>
        </is>
      </c>
    </row>
    <row r="1376">
      <c r="A1376" s="2" t="inlineStr">
        <is>
          <t>TXN_001267</t>
        </is>
      </c>
      <c r="B1376" s="2" t="inlineStr">
        <is>
          <t>C_00059</t>
        </is>
      </c>
      <c r="C1376" s="2" t="inlineStr">
        <is>
          <t>2026-04-04</t>
        </is>
      </c>
      <c r="D1376" s="3" t="n">
        <v>3648.85</v>
      </c>
      <c r="E1376" s="2" t="inlineStr">
        <is>
          <t>Card</t>
        </is>
      </c>
      <c r="F1376" s="2" t="inlineStr">
        <is>
          <t>AE</t>
        </is>
      </c>
      <c r="G1376" s="2" t="inlineStr">
        <is>
          <t>Food &amp; Beverage</t>
        </is>
      </c>
    </row>
    <row r="1377">
      <c r="A1377" s="4" t="inlineStr">
        <is>
          <t>TXN_001266</t>
        </is>
      </c>
      <c r="B1377" s="4" t="inlineStr">
        <is>
          <t>C_00240</t>
        </is>
      </c>
      <c r="C1377" s="4" t="inlineStr">
        <is>
          <t>2026-04-04</t>
        </is>
      </c>
      <c r="D1377" s="5" t="n">
        <v>13126.52</v>
      </c>
      <c r="E1377" s="4" t="inlineStr">
        <is>
          <t>Card</t>
        </is>
      </c>
      <c r="F1377" s="4" t="inlineStr">
        <is>
          <t>US</t>
        </is>
      </c>
      <c r="G1377" s="4" t="inlineStr">
        <is>
          <t>Auto</t>
        </is>
      </c>
    </row>
    <row r="1378">
      <c r="A1378" s="2" t="inlineStr">
        <is>
          <t>TXN_001268</t>
        </is>
      </c>
      <c r="B1378" s="2" t="inlineStr">
        <is>
          <t>C_00179</t>
        </is>
      </c>
      <c r="C1378" s="2" t="inlineStr">
        <is>
          <t>2026-04-04</t>
        </is>
      </c>
      <c r="D1378" s="3" t="n">
        <v>2646.23</v>
      </c>
      <c r="E1378" s="2" t="inlineStr">
        <is>
          <t>Wire Transfer</t>
        </is>
      </c>
      <c r="F1378" s="2" t="inlineStr">
        <is>
          <t>NG</t>
        </is>
      </c>
      <c r="G1378" s="2" t="inlineStr">
        <is>
          <t>Travel</t>
        </is>
      </c>
    </row>
    <row r="1379">
      <c r="A1379" s="4" t="inlineStr">
        <is>
          <t>TXN_001284</t>
        </is>
      </c>
      <c r="B1379" s="4" t="inlineStr">
        <is>
          <t>C_00122</t>
        </is>
      </c>
      <c r="C1379" s="4" t="inlineStr">
        <is>
          <t>2026-04-05</t>
        </is>
      </c>
      <c r="D1379" s="5" t="n">
        <v>898.9</v>
      </c>
      <c r="E1379" s="4" t="inlineStr">
        <is>
          <t>ACH</t>
        </is>
      </c>
      <c r="F1379" s="4" t="inlineStr">
        <is>
          <t>US</t>
        </is>
      </c>
      <c r="G1379" s="4" t="inlineStr">
        <is>
          <t>Crypto Exchange</t>
        </is>
      </c>
    </row>
    <row r="1380">
      <c r="A1380" s="2" t="inlineStr">
        <is>
          <t>TXN_001283</t>
        </is>
      </c>
      <c r="B1380" s="2" t="inlineStr">
        <is>
          <t>C_00154</t>
        </is>
      </c>
      <c r="C1380" s="2" t="inlineStr">
        <is>
          <t>2026-04-05</t>
        </is>
      </c>
      <c r="D1380" s="3" t="n">
        <v>5495.32</v>
      </c>
      <c r="E1380" s="2" t="inlineStr">
        <is>
          <t>Mobile App</t>
        </is>
      </c>
      <c r="F1380" s="2" t="inlineStr">
        <is>
          <t>RU</t>
        </is>
      </c>
      <c r="G1380" s="2" t="inlineStr">
        <is>
          <t>Travel</t>
        </is>
      </c>
    </row>
    <row r="1381">
      <c r="A1381" s="4" t="inlineStr">
        <is>
          <t>TXN_001281</t>
        </is>
      </c>
      <c r="B1381" s="4" t="inlineStr">
        <is>
          <t>C_00083</t>
        </is>
      </c>
      <c r="C1381" s="4" t="inlineStr">
        <is>
          <t>2026-04-05</t>
        </is>
      </c>
      <c r="D1381" s="5" t="n">
        <v>1130.67</v>
      </c>
      <c r="E1381" s="4" t="inlineStr">
        <is>
          <t>ACH</t>
        </is>
      </c>
      <c r="F1381" s="4" t="inlineStr">
        <is>
          <t>US</t>
        </is>
      </c>
      <c r="G1381" s="4" t="inlineStr">
        <is>
          <t>Travel</t>
        </is>
      </c>
    </row>
    <row r="1382">
      <c r="A1382" s="2" t="inlineStr">
        <is>
          <t>TXN_001280</t>
        </is>
      </c>
      <c r="B1382" s="2" t="inlineStr">
        <is>
          <t>C_ORPHAN_002</t>
        </is>
      </c>
      <c r="C1382" s="2" t="inlineStr">
        <is>
          <t>2026-04-05</t>
        </is>
      </c>
      <c r="D1382" s="3" t="n">
        <v>187.08</v>
      </c>
      <c r="E1382" s="2" t="inlineStr">
        <is>
          <t>Wire Transfer</t>
        </is>
      </c>
      <c r="F1382" s="2" t="inlineStr">
        <is>
          <t>US</t>
        </is>
      </c>
      <c r="G1382" s="2" t="inlineStr">
        <is>
          <t>Real Estate</t>
        </is>
      </c>
    </row>
    <row r="1383">
      <c r="A1383" s="4" t="inlineStr">
        <is>
          <t>TXN_001282</t>
        </is>
      </c>
      <c r="B1383" s="4" t="inlineStr">
        <is>
          <t>C_00190</t>
        </is>
      </c>
      <c r="C1383" s="4" t="inlineStr">
        <is>
          <t>2026-04-05</t>
        </is>
      </c>
      <c r="D1383" s="5" t="n">
        <v>2304.88</v>
      </c>
      <c r="E1383" s="4" t="inlineStr">
        <is>
          <t>Card</t>
        </is>
      </c>
      <c r="F1383" s="4" t="inlineStr">
        <is>
          <t>US</t>
        </is>
      </c>
      <c r="G1383" s="4" t="inlineStr">
        <is>
          <t>Retail</t>
        </is>
      </c>
    </row>
    <row r="1384">
      <c r="A1384" s="2" t="inlineStr">
        <is>
          <t>TXN_001278</t>
        </is>
      </c>
      <c r="B1384" s="2" t="inlineStr">
        <is>
          <t>C_00254</t>
        </is>
      </c>
      <c r="C1384" s="2" t="inlineStr">
        <is>
          <t>2026-04-05</t>
        </is>
      </c>
      <c r="D1384" s="3" t="n">
        <v>2507.55</v>
      </c>
      <c r="E1384" s="2" t="inlineStr">
        <is>
          <t>Wire Transfer</t>
        </is>
      </c>
      <c r="F1384" s="2" t="inlineStr">
        <is>
          <t>US</t>
        </is>
      </c>
      <c r="G1384" s="2" t="inlineStr">
        <is>
          <t>Crypto Exchange</t>
        </is>
      </c>
    </row>
    <row r="1385">
      <c r="A1385" s="4" t="inlineStr">
        <is>
          <t>TXN_001277</t>
        </is>
      </c>
      <c r="B1385" s="4" t="inlineStr">
        <is>
          <t>C_00236</t>
        </is>
      </c>
      <c r="C1385" s="4" t="inlineStr">
        <is>
          <t>2026-04-05</t>
        </is>
      </c>
      <c r="D1385" s="5" t="n">
        <v>3593.47</v>
      </c>
      <c r="E1385" s="4" t="inlineStr">
        <is>
          <t>Card</t>
        </is>
      </c>
      <c r="F1385" s="4" t="inlineStr">
        <is>
          <t>US</t>
        </is>
      </c>
      <c r="G1385" s="4" t="inlineStr">
        <is>
          <t>Jewelry</t>
        </is>
      </c>
    </row>
    <row r="1386">
      <c r="A1386" s="2" t="inlineStr">
        <is>
          <t>TXN_001276</t>
        </is>
      </c>
      <c r="B1386" s="2" t="inlineStr">
        <is>
          <t>C_00153</t>
        </is>
      </c>
      <c r="C1386" s="2" t="inlineStr">
        <is>
          <t>2026-04-05</t>
        </is>
      </c>
      <c r="D1386" s="3" t="n">
        <v>920.72</v>
      </c>
      <c r="E1386" s="2" t="inlineStr">
        <is>
          <t>ACH</t>
        </is>
      </c>
      <c r="F1386" s="2" t="inlineStr">
        <is>
          <t>NG</t>
        </is>
      </c>
      <c r="G1386" s="2" t="inlineStr">
        <is>
          <t>Crypto Exchange</t>
        </is>
      </c>
    </row>
    <row r="1387">
      <c r="A1387" s="4" t="inlineStr">
        <is>
          <t>TXN_001275</t>
        </is>
      </c>
      <c r="B1387" s="4" t="inlineStr">
        <is>
          <t>C_00196</t>
        </is>
      </c>
      <c r="C1387" s="4" t="inlineStr">
        <is>
          <t>2026-04-05</t>
        </is>
      </c>
      <c r="D1387" s="5" t="n">
        <v>1245.03</v>
      </c>
      <c r="E1387" s="4" t="inlineStr">
        <is>
          <t>Cash Deposit</t>
        </is>
      </c>
      <c r="F1387" s="4" t="inlineStr">
        <is>
          <t>US</t>
        </is>
      </c>
      <c r="G1387" s="4" t="inlineStr">
        <is>
          <t>Auto</t>
        </is>
      </c>
    </row>
    <row r="1388">
      <c r="A1388" s="2" t="inlineStr">
        <is>
          <t>TXN_001274</t>
        </is>
      </c>
      <c r="B1388" s="2" t="inlineStr">
        <is>
          <t>C_00179</t>
        </is>
      </c>
      <c r="C1388" s="2" t="inlineStr">
        <is>
          <t>2026-04-05</t>
        </is>
      </c>
      <c r="D1388" s="3" t="n">
        <v>1028.64</v>
      </c>
      <c r="E1388" s="2" t="inlineStr">
        <is>
          <t>ACH</t>
        </is>
      </c>
      <c r="F1388" s="2" t="inlineStr">
        <is>
          <t>US</t>
        </is>
      </c>
      <c r="G1388" s="2" t="inlineStr">
        <is>
          <t>Auto</t>
        </is>
      </c>
    </row>
    <row r="1389">
      <c r="A1389" s="4" t="inlineStr">
        <is>
          <t>TXN_001279</t>
        </is>
      </c>
      <c r="B1389" s="4" t="inlineStr">
        <is>
          <t>C_00044</t>
        </is>
      </c>
      <c r="C1389" s="4" t="inlineStr">
        <is>
          <t>2026-04-05</t>
        </is>
      </c>
      <c r="D1389" s="5" t="n">
        <v>1142.31</v>
      </c>
      <c r="E1389" s="4" t="inlineStr">
        <is>
          <t>Wire Transfer</t>
        </is>
      </c>
      <c r="F1389" s="4" t="inlineStr">
        <is>
          <t>US</t>
        </is>
      </c>
      <c r="G1389" s="4" t="inlineStr">
        <is>
          <t>Real Estate</t>
        </is>
      </c>
    </row>
    <row r="1390">
      <c r="A1390" s="2" t="inlineStr">
        <is>
          <t>TXN_001298</t>
        </is>
      </c>
      <c r="B1390" s="2" t="inlineStr">
        <is>
          <t>C_00150</t>
        </is>
      </c>
      <c r="C1390" s="2" t="inlineStr">
        <is>
          <t>2026-04-06</t>
        </is>
      </c>
      <c r="D1390" s="3" t="n">
        <v>3609.35</v>
      </c>
      <c r="E1390" s="2" t="inlineStr">
        <is>
          <t>Mobile App</t>
        </is>
      </c>
      <c r="F1390" s="2" t="inlineStr">
        <is>
          <t>AE</t>
        </is>
      </c>
      <c r="G1390" s="2" t="inlineStr">
        <is>
          <t>Travel</t>
        </is>
      </c>
    </row>
    <row r="1391">
      <c r="A1391" s="4" t="inlineStr">
        <is>
          <t>TXN_001297</t>
        </is>
      </c>
      <c r="B1391" s="4" t="inlineStr">
        <is>
          <t>C_00034</t>
        </is>
      </c>
      <c r="C1391" s="4" t="inlineStr">
        <is>
          <t>2026-04-06</t>
        </is>
      </c>
      <c r="D1391" s="5" t="n">
        <v>19889.49</v>
      </c>
      <c r="E1391" s="4" t="inlineStr">
        <is>
          <t>Cash Deposit</t>
        </is>
      </c>
      <c r="F1391" s="4" t="inlineStr">
        <is>
          <t>US</t>
        </is>
      </c>
      <c r="G1391" s="4" t="inlineStr">
        <is>
          <t>Healthcare</t>
        </is>
      </c>
    </row>
    <row r="1392">
      <c r="A1392" s="2" t="inlineStr">
        <is>
          <t>TXN_001296</t>
        </is>
      </c>
      <c r="B1392" s="2" t="inlineStr">
        <is>
          <t>C_00224</t>
        </is>
      </c>
      <c r="C1392" s="2" t="inlineStr">
        <is>
          <t>2026-04-06</t>
        </is>
      </c>
      <c r="D1392" s="3" t="n">
        <v>5306.21</v>
      </c>
      <c r="E1392" s="2" t="inlineStr">
        <is>
          <t>Wire Transfer</t>
        </is>
      </c>
      <c r="F1392" s="2" t="inlineStr">
        <is>
          <t>US</t>
        </is>
      </c>
      <c r="G1392" s="2" t="inlineStr">
        <is>
          <t>Food &amp; Beverage</t>
        </is>
      </c>
    </row>
    <row r="1393">
      <c r="A1393" s="4" t="inlineStr">
        <is>
          <t>TXN_001295</t>
        </is>
      </c>
      <c r="B1393" s="4" t="inlineStr">
        <is>
          <t>C_00201</t>
        </is>
      </c>
      <c r="C1393" s="4" t="inlineStr">
        <is>
          <t>2026-04-06</t>
        </is>
      </c>
      <c r="D1393" s="5" t="n">
        <v>4624.03</v>
      </c>
      <c r="E1393" s="4" t="inlineStr">
        <is>
          <t>Mobile App</t>
        </is>
      </c>
      <c r="F1393" s="4" t="inlineStr">
        <is>
          <t>US</t>
        </is>
      </c>
      <c r="G1393" s="4" t="inlineStr">
        <is>
          <t>Auto</t>
        </is>
      </c>
    </row>
    <row r="1394">
      <c r="A1394" s="2" t="inlineStr">
        <is>
          <t>TXN_001294</t>
        </is>
      </c>
      <c r="B1394" s="2" t="inlineStr">
        <is>
          <t>C_00218</t>
        </is>
      </c>
      <c r="C1394" s="2" t="inlineStr">
        <is>
          <t>2026-04-06</t>
        </is>
      </c>
      <c r="D1394" s="3" t="n">
        <v>7033.65</v>
      </c>
      <c r="E1394" s="2" t="inlineStr">
        <is>
          <t>Mobile App</t>
        </is>
      </c>
      <c r="F1394" s="2" t="inlineStr">
        <is>
          <t>CA</t>
        </is>
      </c>
      <c r="G1394" s="2" t="inlineStr">
        <is>
          <t>Auto</t>
        </is>
      </c>
    </row>
    <row r="1395">
      <c r="A1395" s="4" t="inlineStr">
        <is>
          <t>TXN_001293</t>
        </is>
      </c>
      <c r="B1395" s="4" t="inlineStr">
        <is>
          <t>C_00222</t>
        </is>
      </c>
      <c r="C1395" s="4" t="inlineStr">
        <is>
          <t>2026-04-06</t>
        </is>
      </c>
      <c r="D1395" s="5" t="n">
        <v>989.75</v>
      </c>
      <c r="E1395" s="4" t="inlineStr">
        <is>
          <t>Wire Transfer</t>
        </is>
      </c>
      <c r="F1395" s="4" t="inlineStr">
        <is>
          <t>MX</t>
        </is>
      </c>
      <c r="G1395" s="4" t="inlineStr">
        <is>
          <t>Auto</t>
        </is>
      </c>
    </row>
    <row r="1396">
      <c r="A1396" s="2" t="inlineStr">
        <is>
          <t>TXN_001291</t>
        </is>
      </c>
      <c r="B1396" s="2" t="inlineStr">
        <is>
          <t>C_00295</t>
        </is>
      </c>
      <c r="C1396" s="2" t="inlineStr">
        <is>
          <t>2026-04-06</t>
        </is>
      </c>
      <c r="D1396" s="3" t="n">
        <v>3142.87</v>
      </c>
      <c r="E1396" s="2" t="inlineStr">
        <is>
          <t>Mobile App</t>
        </is>
      </c>
      <c r="F1396" s="2" t="inlineStr">
        <is>
          <t>US</t>
        </is>
      </c>
      <c r="G1396" s="2" t="inlineStr">
        <is>
          <t>Auto</t>
        </is>
      </c>
    </row>
    <row r="1397">
      <c r="A1397" s="4" t="inlineStr">
        <is>
          <t>TXN_001290</t>
        </is>
      </c>
      <c r="B1397" s="4" t="inlineStr">
        <is>
          <t>C_00176</t>
        </is>
      </c>
      <c r="C1397" s="4" t="inlineStr">
        <is>
          <t>2026-04-06</t>
        </is>
      </c>
      <c r="D1397" s="5" t="n">
        <v>872.15</v>
      </c>
      <c r="E1397" s="4" t="inlineStr">
        <is>
          <t>Wire Transfer</t>
        </is>
      </c>
      <c r="F1397" s="4" t="inlineStr">
        <is>
          <t>US</t>
        </is>
      </c>
      <c r="G1397" s="4" t="inlineStr">
        <is>
          <t>Jewelry</t>
        </is>
      </c>
    </row>
    <row r="1398">
      <c r="A1398" s="2" t="inlineStr">
        <is>
          <t>TXN_001292</t>
        </is>
      </c>
      <c r="B1398" s="2" t="inlineStr">
        <is>
          <t>C_00292</t>
        </is>
      </c>
      <c r="C1398" s="2" t="inlineStr">
        <is>
          <t>2026-04-06</t>
        </is>
      </c>
      <c r="D1398" s="3" t="n">
        <v>2237.3</v>
      </c>
      <c r="E1398" s="2" t="inlineStr">
        <is>
          <t>Card</t>
        </is>
      </c>
      <c r="F1398" s="2" t="inlineStr">
        <is>
          <t>US</t>
        </is>
      </c>
      <c r="G1398" s="2" t="inlineStr">
        <is>
          <t>Crypto Exchange</t>
        </is>
      </c>
    </row>
    <row r="1399">
      <c r="A1399" s="4" t="inlineStr">
        <is>
          <t>TXN_001285</t>
        </is>
      </c>
      <c r="B1399" s="4" t="inlineStr">
        <is>
          <t>C_00192</t>
        </is>
      </c>
      <c r="C1399" s="4" t="inlineStr">
        <is>
          <t>2026-04-06</t>
        </is>
      </c>
      <c r="D1399" s="5" t="n">
        <v>5736.46</v>
      </c>
      <c r="E1399" s="4" t="inlineStr">
        <is>
          <t>ACH</t>
        </is>
      </c>
      <c r="F1399" s="4" t="inlineStr">
        <is>
          <t>RU</t>
        </is>
      </c>
      <c r="G1399" s="4" t="inlineStr">
        <is>
          <t>Real Estate</t>
        </is>
      </c>
    </row>
    <row r="1400">
      <c r="A1400" s="2" t="inlineStr">
        <is>
          <t>TXN_001289</t>
        </is>
      </c>
      <c r="B1400" s="2" t="inlineStr">
        <is>
          <t>C_00121</t>
        </is>
      </c>
      <c r="C1400" s="2" t="inlineStr">
        <is>
          <t>2026-04-06</t>
        </is>
      </c>
      <c r="D1400" s="3" t="n">
        <v>520.9299999999999</v>
      </c>
      <c r="E1400" s="2" t="inlineStr">
        <is>
          <t>Mobile App</t>
        </is>
      </c>
      <c r="F1400" s="2" t="inlineStr">
        <is>
          <t>US</t>
        </is>
      </c>
      <c r="G1400" s="2" t="inlineStr">
        <is>
          <t>Food &amp; Beverage</t>
        </is>
      </c>
    </row>
    <row r="1401">
      <c r="A1401" s="4" t="inlineStr">
        <is>
          <t>TXN_001287</t>
        </is>
      </c>
      <c r="B1401" s="4" t="inlineStr">
        <is>
          <t>C_00156</t>
        </is>
      </c>
      <c r="C1401" s="4" t="inlineStr">
        <is>
          <t>2026-04-06</t>
        </is>
      </c>
      <c r="D1401" s="5" t="n">
        <v>658.6900000000001</v>
      </c>
      <c r="E1401" s="4" t="inlineStr">
        <is>
          <t>Card</t>
        </is>
      </c>
      <c r="F1401" s="4" t="inlineStr">
        <is>
          <t>MX</t>
        </is>
      </c>
      <c r="G1401" s="4" t="inlineStr">
        <is>
          <t>Healthcare</t>
        </is>
      </c>
    </row>
    <row r="1402">
      <c r="A1402" s="2" t="inlineStr">
        <is>
          <t>TXN_001288</t>
        </is>
      </c>
      <c r="B1402" s="2" t="inlineStr">
        <is>
          <t>C_00046</t>
        </is>
      </c>
      <c r="C1402" s="2" t="inlineStr">
        <is>
          <t>2026-04-06</t>
        </is>
      </c>
      <c r="D1402" s="3" t="n">
        <v>7074.43</v>
      </c>
      <c r="E1402" s="2" t="inlineStr">
        <is>
          <t>ACH</t>
        </is>
      </c>
      <c r="F1402" s="2" t="inlineStr">
        <is>
          <t>US</t>
        </is>
      </c>
      <c r="G1402" s="2" t="inlineStr">
        <is>
          <t>Auto</t>
        </is>
      </c>
    </row>
    <row r="1403">
      <c r="A1403" s="4" t="inlineStr">
        <is>
          <t>TXN_001286</t>
        </is>
      </c>
      <c r="B1403" s="4" t="inlineStr">
        <is>
          <t>C_00133</t>
        </is>
      </c>
      <c r="C1403" s="4" t="inlineStr">
        <is>
          <t>2026-04-06</t>
        </is>
      </c>
      <c r="D1403" s="5" t="n">
        <v>6068.91</v>
      </c>
      <c r="E1403" s="4" t="inlineStr">
        <is>
          <t>ACH</t>
        </is>
      </c>
      <c r="F1403" s="4" t="inlineStr">
        <is>
          <t>US</t>
        </is>
      </c>
      <c r="G1403" s="4" t="inlineStr">
        <is>
          <t>Jewelry</t>
        </is>
      </c>
    </row>
    <row r="1404">
      <c r="A1404" s="2" t="inlineStr">
        <is>
          <t>TXN_001299</t>
        </is>
      </c>
      <c r="B1404" s="2" t="inlineStr">
        <is>
          <t>C_ORPHAN_016</t>
        </is>
      </c>
      <c r="C1404" s="2" t="inlineStr">
        <is>
          <t>2026-04-07</t>
        </is>
      </c>
      <c r="D1404" s="3" t="n">
        <v>1488.37</v>
      </c>
      <c r="E1404" s="2" t="inlineStr">
        <is>
          <t>Card</t>
        </is>
      </c>
      <c r="F1404" s="2" t="inlineStr">
        <is>
          <t>US</t>
        </is>
      </c>
      <c r="G1404" s="2" t="inlineStr">
        <is>
          <t>Real Estate</t>
        </is>
      </c>
    </row>
    <row r="1405">
      <c r="A1405" s="4" t="inlineStr">
        <is>
          <t>TXN_001300</t>
        </is>
      </c>
      <c r="B1405" s="4" t="inlineStr">
        <is>
          <t>C_00109</t>
        </is>
      </c>
      <c r="C1405" s="4" t="inlineStr">
        <is>
          <t>2026-04-07</t>
        </is>
      </c>
      <c r="D1405" s="5" t="n">
        <v>1925.87</v>
      </c>
      <c r="E1405" s="4" t="inlineStr">
        <is>
          <t>ACH</t>
        </is>
      </c>
      <c r="F1405" s="4" t="inlineStr">
        <is>
          <t>RU</t>
        </is>
      </c>
      <c r="G1405" s="4" t="inlineStr">
        <is>
          <t>Jewelry</t>
        </is>
      </c>
    </row>
    <row r="1406">
      <c r="A1406" s="2" t="inlineStr">
        <is>
          <t>TXN_001301</t>
        </is>
      </c>
      <c r="B1406" s="2" t="inlineStr">
        <is>
          <t>C_00036</t>
        </is>
      </c>
      <c r="C1406" s="2" t="inlineStr">
        <is>
          <t>2026-04-07</t>
        </is>
      </c>
      <c r="D1406" s="3" t="n">
        <v>12700.51</v>
      </c>
      <c r="E1406" s="2" t="inlineStr">
        <is>
          <t>Mobile App</t>
        </is>
      </c>
      <c r="F1406" s="2" t="inlineStr">
        <is>
          <t>US</t>
        </is>
      </c>
      <c r="G1406" s="2" t="inlineStr">
        <is>
          <t>Retail</t>
        </is>
      </c>
    </row>
    <row r="1407">
      <c r="A1407" s="4" t="inlineStr">
        <is>
          <t>TXN_001303</t>
        </is>
      </c>
      <c r="B1407" s="4" t="inlineStr">
        <is>
          <t>C_00228</t>
        </is>
      </c>
      <c r="C1407" s="4" t="inlineStr">
        <is>
          <t>2026-04-07</t>
        </is>
      </c>
      <c r="D1407" s="5" t="n">
        <v>3109.78</v>
      </c>
      <c r="E1407" s="4" t="inlineStr">
        <is>
          <t>Card</t>
        </is>
      </c>
      <c r="F1407" s="4" t="inlineStr">
        <is>
          <t>US</t>
        </is>
      </c>
      <c r="G1407" s="4" t="inlineStr">
        <is>
          <t>Food &amp; Beverage</t>
        </is>
      </c>
    </row>
    <row r="1408">
      <c r="A1408" s="2" t="inlineStr">
        <is>
          <t>TXN_001304</t>
        </is>
      </c>
      <c r="B1408" s="2" t="inlineStr">
        <is>
          <t>C_00253</t>
        </is>
      </c>
      <c r="C1408" s="2" t="inlineStr">
        <is>
          <t>2026-04-07</t>
        </is>
      </c>
      <c r="D1408" s="3" t="n">
        <v>46754.05</v>
      </c>
      <c r="E1408" s="2" t="inlineStr">
        <is>
          <t>ACH</t>
        </is>
      </c>
      <c r="F1408" s="2" t="inlineStr">
        <is>
          <t>US</t>
        </is>
      </c>
      <c r="G1408" s="2" t="inlineStr">
        <is>
          <t>Jewelry</t>
        </is>
      </c>
    </row>
    <row r="1409">
      <c r="A1409" s="4" t="inlineStr">
        <is>
          <t>TXN_001305</t>
        </is>
      </c>
      <c r="B1409" s="4" t="inlineStr">
        <is>
          <t>C_00027</t>
        </is>
      </c>
      <c r="C1409" s="4" t="inlineStr">
        <is>
          <t>2026-04-07</t>
        </is>
      </c>
      <c r="D1409" s="5" t="n">
        <v>1597.27</v>
      </c>
      <c r="E1409" s="4" t="inlineStr">
        <is>
          <t>ACH</t>
        </is>
      </c>
      <c r="F1409" s="4" t="inlineStr">
        <is>
          <t>US</t>
        </is>
      </c>
      <c r="G1409" s="4" t="inlineStr">
        <is>
          <t>Healthcare</t>
        </is>
      </c>
    </row>
    <row r="1410">
      <c r="A1410" s="2" t="inlineStr">
        <is>
          <t>TXN_001306</t>
        </is>
      </c>
      <c r="B1410" s="2" t="inlineStr">
        <is>
          <t>C_00139</t>
        </is>
      </c>
      <c r="C1410" s="2" t="inlineStr">
        <is>
          <t>2026-04-07</t>
        </is>
      </c>
      <c r="D1410" s="3" t="n">
        <v>3410.87</v>
      </c>
      <c r="E1410" s="2" t="inlineStr">
        <is>
          <t>Wire Transfer</t>
        </is>
      </c>
      <c r="F1410" s="2" t="inlineStr">
        <is>
          <t>US</t>
        </is>
      </c>
      <c r="G1410" s="2" t="inlineStr">
        <is>
          <t>Auto</t>
        </is>
      </c>
    </row>
    <row r="1411">
      <c r="A1411" s="4" t="inlineStr">
        <is>
          <t>TXN_001307</t>
        </is>
      </c>
      <c r="B1411" s="4" t="inlineStr">
        <is>
          <t>C_00218</t>
        </is>
      </c>
      <c r="C1411" s="4" t="inlineStr">
        <is>
          <t>2026-04-07</t>
        </is>
      </c>
      <c r="D1411" s="5" t="n">
        <v>270.14</v>
      </c>
      <c r="E1411" s="4" t="inlineStr">
        <is>
          <t>Card</t>
        </is>
      </c>
      <c r="F1411" s="4" t="inlineStr">
        <is>
          <t>US</t>
        </is>
      </c>
      <c r="G1411" s="4" t="inlineStr">
        <is>
          <t>Retail</t>
        </is>
      </c>
    </row>
    <row r="1412">
      <c r="A1412" s="2" t="inlineStr">
        <is>
          <t>TXN_001308</t>
        </is>
      </c>
      <c r="B1412" s="2" t="inlineStr">
        <is>
          <t>C_00040</t>
        </is>
      </c>
      <c r="C1412" s="2" t="inlineStr">
        <is>
          <t>2026-04-07</t>
        </is>
      </c>
      <c r="D1412" s="3" t="n">
        <v>2427.04</v>
      </c>
      <c r="E1412" s="2" t="inlineStr">
        <is>
          <t>Wire Transfer</t>
        </is>
      </c>
      <c r="F1412" s="2" t="inlineStr">
        <is>
          <t>US</t>
        </is>
      </c>
      <c r="G1412" s="2" t="inlineStr">
        <is>
          <t>Electronics</t>
        </is>
      </c>
    </row>
    <row r="1413">
      <c r="A1413" s="4" t="inlineStr">
        <is>
          <t>TXN_001302</t>
        </is>
      </c>
      <c r="B1413" s="4" t="inlineStr">
        <is>
          <t>C_00283</t>
        </is>
      </c>
      <c r="C1413" s="4" t="inlineStr">
        <is>
          <t>2026-04-07</t>
        </is>
      </c>
      <c r="D1413" s="5" t="n">
        <v>3407.12</v>
      </c>
      <c r="E1413" s="4" t="inlineStr">
        <is>
          <t>Wire Transfer</t>
        </is>
      </c>
      <c r="F1413" s="4" t="inlineStr">
        <is>
          <t>US</t>
        </is>
      </c>
      <c r="G1413" s="4" t="inlineStr">
        <is>
          <t>Auto</t>
        </is>
      </c>
    </row>
    <row r="1414">
      <c r="A1414" s="2" t="inlineStr">
        <is>
          <t>TXN_001309</t>
        </is>
      </c>
      <c r="B1414" s="2" t="inlineStr">
        <is>
          <t>C_00284</t>
        </is>
      </c>
      <c r="C1414" s="2" t="inlineStr">
        <is>
          <t>2026-04-07</t>
        </is>
      </c>
      <c r="D1414" s="3" t="n">
        <v>4007.24</v>
      </c>
      <c r="E1414" s="2" t="inlineStr">
        <is>
          <t>Wire Transfer</t>
        </is>
      </c>
      <c r="F1414" s="2" t="inlineStr">
        <is>
          <t>CA</t>
        </is>
      </c>
      <c r="G1414" s="2" t="inlineStr">
        <is>
          <t>Jewelry</t>
        </is>
      </c>
    </row>
    <row r="1415">
      <c r="A1415" s="4" t="inlineStr">
        <is>
          <t>TXN_001311</t>
        </is>
      </c>
      <c r="B1415" s="4" t="inlineStr">
        <is>
          <t>C_00035</t>
        </is>
      </c>
      <c r="C1415" s="4" t="inlineStr">
        <is>
          <t>2026-04-07</t>
        </is>
      </c>
      <c r="D1415" s="5" t="n">
        <v>118.18</v>
      </c>
      <c r="E1415" s="4" t="inlineStr">
        <is>
          <t>Card</t>
        </is>
      </c>
      <c r="F1415" s="4" t="inlineStr">
        <is>
          <t>US</t>
        </is>
      </c>
      <c r="G1415" s="4" t="inlineStr">
        <is>
          <t>Healthcare</t>
        </is>
      </c>
    </row>
    <row r="1416">
      <c r="A1416" s="2" t="inlineStr">
        <is>
          <t>TXN_001310</t>
        </is>
      </c>
      <c r="B1416" s="2" t="inlineStr">
        <is>
          <t>C_00259</t>
        </is>
      </c>
      <c r="C1416" s="2" t="inlineStr">
        <is>
          <t>2026-04-07</t>
        </is>
      </c>
      <c r="D1416" s="3" t="n">
        <v>4974.17</v>
      </c>
      <c r="E1416" s="2" t="inlineStr">
        <is>
          <t>ACH</t>
        </is>
      </c>
      <c r="F1416" s="2" t="inlineStr">
        <is>
          <t>RU</t>
        </is>
      </c>
      <c r="G1416" s="2" t="inlineStr">
        <is>
          <t>Retail</t>
        </is>
      </c>
    </row>
    <row r="1417">
      <c r="A1417" s="4" t="inlineStr">
        <is>
          <t>TXN_001323</t>
        </is>
      </c>
      <c r="B1417" s="4" t="inlineStr">
        <is>
          <t>C_00239</t>
        </is>
      </c>
      <c r="C1417" s="4" t="inlineStr">
        <is>
          <t>2026-04-08</t>
        </is>
      </c>
      <c r="D1417" s="5" t="n">
        <v>2307.22</v>
      </c>
      <c r="E1417" s="4" t="inlineStr">
        <is>
          <t>Wire Transfer</t>
        </is>
      </c>
      <c r="F1417" s="4" t="inlineStr">
        <is>
          <t>US</t>
        </is>
      </c>
      <c r="G1417" s="4" t="inlineStr">
        <is>
          <t>Crypto Exchange</t>
        </is>
      </c>
    </row>
    <row r="1418">
      <c r="A1418" s="2" t="inlineStr">
        <is>
          <t>TXN_001322</t>
        </is>
      </c>
      <c r="B1418" s="2" t="inlineStr">
        <is>
          <t>C_00264</t>
        </is>
      </c>
      <c r="C1418" s="2" t="inlineStr">
        <is>
          <t>2026-04-08</t>
        </is>
      </c>
      <c r="D1418" s="3" t="n">
        <v>567.12</v>
      </c>
      <c r="E1418" s="2" t="inlineStr">
        <is>
          <t>Wire Transfer</t>
        </is>
      </c>
      <c r="F1418" s="2" t="inlineStr">
        <is>
          <t>RU</t>
        </is>
      </c>
      <c r="G1418" s="2" t="inlineStr">
        <is>
          <t>Food &amp; Beverage</t>
        </is>
      </c>
    </row>
    <row r="1419">
      <c r="A1419" s="4" t="inlineStr">
        <is>
          <t>TXN_001321</t>
        </is>
      </c>
      <c r="B1419" s="4" t="inlineStr">
        <is>
          <t>C_00098</t>
        </is>
      </c>
      <c r="C1419" s="4" t="inlineStr">
        <is>
          <t>2026-04-08</t>
        </is>
      </c>
      <c r="D1419" s="5" t="n">
        <v>141.37</v>
      </c>
      <c r="E1419" s="4" t="inlineStr">
        <is>
          <t>ACH</t>
        </is>
      </c>
      <c r="F1419" s="4" t="inlineStr">
        <is>
          <t>US</t>
        </is>
      </c>
      <c r="G1419" s="4" t="inlineStr">
        <is>
          <t>Healthcare</t>
        </is>
      </c>
    </row>
    <row r="1420">
      <c r="A1420" s="2" t="inlineStr">
        <is>
          <t>TXN_001320</t>
        </is>
      </c>
      <c r="B1420" s="2" t="inlineStr">
        <is>
          <t>C_00049</t>
        </is>
      </c>
      <c r="C1420" s="2" t="inlineStr">
        <is>
          <t>2026-04-08</t>
        </is>
      </c>
      <c r="D1420" s="3" t="n">
        <v>1489.77</v>
      </c>
      <c r="E1420" s="2" t="inlineStr">
        <is>
          <t>ACH</t>
        </is>
      </c>
      <c r="F1420" s="2" t="inlineStr">
        <is>
          <t>US</t>
        </is>
      </c>
      <c r="G1420" s="2" t="inlineStr">
        <is>
          <t>Money Services</t>
        </is>
      </c>
    </row>
    <row r="1421">
      <c r="A1421" s="4" t="inlineStr">
        <is>
          <t>TXN_001319</t>
        </is>
      </c>
      <c r="B1421" s="4" t="inlineStr">
        <is>
          <t>C_00163</t>
        </is>
      </c>
      <c r="C1421" s="4" t="inlineStr">
        <is>
          <t>2026-04-08</t>
        </is>
      </c>
      <c r="D1421" s="5" t="n">
        <v>1650.98</v>
      </c>
      <c r="E1421" s="4" t="inlineStr">
        <is>
          <t>ACH</t>
        </is>
      </c>
      <c r="F1421" s="4" t="inlineStr">
        <is>
          <t>US</t>
        </is>
      </c>
      <c r="G1421" s="4" t="inlineStr">
        <is>
          <t>Electronics</t>
        </is>
      </c>
    </row>
    <row r="1422">
      <c r="A1422" s="2" t="inlineStr">
        <is>
          <t>TXN_001312</t>
        </is>
      </c>
      <c r="B1422" s="2" t="inlineStr">
        <is>
          <t>C_00027</t>
        </is>
      </c>
      <c r="C1422" s="2" t="inlineStr">
        <is>
          <t>2026-04-08</t>
        </is>
      </c>
      <c r="D1422" s="3" t="n">
        <v>2112.74</v>
      </c>
      <c r="E1422" s="2" t="inlineStr">
        <is>
          <t>Card</t>
        </is>
      </c>
      <c r="F1422" s="2" t="inlineStr">
        <is>
          <t>NG</t>
        </is>
      </c>
      <c r="G1422" s="2" t="inlineStr">
        <is>
          <t>Electronics</t>
        </is>
      </c>
    </row>
    <row r="1423">
      <c r="A1423" s="4" t="inlineStr">
        <is>
          <t>TXN_001317</t>
        </is>
      </c>
      <c r="B1423" s="4" t="inlineStr">
        <is>
          <t>C_00170</t>
        </is>
      </c>
      <c r="C1423" s="4" t="inlineStr">
        <is>
          <t>2026-04-08</t>
        </is>
      </c>
      <c r="D1423" s="5" t="n">
        <v>1816.1</v>
      </c>
      <c r="E1423" s="4" t="inlineStr">
        <is>
          <t>Mobile App</t>
        </is>
      </c>
      <c r="F1423" s="4" t="inlineStr">
        <is>
          <t>US</t>
        </is>
      </c>
      <c r="G1423" s="4" t="inlineStr">
        <is>
          <t>Retail</t>
        </is>
      </c>
    </row>
    <row r="1424">
      <c r="A1424" s="2" t="inlineStr">
        <is>
          <t>TXN_001316</t>
        </is>
      </c>
      <c r="B1424" s="2" t="inlineStr">
        <is>
          <t>C_00177</t>
        </is>
      </c>
      <c r="C1424" s="2" t="inlineStr">
        <is>
          <t>2026-04-08</t>
        </is>
      </c>
      <c r="D1424" s="3" t="n">
        <v>2234</v>
      </c>
      <c r="E1424" s="2" t="inlineStr">
        <is>
          <t>Cash Deposit</t>
        </is>
      </c>
      <c r="F1424" s="2" t="inlineStr">
        <is>
          <t>CA</t>
        </is>
      </c>
      <c r="G1424" s="2" t="inlineStr">
        <is>
          <t>Real Estate</t>
        </is>
      </c>
    </row>
    <row r="1425">
      <c r="A1425" s="4" t="inlineStr">
        <is>
          <t>TXN_001315</t>
        </is>
      </c>
      <c r="B1425" s="4" t="inlineStr">
        <is>
          <t>C_00193</t>
        </is>
      </c>
      <c r="C1425" s="4" t="inlineStr">
        <is>
          <t>2026-04-08</t>
        </is>
      </c>
      <c r="D1425" s="5" t="n">
        <v>1632.74</v>
      </c>
      <c r="E1425" s="4" t="inlineStr">
        <is>
          <t>Wire Transfer</t>
        </is>
      </c>
      <c r="F1425" s="4" t="inlineStr">
        <is>
          <t>CA</t>
        </is>
      </c>
      <c r="G1425" s="4" t="inlineStr">
        <is>
          <t>Travel</t>
        </is>
      </c>
    </row>
    <row r="1426">
      <c r="A1426" s="2" t="inlineStr">
        <is>
          <t>TXN_001314</t>
        </is>
      </c>
      <c r="B1426" s="2" t="inlineStr">
        <is>
          <t>C_00087</t>
        </is>
      </c>
      <c r="C1426" s="2" t="inlineStr">
        <is>
          <t>2026-04-08</t>
        </is>
      </c>
      <c r="D1426" s="3" t="n">
        <v>1667.68</v>
      </c>
      <c r="E1426" s="2" t="inlineStr">
        <is>
          <t>Mobile App</t>
        </is>
      </c>
      <c r="F1426" s="2" t="inlineStr">
        <is>
          <t>US</t>
        </is>
      </c>
      <c r="G1426" s="2" t="inlineStr">
        <is>
          <t>Real Estate</t>
        </is>
      </c>
    </row>
    <row r="1427">
      <c r="A1427" s="4" t="inlineStr">
        <is>
          <t>TXN_001318</t>
        </is>
      </c>
      <c r="B1427" s="4" t="inlineStr">
        <is>
          <t>C_00058</t>
        </is>
      </c>
      <c r="C1427" s="4" t="inlineStr">
        <is>
          <t>2026-04-08</t>
        </is>
      </c>
      <c r="D1427" s="5" t="n">
        <v>336.13</v>
      </c>
      <c r="E1427" s="4" t="inlineStr">
        <is>
          <t>Card</t>
        </is>
      </c>
      <c r="F1427" s="4" t="inlineStr">
        <is>
          <t>US</t>
        </is>
      </c>
      <c r="G1427" s="4" t="inlineStr">
        <is>
          <t>Retail</t>
        </is>
      </c>
    </row>
    <row r="1428">
      <c r="A1428" s="2" t="inlineStr">
        <is>
          <t>TXN_001313</t>
        </is>
      </c>
      <c r="B1428" s="2" t="inlineStr">
        <is>
          <t>C_00174</t>
        </is>
      </c>
      <c r="C1428" s="2" t="inlineStr">
        <is>
          <t>2026-04-08</t>
        </is>
      </c>
      <c r="D1428" s="3" t="n">
        <v>8022.17</v>
      </c>
      <c r="E1428" s="2" t="inlineStr">
        <is>
          <t>Mobile App</t>
        </is>
      </c>
      <c r="F1428" s="2" t="inlineStr">
        <is>
          <t>RU</t>
        </is>
      </c>
      <c r="G1428" s="2" t="inlineStr">
        <is>
          <t>Jewelry</t>
        </is>
      </c>
    </row>
    <row r="1429">
      <c r="A1429" s="4" t="inlineStr">
        <is>
          <t>TXN_001339</t>
        </is>
      </c>
      <c r="B1429" s="4" t="inlineStr">
        <is>
          <t>C_00166</t>
        </is>
      </c>
      <c r="C1429" s="4" t="inlineStr">
        <is>
          <t>2026-04-09</t>
        </is>
      </c>
      <c r="D1429" s="5" t="n">
        <v>3290.61</v>
      </c>
      <c r="E1429" s="4" t="inlineStr">
        <is>
          <t>Wire Transfer</t>
        </is>
      </c>
      <c r="F1429" s="4" t="inlineStr">
        <is>
          <t>US</t>
        </is>
      </c>
      <c r="G1429" s="4" t="inlineStr">
        <is>
          <t>Travel</t>
        </is>
      </c>
    </row>
    <row r="1430">
      <c r="A1430" s="2" t="inlineStr">
        <is>
          <t>TXN_001338</t>
        </is>
      </c>
      <c r="B1430" s="2" t="inlineStr">
        <is>
          <t>C_00129</t>
        </is>
      </c>
      <c r="C1430" s="2" t="inlineStr">
        <is>
          <t>2026-04-09</t>
        </is>
      </c>
      <c r="D1430" s="3" t="n">
        <v>6777.96</v>
      </c>
      <c r="E1430" s="2" t="inlineStr">
        <is>
          <t>ACH</t>
        </is>
      </c>
      <c r="F1430" s="2" t="inlineStr">
        <is>
          <t>US</t>
        </is>
      </c>
      <c r="G1430" s="2" t="inlineStr">
        <is>
          <t>Retail</t>
        </is>
      </c>
    </row>
    <row r="1431">
      <c r="A1431" s="4" t="inlineStr">
        <is>
          <t>TXN_001337</t>
        </is>
      </c>
      <c r="B1431" s="4" t="inlineStr">
        <is>
          <t>C_00035</t>
        </is>
      </c>
      <c r="C1431" s="4" t="inlineStr">
        <is>
          <t>2026-04-09</t>
        </is>
      </c>
      <c r="D1431" s="5" t="n">
        <v>3918.31</v>
      </c>
      <c r="E1431" s="4" t="inlineStr">
        <is>
          <t>Cash Deposit</t>
        </is>
      </c>
      <c r="F1431" s="4" t="inlineStr">
        <is>
          <t>US</t>
        </is>
      </c>
      <c r="G1431" s="4" t="inlineStr">
        <is>
          <t>Food &amp; Beverage</t>
        </is>
      </c>
    </row>
    <row r="1432">
      <c r="A1432" s="2" t="inlineStr">
        <is>
          <t>TXN_001336</t>
        </is>
      </c>
      <c r="B1432" s="2" t="inlineStr">
        <is>
          <t>C_00153</t>
        </is>
      </c>
      <c r="C1432" s="2" t="inlineStr">
        <is>
          <t>2026-04-09</t>
        </is>
      </c>
      <c r="D1432" s="3" t="n">
        <v>1117.45</v>
      </c>
      <c r="E1432" s="2" t="inlineStr">
        <is>
          <t>Card</t>
        </is>
      </c>
      <c r="F1432" s="2" t="inlineStr">
        <is>
          <t>US</t>
        </is>
      </c>
      <c r="G1432" s="2" t="inlineStr">
        <is>
          <t>Jewelry</t>
        </is>
      </c>
    </row>
    <row r="1433">
      <c r="A1433" s="4" t="inlineStr">
        <is>
          <t>TXN_001334</t>
        </is>
      </c>
      <c r="B1433" s="4" t="inlineStr">
        <is>
          <t>C_00219</t>
        </is>
      </c>
      <c r="C1433" s="4" t="inlineStr">
        <is>
          <t>2026-04-09</t>
        </is>
      </c>
      <c r="D1433" s="5" t="n">
        <v>360.07</v>
      </c>
      <c r="E1433" s="4" t="inlineStr">
        <is>
          <t>Card</t>
        </is>
      </c>
      <c r="F1433" s="4" t="inlineStr">
        <is>
          <t>US</t>
        </is>
      </c>
      <c r="G1433" s="4" t="inlineStr">
        <is>
          <t>Auto</t>
        </is>
      </c>
    </row>
    <row r="1434">
      <c r="A1434" s="2" t="inlineStr">
        <is>
          <t>TXN_001333</t>
        </is>
      </c>
      <c r="B1434" s="2" t="inlineStr">
        <is>
          <t>C_00212</t>
        </is>
      </c>
      <c r="C1434" s="2" t="inlineStr">
        <is>
          <t>2026-04-09</t>
        </is>
      </c>
      <c r="D1434" s="3" t="n">
        <v>4486.86</v>
      </c>
      <c r="E1434" s="2" t="inlineStr">
        <is>
          <t>Wire Transfer</t>
        </is>
      </c>
      <c r="F1434" s="2" t="inlineStr">
        <is>
          <t>US</t>
        </is>
      </c>
      <c r="G1434" s="2" t="inlineStr">
        <is>
          <t>Money Services</t>
        </is>
      </c>
    </row>
    <row r="1435">
      <c r="A1435" s="4" t="inlineStr">
        <is>
          <t>TXN_001335</t>
        </is>
      </c>
      <c r="B1435" s="4" t="inlineStr">
        <is>
          <t>C_00266</t>
        </is>
      </c>
      <c r="C1435" s="4" t="inlineStr">
        <is>
          <t>2026-04-09</t>
        </is>
      </c>
      <c r="D1435" s="5" t="n">
        <v>953.02</v>
      </c>
      <c r="E1435" s="4" t="inlineStr">
        <is>
          <t>Wire Transfer</t>
        </is>
      </c>
      <c r="F1435" s="4" t="inlineStr">
        <is>
          <t>AE</t>
        </is>
      </c>
      <c r="G1435" s="4" t="inlineStr">
        <is>
          <t>Retail</t>
        </is>
      </c>
    </row>
    <row r="1436">
      <c r="A1436" s="2" t="inlineStr">
        <is>
          <t>TXN_001330</t>
        </is>
      </c>
      <c r="B1436" s="2" t="inlineStr">
        <is>
          <t>C_00178</t>
        </is>
      </c>
      <c r="C1436" s="2" t="inlineStr">
        <is>
          <t>2026-04-09</t>
        </is>
      </c>
      <c r="D1436" s="3" t="n">
        <v>835.05</v>
      </c>
      <c r="E1436" s="2" t="inlineStr">
        <is>
          <t>ACH</t>
        </is>
      </c>
      <c r="F1436" s="2" t="inlineStr">
        <is>
          <t>AE</t>
        </is>
      </c>
      <c r="G1436" s="2" t="inlineStr">
        <is>
          <t>Jewelry</t>
        </is>
      </c>
    </row>
    <row r="1437">
      <c r="A1437" s="4" t="inlineStr">
        <is>
          <t>TXN_001332</t>
        </is>
      </c>
      <c r="B1437" s="4" t="inlineStr">
        <is>
          <t>C_00027</t>
        </is>
      </c>
      <c r="C1437" s="4" t="inlineStr">
        <is>
          <t>2026-04-09</t>
        </is>
      </c>
      <c r="D1437" s="5" t="n">
        <v>843.0599999999999</v>
      </c>
      <c r="E1437" s="4" t="inlineStr">
        <is>
          <t>Wire Transfer</t>
        </is>
      </c>
      <c r="F1437" s="4" t="inlineStr">
        <is>
          <t>US</t>
        </is>
      </c>
      <c r="G1437" s="4" t="inlineStr">
        <is>
          <t>Auto</t>
        </is>
      </c>
    </row>
    <row r="1438">
      <c r="A1438" s="2" t="inlineStr">
        <is>
          <t>TXN_001324</t>
        </is>
      </c>
      <c r="B1438" s="2" t="inlineStr">
        <is>
          <t>C_00226</t>
        </is>
      </c>
      <c r="C1438" s="2" t="inlineStr">
        <is>
          <t>2026-04-09</t>
        </is>
      </c>
      <c r="D1438" s="3" t="n">
        <v>50.25</v>
      </c>
      <c r="E1438" s="2" t="inlineStr">
        <is>
          <t>Mobile App</t>
        </is>
      </c>
      <c r="F1438" s="2" t="inlineStr">
        <is>
          <t>AE</t>
        </is>
      </c>
      <c r="G1438" s="2" t="inlineStr">
        <is>
          <t>Auto</t>
        </is>
      </c>
    </row>
    <row r="1439">
      <c r="A1439" s="4" t="inlineStr">
        <is>
          <t>TXN_001325</t>
        </is>
      </c>
      <c r="B1439" s="4" t="inlineStr">
        <is>
          <t>C_00076</t>
        </is>
      </c>
      <c r="C1439" s="4" t="inlineStr">
        <is>
          <t>2026-04-09</t>
        </is>
      </c>
      <c r="D1439" s="5" t="n">
        <v>1442.07</v>
      </c>
      <c r="E1439" s="4" t="inlineStr">
        <is>
          <t>ACH</t>
        </is>
      </c>
      <c r="F1439" s="4" t="inlineStr">
        <is>
          <t>US</t>
        </is>
      </c>
      <c r="G1439" s="4" t="inlineStr">
        <is>
          <t>Jewelry</t>
        </is>
      </c>
    </row>
    <row r="1440">
      <c r="A1440" s="2" t="inlineStr">
        <is>
          <t>TXN_001331</t>
        </is>
      </c>
      <c r="B1440" s="2" t="inlineStr">
        <is>
          <t>C_00168</t>
        </is>
      </c>
      <c r="C1440" s="2" t="inlineStr">
        <is>
          <t>2026-04-09</t>
        </is>
      </c>
      <c r="D1440" s="3" t="n">
        <v>12623.59</v>
      </c>
      <c r="E1440" s="2" t="inlineStr">
        <is>
          <t>Card</t>
        </is>
      </c>
      <c r="F1440" s="2" t="inlineStr">
        <is>
          <t>US</t>
        </is>
      </c>
      <c r="G1440" s="2" t="inlineStr">
        <is>
          <t>Real Estate</t>
        </is>
      </c>
    </row>
    <row r="1441">
      <c r="A1441" s="4" t="inlineStr">
        <is>
          <t>TXN_001327</t>
        </is>
      </c>
      <c r="B1441" s="4" t="inlineStr">
        <is>
          <t>C_00063</t>
        </is>
      </c>
      <c r="C1441" s="4" t="inlineStr">
        <is>
          <t>2026-04-09</t>
        </is>
      </c>
      <c r="D1441" s="5" t="n">
        <v>6192.65</v>
      </c>
      <c r="E1441" s="4" t="inlineStr">
        <is>
          <t>Card</t>
        </is>
      </c>
      <c r="F1441" s="4" t="inlineStr">
        <is>
          <t>US</t>
        </is>
      </c>
      <c r="G1441" s="4" t="inlineStr">
        <is>
          <t>Real Estate</t>
        </is>
      </c>
    </row>
    <row r="1442">
      <c r="A1442" s="2" t="inlineStr">
        <is>
          <t>TXN_001328</t>
        </is>
      </c>
      <c r="B1442" s="2" t="inlineStr">
        <is>
          <t>C_00099</t>
        </is>
      </c>
      <c r="C1442" s="2" t="inlineStr">
        <is>
          <t>2026-04-09</t>
        </is>
      </c>
      <c r="D1442" s="3" t="n">
        <v>1611.63</v>
      </c>
      <c r="E1442" s="2" t="inlineStr">
        <is>
          <t>Mobile App</t>
        </is>
      </c>
      <c r="F1442" s="2" t="inlineStr">
        <is>
          <t>CN</t>
        </is>
      </c>
      <c r="G1442" s="2" t="inlineStr">
        <is>
          <t>Crypto Exchange</t>
        </is>
      </c>
    </row>
    <row r="1443">
      <c r="A1443" s="4" t="inlineStr">
        <is>
          <t>TXN_001329</t>
        </is>
      </c>
      <c r="B1443" s="4" t="inlineStr">
        <is>
          <t>C_00292</t>
        </is>
      </c>
      <c r="C1443" s="4" t="inlineStr">
        <is>
          <t>2026-04-09</t>
        </is>
      </c>
      <c r="D1443" s="5" t="n">
        <v>3775.55</v>
      </c>
      <c r="E1443" s="4" t="inlineStr">
        <is>
          <t>ACH</t>
        </is>
      </c>
      <c r="F1443" s="4" t="inlineStr">
        <is>
          <t>CN</t>
        </is>
      </c>
      <c r="G1443" s="4" t="inlineStr">
        <is>
          <t>Healthcare</t>
        </is>
      </c>
    </row>
    <row r="1444">
      <c r="A1444" s="2" t="inlineStr">
        <is>
          <t>TXN_001326</t>
        </is>
      </c>
      <c r="B1444" s="2" t="inlineStr">
        <is>
          <t>C_00174</t>
        </is>
      </c>
      <c r="C1444" s="2" t="inlineStr">
        <is>
          <t>2026-04-09</t>
        </is>
      </c>
      <c r="D1444" s="3" t="n">
        <v>4518.82</v>
      </c>
      <c r="E1444" s="2" t="inlineStr">
        <is>
          <t>Cash Deposit</t>
        </is>
      </c>
      <c r="F1444" s="2" t="inlineStr">
        <is>
          <t>US</t>
        </is>
      </c>
      <c r="G1444" s="2" t="inlineStr">
        <is>
          <t>Retail</t>
        </is>
      </c>
    </row>
    <row r="1445">
      <c r="A1445" s="4" t="inlineStr">
        <is>
          <t>TXN_001340</t>
        </is>
      </c>
      <c r="B1445" s="4" t="inlineStr">
        <is>
          <t>C_00126</t>
        </is>
      </c>
      <c r="C1445" s="4" t="inlineStr">
        <is>
          <t>2026-04-10</t>
        </is>
      </c>
      <c r="D1445" s="5" t="n">
        <v>569.0700000000001</v>
      </c>
      <c r="E1445" s="4" t="inlineStr">
        <is>
          <t>Wire Transfer</t>
        </is>
      </c>
      <c r="F1445" s="4" t="inlineStr">
        <is>
          <t>MX</t>
        </is>
      </c>
      <c r="G1445" s="4" t="inlineStr">
        <is>
          <t>Jewelry</t>
        </is>
      </c>
    </row>
    <row r="1446">
      <c r="A1446" s="2" t="inlineStr">
        <is>
          <t>TXN_001342</t>
        </is>
      </c>
      <c r="B1446" s="2" t="inlineStr">
        <is>
          <t>C_00260</t>
        </is>
      </c>
      <c r="C1446" s="2" t="inlineStr">
        <is>
          <t>2026-04-10</t>
        </is>
      </c>
      <c r="D1446" s="3" t="n">
        <v>618.24</v>
      </c>
      <c r="E1446" s="2" t="inlineStr">
        <is>
          <t>Cash Deposit</t>
        </is>
      </c>
      <c r="F1446" s="2" t="inlineStr">
        <is>
          <t>US</t>
        </is>
      </c>
      <c r="G1446" s="2" t="inlineStr">
        <is>
          <t>Jewelry</t>
        </is>
      </c>
    </row>
    <row r="1447">
      <c r="A1447" s="4" t="inlineStr">
        <is>
          <t>TXN_001343</t>
        </is>
      </c>
      <c r="B1447" s="4" t="inlineStr">
        <is>
          <t>C_00150</t>
        </is>
      </c>
      <c r="C1447" s="4" t="inlineStr">
        <is>
          <t>2026-04-10</t>
        </is>
      </c>
      <c r="D1447" s="5" t="n">
        <v>128.58</v>
      </c>
      <c r="E1447" s="4" t="inlineStr">
        <is>
          <t>Mobile App</t>
        </is>
      </c>
      <c r="F1447" s="4" t="inlineStr">
        <is>
          <t>US</t>
        </is>
      </c>
      <c r="G1447" s="4" t="inlineStr">
        <is>
          <t>Auto</t>
        </is>
      </c>
    </row>
    <row r="1448">
      <c r="A1448" s="2" t="inlineStr">
        <is>
          <t>TXN_001344</t>
        </is>
      </c>
      <c r="B1448" s="2" t="inlineStr">
        <is>
          <t>C_00143</t>
        </is>
      </c>
      <c r="C1448" s="2" t="inlineStr">
        <is>
          <t>2026-04-10</t>
        </is>
      </c>
      <c r="D1448" s="3" t="n">
        <v>348.27</v>
      </c>
      <c r="E1448" s="2" t="inlineStr">
        <is>
          <t>ACH</t>
        </is>
      </c>
      <c r="F1448" s="2" t="inlineStr">
        <is>
          <t>CN</t>
        </is>
      </c>
      <c r="G1448" s="2" t="inlineStr">
        <is>
          <t>Jewelry</t>
        </is>
      </c>
    </row>
    <row r="1449">
      <c r="A1449" s="4" t="inlineStr">
        <is>
          <t>TXN_001345</t>
        </is>
      </c>
      <c r="B1449" s="4" t="inlineStr">
        <is>
          <t>C_00044</t>
        </is>
      </c>
      <c r="C1449" s="4" t="inlineStr">
        <is>
          <t>2026-04-10</t>
        </is>
      </c>
      <c r="D1449" s="5" t="n">
        <v>794.05</v>
      </c>
      <c r="E1449" s="4" t="inlineStr">
        <is>
          <t>Mobile App</t>
        </is>
      </c>
      <c r="F1449" s="4" t="inlineStr">
        <is>
          <t>US</t>
        </is>
      </c>
      <c r="G1449" s="4" t="inlineStr">
        <is>
          <t>Crypto Exchange</t>
        </is>
      </c>
    </row>
    <row r="1450">
      <c r="A1450" s="2" t="inlineStr">
        <is>
          <t>TXN_001346</t>
        </is>
      </c>
      <c r="B1450" s="2" t="inlineStr">
        <is>
          <t>C_00140</t>
        </is>
      </c>
      <c r="C1450" s="2" t="inlineStr">
        <is>
          <t>2026-04-10</t>
        </is>
      </c>
      <c r="D1450" s="3" t="n">
        <v>970.09</v>
      </c>
      <c r="E1450" s="2" t="inlineStr">
        <is>
          <t>Wire Transfer</t>
        </is>
      </c>
      <c r="F1450" s="2" t="inlineStr">
        <is>
          <t>US</t>
        </is>
      </c>
      <c r="G1450" s="2" t="inlineStr">
        <is>
          <t>Food &amp; Beverage</t>
        </is>
      </c>
    </row>
    <row r="1451">
      <c r="A1451" s="4" t="inlineStr">
        <is>
          <t>TXN_001347</t>
        </is>
      </c>
      <c r="B1451" s="4" t="inlineStr">
        <is>
          <t>C_00092</t>
        </is>
      </c>
      <c r="C1451" s="4" t="inlineStr">
        <is>
          <t>2026-04-10</t>
        </is>
      </c>
      <c r="D1451" s="5" t="n">
        <v>657.62</v>
      </c>
      <c r="E1451" s="4" t="inlineStr">
        <is>
          <t>Mobile App</t>
        </is>
      </c>
      <c r="F1451" s="4" t="inlineStr">
        <is>
          <t>US</t>
        </is>
      </c>
      <c r="G1451" s="4" t="inlineStr">
        <is>
          <t>Crypto Exchange</t>
        </is>
      </c>
    </row>
    <row r="1452">
      <c r="A1452" s="2" t="inlineStr">
        <is>
          <t>TXN_001348</t>
        </is>
      </c>
      <c r="B1452" s="2" t="inlineStr">
        <is>
          <t>C_00069</t>
        </is>
      </c>
      <c r="C1452" s="2" t="inlineStr">
        <is>
          <t>2026-04-10</t>
        </is>
      </c>
      <c r="D1452" s="3" t="n">
        <v>772.62</v>
      </c>
      <c r="E1452" s="2" t="inlineStr">
        <is>
          <t>Mobile App</t>
        </is>
      </c>
      <c r="F1452" s="2" t="inlineStr">
        <is>
          <t>MX</t>
        </is>
      </c>
      <c r="G1452" s="2" t="inlineStr">
        <is>
          <t>Jewelry</t>
        </is>
      </c>
    </row>
    <row r="1453">
      <c r="A1453" s="4" t="inlineStr">
        <is>
          <t>TXN_001341</t>
        </is>
      </c>
      <c r="B1453" s="4" t="inlineStr">
        <is>
          <t>C_00098</t>
        </is>
      </c>
      <c r="C1453" s="4" t="inlineStr">
        <is>
          <t>2026-04-10</t>
        </is>
      </c>
      <c r="D1453" s="5" t="n">
        <v>2560.76</v>
      </c>
      <c r="E1453" s="4" t="inlineStr">
        <is>
          <t>Cash Deposit</t>
        </is>
      </c>
      <c r="F1453" s="4" t="inlineStr">
        <is>
          <t>NG</t>
        </is>
      </c>
      <c r="G1453" s="4" t="inlineStr">
        <is>
          <t>Electronics</t>
        </is>
      </c>
    </row>
    <row r="1454">
      <c r="A1454" s="2" t="inlineStr">
        <is>
          <t>TXN_001350</t>
        </is>
      </c>
      <c r="B1454" s="2" t="inlineStr">
        <is>
          <t>C_00047</t>
        </is>
      </c>
      <c r="C1454" s="2" t="inlineStr">
        <is>
          <t>2026-04-11</t>
        </is>
      </c>
      <c r="D1454" s="3" t="n">
        <v>1398.15</v>
      </c>
      <c r="E1454" s="2" t="inlineStr">
        <is>
          <t>Mobile App</t>
        </is>
      </c>
      <c r="F1454" s="2" t="inlineStr">
        <is>
          <t>CN</t>
        </is>
      </c>
      <c r="G1454" s="2" t="inlineStr">
        <is>
          <t>Retail</t>
        </is>
      </c>
    </row>
    <row r="1455">
      <c r="A1455" s="4" t="inlineStr">
        <is>
          <t>TXN_001359</t>
        </is>
      </c>
      <c r="B1455" s="4" t="inlineStr">
        <is>
          <t>C_00109</t>
        </is>
      </c>
      <c r="C1455" s="4" t="inlineStr">
        <is>
          <t>2026-04-11</t>
        </is>
      </c>
      <c r="D1455" s="5" t="n">
        <v>975.04</v>
      </c>
      <c r="E1455" s="4" t="inlineStr">
        <is>
          <t>Mobile App</t>
        </is>
      </c>
      <c r="F1455" s="4" t="inlineStr">
        <is>
          <t>AE</t>
        </is>
      </c>
      <c r="G1455" s="4" t="inlineStr">
        <is>
          <t>Travel</t>
        </is>
      </c>
    </row>
    <row r="1456">
      <c r="A1456" s="2" t="inlineStr">
        <is>
          <t>TXN_001349</t>
        </is>
      </c>
      <c r="B1456" s="2" t="inlineStr">
        <is>
          <t>C_00297</t>
        </is>
      </c>
      <c r="C1456" s="2" t="inlineStr">
        <is>
          <t>2026-04-11</t>
        </is>
      </c>
      <c r="D1456" s="3" t="n">
        <v>34036.01</v>
      </c>
      <c r="E1456" s="2" t="inlineStr">
        <is>
          <t>Card</t>
        </is>
      </c>
      <c r="F1456" s="2" t="inlineStr">
        <is>
          <t>US</t>
        </is>
      </c>
      <c r="G1456" s="2" t="inlineStr">
        <is>
          <t>Jewelry</t>
        </is>
      </c>
    </row>
    <row r="1457">
      <c r="A1457" s="4" t="inlineStr">
        <is>
          <t>TXN_001351</t>
        </is>
      </c>
      <c r="B1457" s="4" t="inlineStr">
        <is>
          <t>C_00222</t>
        </is>
      </c>
      <c r="C1457" s="4" t="inlineStr">
        <is>
          <t>2026-04-11</t>
        </is>
      </c>
      <c r="D1457" s="5" t="n">
        <v>10326.88</v>
      </c>
      <c r="E1457" s="4" t="inlineStr">
        <is>
          <t>Cash Deposit</t>
        </is>
      </c>
      <c r="F1457" s="4" t="inlineStr">
        <is>
          <t>US</t>
        </is>
      </c>
      <c r="G1457" s="4" t="inlineStr">
        <is>
          <t>Retail</t>
        </is>
      </c>
    </row>
    <row r="1458">
      <c r="A1458" s="2" t="inlineStr">
        <is>
          <t>TXN_001352</t>
        </is>
      </c>
      <c r="B1458" s="2" t="inlineStr">
        <is>
          <t>C_00152</t>
        </is>
      </c>
      <c r="C1458" s="2" t="inlineStr">
        <is>
          <t>2026-04-11</t>
        </is>
      </c>
      <c r="D1458" s="3" t="n">
        <v>1070.46</v>
      </c>
      <c r="E1458" s="2" t="inlineStr">
        <is>
          <t>Wire Transfer</t>
        </is>
      </c>
      <c r="F1458" s="2" t="inlineStr">
        <is>
          <t>US</t>
        </is>
      </c>
      <c r="G1458" s="2" t="inlineStr">
        <is>
          <t>Jewelry</t>
        </is>
      </c>
    </row>
    <row r="1459">
      <c r="A1459" s="4" t="inlineStr">
        <is>
          <t>TXN_001353</t>
        </is>
      </c>
      <c r="B1459" s="4" t="inlineStr">
        <is>
          <t>C_00193</t>
        </is>
      </c>
      <c r="C1459" s="4" t="inlineStr">
        <is>
          <t>2026-04-11</t>
        </is>
      </c>
      <c r="D1459" s="5" t="n">
        <v>1316.54</v>
      </c>
      <c r="E1459" s="4" t="inlineStr">
        <is>
          <t>Cash Deposit</t>
        </is>
      </c>
      <c r="F1459" s="4" t="inlineStr">
        <is>
          <t>US</t>
        </is>
      </c>
      <c r="G1459" s="4" t="inlineStr">
        <is>
          <t>Retail</t>
        </is>
      </c>
    </row>
    <row r="1460">
      <c r="A1460" s="2" t="inlineStr">
        <is>
          <t>TXN_001354</t>
        </is>
      </c>
      <c r="B1460" s="2" t="inlineStr">
        <is>
          <t>C_00206</t>
        </is>
      </c>
      <c r="C1460" s="2" t="inlineStr">
        <is>
          <t>2026-04-11</t>
        </is>
      </c>
      <c r="D1460" s="3" t="n">
        <v>3259.29</v>
      </c>
      <c r="E1460" s="2" t="inlineStr">
        <is>
          <t>ACH</t>
        </is>
      </c>
      <c r="F1460" s="2" t="inlineStr">
        <is>
          <t>US</t>
        </is>
      </c>
      <c r="G1460" s="2" t="inlineStr">
        <is>
          <t>Money Services</t>
        </is>
      </c>
    </row>
    <row r="1461">
      <c r="A1461" s="4" t="inlineStr">
        <is>
          <t>TXN_001355</t>
        </is>
      </c>
      <c r="B1461" s="4" t="inlineStr">
        <is>
          <t>C_00130</t>
        </is>
      </c>
      <c r="C1461" s="4" t="inlineStr">
        <is>
          <t>2026-04-11</t>
        </is>
      </c>
      <c r="D1461" s="5" t="n">
        <v>1525.18</v>
      </c>
      <c r="E1461" s="4" t="inlineStr">
        <is>
          <t>Card</t>
        </is>
      </c>
      <c r="F1461" s="4" t="inlineStr">
        <is>
          <t>AE</t>
        </is>
      </c>
      <c r="G1461" s="4" t="inlineStr">
        <is>
          <t>Real Estate</t>
        </is>
      </c>
    </row>
    <row r="1462">
      <c r="A1462" s="2" t="inlineStr">
        <is>
          <t>TXN_001356</t>
        </is>
      </c>
      <c r="B1462" s="2" t="inlineStr">
        <is>
          <t>C_00300</t>
        </is>
      </c>
      <c r="C1462" s="2" t="inlineStr">
        <is>
          <t>2026-04-11</t>
        </is>
      </c>
      <c r="D1462" s="3" t="n">
        <v>4373.27</v>
      </c>
      <c r="E1462" s="2" t="inlineStr">
        <is>
          <t>Mobile App</t>
        </is>
      </c>
      <c r="F1462" s="2" t="inlineStr">
        <is>
          <t>AE</t>
        </is>
      </c>
      <c r="G1462" s="2" t="inlineStr">
        <is>
          <t>Electronics</t>
        </is>
      </c>
    </row>
    <row r="1463">
      <c r="A1463" s="4" t="inlineStr">
        <is>
          <t>TXN_001357</t>
        </is>
      </c>
      <c r="B1463" s="4" t="inlineStr">
        <is>
          <t>C_00096</t>
        </is>
      </c>
      <c r="C1463" s="4" t="inlineStr">
        <is>
          <t>2026-04-11</t>
        </is>
      </c>
      <c r="D1463" s="5" t="n">
        <v>1534.92</v>
      </c>
      <c r="E1463" s="4" t="inlineStr">
        <is>
          <t>ACH</t>
        </is>
      </c>
      <c r="F1463" s="4" t="inlineStr">
        <is>
          <t>CA</t>
        </is>
      </c>
      <c r="G1463" s="4" t="inlineStr">
        <is>
          <t>Money Services</t>
        </is>
      </c>
    </row>
    <row r="1464">
      <c r="A1464" s="2" t="inlineStr">
        <is>
          <t>TXN_001358</t>
        </is>
      </c>
      <c r="B1464" s="2" t="inlineStr">
        <is>
          <t>C_00260</t>
        </is>
      </c>
      <c r="C1464" s="2" t="inlineStr">
        <is>
          <t>2026-04-11</t>
        </is>
      </c>
      <c r="D1464" s="3" t="n">
        <v>19042.08</v>
      </c>
      <c r="E1464" s="2" t="inlineStr">
        <is>
          <t>Mobile App</t>
        </is>
      </c>
      <c r="F1464" s="2" t="inlineStr">
        <is>
          <t>CN</t>
        </is>
      </c>
      <c r="G1464" s="2" t="inlineStr">
        <is>
          <t>Food &amp; Beverage</t>
        </is>
      </c>
    </row>
    <row r="1465">
      <c r="A1465" s="4" t="inlineStr">
        <is>
          <t>TXN_001360</t>
        </is>
      </c>
      <c r="B1465" s="4" t="inlineStr">
        <is>
          <t>C_00249</t>
        </is>
      </c>
      <c r="C1465" s="4" t="inlineStr">
        <is>
          <t>2026-04-11</t>
        </is>
      </c>
      <c r="D1465" s="5" t="n">
        <v>837.1799999999999</v>
      </c>
      <c r="E1465" s="4" t="inlineStr">
        <is>
          <t>ACH</t>
        </is>
      </c>
      <c r="F1465" s="4" t="inlineStr">
        <is>
          <t>US</t>
        </is>
      </c>
      <c r="G1465" s="4" t="inlineStr">
        <is>
          <t>Money Services</t>
        </is>
      </c>
    </row>
    <row r="1466">
      <c r="A1466" s="2" t="inlineStr">
        <is>
          <t>TXN_001367</t>
        </is>
      </c>
      <c r="B1466" s="2" t="inlineStr">
        <is>
          <t>C_00257</t>
        </is>
      </c>
      <c r="C1466" s="2" t="inlineStr">
        <is>
          <t>2026-04-12</t>
        </is>
      </c>
      <c r="D1466" s="3" t="n">
        <v>1888.87</v>
      </c>
      <c r="E1466" s="2" t="inlineStr">
        <is>
          <t>Card</t>
        </is>
      </c>
      <c r="F1466" s="2" t="inlineStr">
        <is>
          <t>US</t>
        </is>
      </c>
      <c r="G1466" s="2" t="inlineStr">
        <is>
          <t>Jewelry</t>
        </is>
      </c>
    </row>
    <row r="1467">
      <c r="A1467" s="4" t="inlineStr">
        <is>
          <t>TXN_001366</t>
        </is>
      </c>
      <c r="B1467" s="4" t="inlineStr">
        <is>
          <t>C_00094</t>
        </is>
      </c>
      <c r="C1467" s="4" t="inlineStr">
        <is>
          <t>2026-04-12</t>
        </is>
      </c>
      <c r="D1467" s="5" t="n">
        <v>719.5599999999999</v>
      </c>
      <c r="E1467" s="4" t="inlineStr">
        <is>
          <t>Cash Deposit</t>
        </is>
      </c>
      <c r="F1467" s="4" t="inlineStr">
        <is>
          <t>US</t>
        </is>
      </c>
      <c r="G1467" s="4" t="inlineStr">
        <is>
          <t>Electronics</t>
        </is>
      </c>
    </row>
    <row r="1468">
      <c r="A1468" s="2" t="inlineStr">
        <is>
          <t>TXN_001365</t>
        </is>
      </c>
      <c r="B1468" s="2" t="inlineStr">
        <is>
          <t>C_00191</t>
        </is>
      </c>
      <c r="C1468" s="2" t="inlineStr">
        <is>
          <t>2026-04-12</t>
        </is>
      </c>
      <c r="D1468" s="3" t="n">
        <v>1241.27</v>
      </c>
      <c r="E1468" s="2" t="inlineStr">
        <is>
          <t>Cash Deposit</t>
        </is>
      </c>
      <c r="F1468" s="2" t="inlineStr">
        <is>
          <t>US</t>
        </is>
      </c>
      <c r="G1468" s="2" t="inlineStr">
        <is>
          <t>Auto</t>
        </is>
      </c>
    </row>
    <row r="1469">
      <c r="A1469" s="4" t="inlineStr">
        <is>
          <t>TXN_001364</t>
        </is>
      </c>
      <c r="B1469" s="4" t="inlineStr">
        <is>
          <t>C_00296</t>
        </is>
      </c>
      <c r="C1469" s="4" t="inlineStr">
        <is>
          <t>2026-04-12</t>
        </is>
      </c>
      <c r="D1469" s="5" t="n">
        <v>1668.79</v>
      </c>
      <c r="E1469" s="4" t="inlineStr">
        <is>
          <t>ACH</t>
        </is>
      </c>
      <c r="F1469" s="4" t="inlineStr">
        <is>
          <t>AE</t>
        </is>
      </c>
      <c r="G1469" s="4" t="inlineStr">
        <is>
          <t>Auto</t>
        </is>
      </c>
    </row>
    <row r="1470">
      <c r="A1470" s="2" t="inlineStr">
        <is>
          <t>TXN_001361</t>
        </is>
      </c>
      <c r="B1470" s="2" t="inlineStr">
        <is>
          <t>C_00040</t>
        </is>
      </c>
      <c r="C1470" s="2" t="inlineStr">
        <is>
          <t>2026-04-12</t>
        </is>
      </c>
      <c r="D1470" s="3" t="n">
        <v>246.4</v>
      </c>
      <c r="E1470" s="2" t="inlineStr">
        <is>
          <t>ACH</t>
        </is>
      </c>
      <c r="F1470" s="2" t="inlineStr">
        <is>
          <t>US</t>
        </is>
      </c>
      <c r="G1470" s="2" t="inlineStr">
        <is>
          <t>Food &amp; Beverage</t>
        </is>
      </c>
    </row>
    <row r="1471">
      <c r="A1471" s="4" t="inlineStr">
        <is>
          <t>TXN_001362</t>
        </is>
      </c>
      <c r="B1471" s="4" t="inlineStr">
        <is>
          <t>C_00032</t>
        </is>
      </c>
      <c r="C1471" s="4" t="inlineStr">
        <is>
          <t>2026-04-12</t>
        </is>
      </c>
      <c r="D1471" s="5" t="n">
        <v>2550.16</v>
      </c>
      <c r="E1471" s="4" t="inlineStr">
        <is>
          <t>Mobile App</t>
        </is>
      </c>
      <c r="F1471" s="4" t="inlineStr">
        <is>
          <t>US</t>
        </is>
      </c>
      <c r="G1471" s="4" t="inlineStr">
        <is>
          <t>Crypto Exchange</t>
        </is>
      </c>
    </row>
    <row r="1472">
      <c r="A1472" s="2" t="inlineStr">
        <is>
          <t>TXN_001368</t>
        </is>
      </c>
      <c r="B1472" s="2" t="inlineStr">
        <is>
          <t>C_00149</t>
        </is>
      </c>
      <c r="C1472" s="2" t="inlineStr">
        <is>
          <t>2026-04-12</t>
        </is>
      </c>
      <c r="D1472" s="3" t="n">
        <v>6073.09</v>
      </c>
      <c r="E1472" s="2" t="inlineStr">
        <is>
          <t>Wire Transfer</t>
        </is>
      </c>
      <c r="F1472" s="2" t="inlineStr">
        <is>
          <t>CA</t>
        </is>
      </c>
      <c r="G1472" s="2" t="inlineStr">
        <is>
          <t>Auto</t>
        </is>
      </c>
    </row>
    <row r="1473">
      <c r="A1473" s="4" t="inlineStr">
        <is>
          <t>TXN_001363</t>
        </is>
      </c>
      <c r="B1473" s="4" t="inlineStr">
        <is>
          <t>C_00039</t>
        </is>
      </c>
      <c r="C1473" s="4" t="inlineStr">
        <is>
          <t>2026-04-12</t>
        </is>
      </c>
      <c r="D1473" s="5" t="n">
        <v>12545.22</v>
      </c>
      <c r="E1473" s="4" t="inlineStr">
        <is>
          <t>Cash Deposit</t>
        </is>
      </c>
      <c r="F1473" s="4" t="inlineStr">
        <is>
          <t>US</t>
        </is>
      </c>
      <c r="G1473" s="4" t="inlineStr">
        <is>
          <t>Jewelry</t>
        </is>
      </c>
    </row>
    <row r="1474">
      <c r="A1474" s="2" t="inlineStr">
        <is>
          <t>TXN_001378</t>
        </is>
      </c>
      <c r="B1474" s="2" t="inlineStr">
        <is>
          <t>C_00166</t>
        </is>
      </c>
      <c r="C1474" s="2" t="inlineStr">
        <is>
          <t>2026-04-13</t>
        </is>
      </c>
      <c r="D1474" s="3" t="n">
        <v>1744.06</v>
      </c>
      <c r="E1474" s="2" t="inlineStr">
        <is>
          <t>ACH</t>
        </is>
      </c>
      <c r="F1474" s="2" t="inlineStr">
        <is>
          <t>US</t>
        </is>
      </c>
      <c r="G1474" s="2" t="inlineStr">
        <is>
          <t>Healthcare</t>
        </is>
      </c>
    </row>
    <row r="1475">
      <c r="A1475" s="4" t="inlineStr">
        <is>
          <t>TXN_001379</t>
        </is>
      </c>
      <c r="B1475" s="4" t="inlineStr">
        <is>
          <t>C_00138</t>
        </is>
      </c>
      <c r="C1475" s="4" t="inlineStr">
        <is>
          <t>2026-04-13</t>
        </is>
      </c>
      <c r="D1475" s="5" t="n">
        <v>1830.5</v>
      </c>
      <c r="E1475" s="4" t="inlineStr">
        <is>
          <t>Wire Transfer</t>
        </is>
      </c>
      <c r="F1475" s="4" t="inlineStr">
        <is>
          <t>US</t>
        </is>
      </c>
      <c r="G1475" s="4" t="inlineStr">
        <is>
          <t>Real Estate</t>
        </is>
      </c>
    </row>
    <row r="1476">
      <c r="A1476" s="2" t="inlineStr">
        <is>
          <t>TXN_001374</t>
        </is>
      </c>
      <c r="B1476" s="2" t="inlineStr">
        <is>
          <t>C_00128</t>
        </is>
      </c>
      <c r="C1476" s="2" t="inlineStr">
        <is>
          <t>2026-04-13</t>
        </is>
      </c>
      <c r="D1476" s="3" t="n">
        <v>853.54</v>
      </c>
      <c r="E1476" s="2" t="inlineStr">
        <is>
          <t>Cash Deposit</t>
        </is>
      </c>
      <c r="F1476" s="2" t="inlineStr">
        <is>
          <t>US</t>
        </is>
      </c>
      <c r="G1476" s="2" t="inlineStr">
        <is>
          <t>Healthcare</t>
        </is>
      </c>
    </row>
    <row r="1477">
      <c r="A1477" s="4" t="inlineStr">
        <is>
          <t>TXN_001381</t>
        </is>
      </c>
      <c r="B1477" s="4" t="inlineStr">
        <is>
          <t>C_00027</t>
        </is>
      </c>
      <c r="C1477" s="4" t="inlineStr">
        <is>
          <t>2026-04-13</t>
        </is>
      </c>
      <c r="D1477" s="5" t="n">
        <v>521.09</v>
      </c>
      <c r="E1477" s="4" t="inlineStr">
        <is>
          <t>Cash Deposit</t>
        </is>
      </c>
      <c r="F1477" s="4" t="inlineStr">
        <is>
          <t>US</t>
        </is>
      </c>
      <c r="G1477" s="4" t="inlineStr">
        <is>
          <t>Food &amp; Beverage</t>
        </is>
      </c>
    </row>
    <row r="1478">
      <c r="A1478" s="2" t="inlineStr">
        <is>
          <t>TXN_001377</t>
        </is>
      </c>
      <c r="B1478" s="2" t="inlineStr">
        <is>
          <t>C_00123</t>
        </is>
      </c>
      <c r="C1478" s="2" t="inlineStr">
        <is>
          <t>2026-04-13</t>
        </is>
      </c>
      <c r="D1478" s="3" t="n">
        <v>1853.09</v>
      </c>
      <c r="E1478" s="2" t="inlineStr">
        <is>
          <t>Card</t>
        </is>
      </c>
      <c r="F1478" s="2" t="inlineStr">
        <is>
          <t>CN</t>
        </is>
      </c>
      <c r="G1478" s="2" t="inlineStr">
        <is>
          <t>Food &amp; Beverage</t>
        </is>
      </c>
    </row>
    <row r="1479">
      <c r="A1479" s="4" t="inlineStr">
        <is>
          <t>TXN_001380</t>
        </is>
      </c>
      <c r="B1479" s="4" t="inlineStr">
        <is>
          <t>C_00126</t>
        </is>
      </c>
      <c r="C1479" s="4" t="inlineStr">
        <is>
          <t>2026-04-13</t>
        </is>
      </c>
      <c r="D1479" s="5" t="n">
        <v>1498.4</v>
      </c>
      <c r="E1479" s="4" t="inlineStr">
        <is>
          <t>Card</t>
        </is>
      </c>
      <c r="F1479" s="4" t="inlineStr">
        <is>
          <t>MX</t>
        </is>
      </c>
      <c r="G1479" s="4" t="inlineStr">
        <is>
          <t>Money Services</t>
        </is>
      </c>
    </row>
    <row r="1480">
      <c r="A1480" s="2" t="inlineStr">
        <is>
          <t>TXN_001376</t>
        </is>
      </c>
      <c r="B1480" s="2" t="inlineStr">
        <is>
          <t>C_00091</t>
        </is>
      </c>
      <c r="C1480" s="2" t="inlineStr">
        <is>
          <t>2026-04-13</t>
        </is>
      </c>
      <c r="D1480" s="3" t="n">
        <v>5350.14</v>
      </c>
      <c r="E1480" s="2" t="inlineStr">
        <is>
          <t>ACH</t>
        </is>
      </c>
      <c r="F1480" s="2" t="inlineStr">
        <is>
          <t>CA</t>
        </is>
      </c>
      <c r="G1480" s="2" t="inlineStr">
        <is>
          <t>Money Services</t>
        </is>
      </c>
    </row>
    <row r="1481">
      <c r="A1481" s="4" t="inlineStr">
        <is>
          <t>TXN_001371</t>
        </is>
      </c>
      <c r="B1481" s="4" t="inlineStr">
        <is>
          <t>C_00239</t>
        </is>
      </c>
      <c r="C1481" s="4" t="inlineStr">
        <is>
          <t>2026-04-13</t>
        </is>
      </c>
      <c r="D1481" s="5" t="n">
        <v>736.26</v>
      </c>
      <c r="E1481" s="4" t="inlineStr">
        <is>
          <t>ACH</t>
        </is>
      </c>
      <c r="F1481" s="4" t="inlineStr">
        <is>
          <t>US</t>
        </is>
      </c>
      <c r="G1481" s="4" t="inlineStr">
        <is>
          <t>Electronics</t>
        </is>
      </c>
    </row>
    <row r="1482">
      <c r="A1482" s="2" t="inlineStr">
        <is>
          <t>TXN_001373</t>
        </is>
      </c>
      <c r="B1482" s="2" t="inlineStr">
        <is>
          <t>C_00285</t>
        </is>
      </c>
      <c r="C1482" s="2" t="inlineStr">
        <is>
          <t>2026-04-13</t>
        </is>
      </c>
      <c r="D1482" s="3" t="n">
        <v>9827.26</v>
      </c>
      <c r="E1482" s="2" t="inlineStr">
        <is>
          <t>Mobile App</t>
        </is>
      </c>
      <c r="F1482" s="2" t="inlineStr">
        <is>
          <t>CN</t>
        </is>
      </c>
      <c r="G1482" s="2" t="inlineStr">
        <is>
          <t>Jewelry</t>
        </is>
      </c>
    </row>
    <row r="1483">
      <c r="A1483" s="4" t="inlineStr">
        <is>
          <t>TXN_001372</t>
        </is>
      </c>
      <c r="B1483" s="4" t="inlineStr">
        <is>
          <t>C_00179</t>
        </is>
      </c>
      <c r="C1483" s="4" t="inlineStr">
        <is>
          <t>2026-04-13</t>
        </is>
      </c>
      <c r="D1483" s="5" t="n">
        <v>2152.1</v>
      </c>
      <c r="E1483" s="4" t="inlineStr">
        <is>
          <t>ACH</t>
        </is>
      </c>
      <c r="F1483" s="4" t="inlineStr">
        <is>
          <t>US</t>
        </is>
      </c>
      <c r="G1483" s="4" t="inlineStr">
        <is>
          <t>Electronics</t>
        </is>
      </c>
    </row>
    <row r="1484">
      <c r="A1484" s="2" t="inlineStr">
        <is>
          <t>TXN_001370</t>
        </is>
      </c>
      <c r="B1484" s="2" t="inlineStr">
        <is>
          <t>C_00276</t>
        </is>
      </c>
      <c r="C1484" s="2" t="inlineStr">
        <is>
          <t>2026-04-13</t>
        </is>
      </c>
      <c r="D1484" s="3" t="n">
        <v>1046.42</v>
      </c>
      <c r="E1484" s="2" t="inlineStr">
        <is>
          <t>Card</t>
        </is>
      </c>
      <c r="F1484" s="2" t="inlineStr">
        <is>
          <t>US</t>
        </is>
      </c>
      <c r="G1484" s="2" t="inlineStr">
        <is>
          <t>Money Services</t>
        </is>
      </c>
    </row>
    <row r="1485">
      <c r="A1485" s="4" t="inlineStr">
        <is>
          <t>TXN_001369</t>
        </is>
      </c>
      <c r="B1485" s="4" t="inlineStr">
        <is>
          <t>C_00291</t>
        </is>
      </c>
      <c r="C1485" s="4" t="inlineStr">
        <is>
          <t>2026-04-13</t>
        </is>
      </c>
      <c r="D1485" s="5" t="n">
        <v>368.11</v>
      </c>
      <c r="E1485" s="4" t="inlineStr">
        <is>
          <t>Mobile App</t>
        </is>
      </c>
      <c r="F1485" s="4" t="inlineStr">
        <is>
          <t>CA</t>
        </is>
      </c>
      <c r="G1485" s="4" t="inlineStr">
        <is>
          <t>Jewelry</t>
        </is>
      </c>
    </row>
    <row r="1486">
      <c r="A1486" s="2" t="inlineStr">
        <is>
          <t>TXN_001375</t>
        </is>
      </c>
      <c r="B1486" s="2" t="inlineStr">
        <is>
          <t>C_00257</t>
        </is>
      </c>
      <c r="C1486" s="2" t="inlineStr">
        <is>
          <t>2026-04-13</t>
        </is>
      </c>
      <c r="D1486" s="3" t="n">
        <v>4506.97</v>
      </c>
      <c r="E1486" s="2" t="inlineStr">
        <is>
          <t>ACH</t>
        </is>
      </c>
      <c r="F1486" s="2" t="inlineStr">
        <is>
          <t>US</t>
        </is>
      </c>
      <c r="G1486" s="2" t="inlineStr">
        <is>
          <t>Travel</t>
        </is>
      </c>
    </row>
    <row r="1487">
      <c r="A1487" s="4" t="inlineStr">
        <is>
          <t>TXN_001385</t>
        </is>
      </c>
      <c r="B1487" s="4" t="inlineStr">
        <is>
          <t>C_00047</t>
        </is>
      </c>
      <c r="C1487" s="4" t="inlineStr">
        <is>
          <t>2026-04-14</t>
        </is>
      </c>
      <c r="D1487" s="5" t="n">
        <v>449.28</v>
      </c>
      <c r="E1487" s="4" t="inlineStr">
        <is>
          <t>Cash Deposit</t>
        </is>
      </c>
      <c r="F1487" s="4" t="inlineStr">
        <is>
          <t>US</t>
        </is>
      </c>
      <c r="G1487" s="4" t="inlineStr">
        <is>
          <t>Auto</t>
        </is>
      </c>
    </row>
    <row r="1488">
      <c r="A1488" s="2" t="inlineStr">
        <is>
          <t>TXN_001382</t>
        </is>
      </c>
      <c r="B1488" s="2" t="inlineStr">
        <is>
          <t>C_00063</t>
        </is>
      </c>
      <c r="C1488" s="2" t="inlineStr">
        <is>
          <t>2026-04-14</t>
        </is>
      </c>
      <c r="D1488" s="3" t="n">
        <v>11630.81</v>
      </c>
      <c r="E1488" s="2" t="inlineStr">
        <is>
          <t>Wire Transfer</t>
        </is>
      </c>
      <c r="F1488" s="2" t="inlineStr">
        <is>
          <t>CN</t>
        </is>
      </c>
      <c r="G1488" s="2" t="inlineStr">
        <is>
          <t>Healthcare</t>
        </is>
      </c>
    </row>
    <row r="1489">
      <c r="A1489" s="4" t="inlineStr">
        <is>
          <t>TXN_001383</t>
        </is>
      </c>
      <c r="B1489" s="4" t="inlineStr">
        <is>
          <t>C_00148</t>
        </is>
      </c>
      <c r="C1489" s="4" t="inlineStr">
        <is>
          <t>2026-04-14</t>
        </is>
      </c>
      <c r="D1489" s="5" t="n">
        <v>15938.35</v>
      </c>
      <c r="E1489" s="4" t="inlineStr">
        <is>
          <t>Card</t>
        </is>
      </c>
      <c r="F1489" s="4" t="inlineStr">
        <is>
          <t>MX</t>
        </is>
      </c>
      <c r="G1489" s="4" t="inlineStr">
        <is>
          <t>Retail</t>
        </is>
      </c>
    </row>
    <row r="1490">
      <c r="A1490" s="2" t="inlineStr">
        <is>
          <t>TXN_001384</t>
        </is>
      </c>
      <c r="B1490" s="2" t="inlineStr">
        <is>
          <t>C_00168</t>
        </is>
      </c>
      <c r="C1490" s="2" t="inlineStr">
        <is>
          <t>2026-04-14</t>
        </is>
      </c>
      <c r="D1490" s="3" t="n">
        <v>6055.72</v>
      </c>
      <c r="E1490" s="2" t="inlineStr">
        <is>
          <t>Cash Deposit</t>
        </is>
      </c>
      <c r="F1490" s="2" t="inlineStr">
        <is>
          <t>CA</t>
        </is>
      </c>
      <c r="G1490" s="2" t="inlineStr">
        <is>
          <t>Electronics</t>
        </is>
      </c>
    </row>
    <row r="1491">
      <c r="A1491" s="4" t="inlineStr">
        <is>
          <t>TXN_001386</t>
        </is>
      </c>
      <c r="B1491" s="4" t="inlineStr">
        <is>
          <t>C_00054</t>
        </is>
      </c>
      <c r="C1491" s="4" t="inlineStr">
        <is>
          <t>2026-04-14</t>
        </is>
      </c>
      <c r="D1491" s="5" t="n">
        <v>919.91</v>
      </c>
      <c r="E1491" s="4" t="inlineStr">
        <is>
          <t>ACH</t>
        </is>
      </c>
      <c r="F1491" s="4" t="inlineStr">
        <is>
          <t>RU</t>
        </is>
      </c>
      <c r="G1491" s="4" t="inlineStr">
        <is>
          <t>Crypto Exchange</t>
        </is>
      </c>
    </row>
    <row r="1492">
      <c r="A1492" s="2" t="inlineStr">
        <is>
          <t>TXN_001387</t>
        </is>
      </c>
      <c r="B1492" s="2" t="inlineStr">
        <is>
          <t>C_00093</t>
        </is>
      </c>
      <c r="C1492" s="2" t="inlineStr">
        <is>
          <t>2026-04-14</t>
        </is>
      </c>
      <c r="D1492" s="3" t="n">
        <v>1923.43</v>
      </c>
      <c r="E1492" s="2" t="inlineStr">
        <is>
          <t>Wire Transfer</t>
        </is>
      </c>
      <c r="F1492" s="2" t="inlineStr">
        <is>
          <t>US</t>
        </is>
      </c>
      <c r="G1492" s="2" t="inlineStr">
        <is>
          <t>Food &amp; Beverage</t>
        </is>
      </c>
    </row>
    <row r="1493">
      <c r="A1493" s="4" t="inlineStr">
        <is>
          <t>TXN_001388</t>
        </is>
      </c>
      <c r="B1493" s="4" t="inlineStr">
        <is>
          <t>C_00057</t>
        </is>
      </c>
      <c r="C1493" s="4" t="inlineStr">
        <is>
          <t>2026-04-14</t>
        </is>
      </c>
      <c r="D1493" s="5" t="n">
        <v>1644.11</v>
      </c>
      <c r="E1493" s="4" t="inlineStr">
        <is>
          <t>Cash Deposit</t>
        </is>
      </c>
      <c r="F1493" s="4" t="inlineStr">
        <is>
          <t>US</t>
        </is>
      </c>
      <c r="G1493" s="4" t="inlineStr">
        <is>
          <t>Jewelry</t>
        </is>
      </c>
    </row>
    <row r="1494">
      <c r="A1494" s="2" t="inlineStr">
        <is>
          <t>TXN_001389</t>
        </is>
      </c>
      <c r="B1494" s="2" t="inlineStr">
        <is>
          <t>C_00109</t>
        </is>
      </c>
      <c r="C1494" s="2" t="inlineStr">
        <is>
          <t>2026-04-14</t>
        </is>
      </c>
      <c r="D1494" s="3" t="n">
        <v>3443.28</v>
      </c>
      <c r="E1494" s="2" t="inlineStr">
        <is>
          <t>Wire Transfer</t>
        </is>
      </c>
      <c r="F1494" s="2" t="inlineStr">
        <is>
          <t>CA</t>
        </is>
      </c>
      <c r="G1494" s="2" t="inlineStr">
        <is>
          <t>Electronics</t>
        </is>
      </c>
    </row>
    <row r="1495">
      <c r="A1495" s="4" t="inlineStr">
        <is>
          <t>TXN_001390</t>
        </is>
      </c>
      <c r="B1495" s="4" t="inlineStr">
        <is>
          <t>C_00054</t>
        </is>
      </c>
      <c r="C1495" s="4" t="inlineStr">
        <is>
          <t>2026-04-14</t>
        </is>
      </c>
      <c r="D1495" s="5" t="n">
        <v>4413.08</v>
      </c>
      <c r="E1495" s="4" t="inlineStr">
        <is>
          <t>Cash Deposit</t>
        </is>
      </c>
      <c r="F1495" s="4" t="inlineStr">
        <is>
          <t>US</t>
        </is>
      </c>
      <c r="G1495" s="4" t="inlineStr">
        <is>
          <t>Auto</t>
        </is>
      </c>
    </row>
    <row r="1496">
      <c r="A1496" s="2" t="inlineStr">
        <is>
          <t>TXN_001391</t>
        </is>
      </c>
      <c r="B1496" s="2" t="inlineStr">
        <is>
          <t>C_00230</t>
        </is>
      </c>
      <c r="C1496" s="2" t="inlineStr">
        <is>
          <t>2026-04-14</t>
        </is>
      </c>
      <c r="D1496" s="3" t="n">
        <v>3554.89</v>
      </c>
      <c r="E1496" s="2" t="inlineStr">
        <is>
          <t>Cash Deposit</t>
        </is>
      </c>
      <c r="F1496" s="2" t="inlineStr">
        <is>
          <t>CN</t>
        </is>
      </c>
      <c r="G1496" s="2" t="inlineStr">
        <is>
          <t>Auto</t>
        </is>
      </c>
    </row>
    <row r="1497">
      <c r="A1497" s="4" t="inlineStr">
        <is>
          <t>TXN_001404</t>
        </is>
      </c>
      <c r="B1497" s="4" t="inlineStr">
        <is>
          <t>C_00046</t>
        </is>
      </c>
      <c r="C1497" s="4" t="inlineStr">
        <is>
          <t>2026-04-15</t>
        </is>
      </c>
      <c r="D1497" s="5" t="n">
        <v>1341.97</v>
      </c>
      <c r="E1497" s="4" t="inlineStr">
        <is>
          <t>Wire Transfer</t>
        </is>
      </c>
      <c r="F1497" s="4" t="inlineStr">
        <is>
          <t>US</t>
        </is>
      </c>
      <c r="G1497" s="4" t="inlineStr">
        <is>
          <t>Jewelry</t>
        </is>
      </c>
    </row>
    <row r="1498">
      <c r="A1498" s="2" t="inlineStr">
        <is>
          <t>TXN_001403</t>
        </is>
      </c>
      <c r="B1498" s="2" t="inlineStr">
        <is>
          <t>C_00204</t>
        </is>
      </c>
      <c r="C1498" s="2" t="inlineStr">
        <is>
          <t>2026-04-15</t>
        </is>
      </c>
      <c r="D1498" s="3" t="n">
        <v>6114.38</v>
      </c>
      <c r="E1498" s="2" t="inlineStr">
        <is>
          <t>Card</t>
        </is>
      </c>
      <c r="F1498" s="2" t="inlineStr">
        <is>
          <t>NG</t>
        </is>
      </c>
      <c r="G1498" s="2" t="inlineStr">
        <is>
          <t>Food &amp; Beverage</t>
        </is>
      </c>
    </row>
    <row r="1499">
      <c r="A1499" s="4" t="inlineStr">
        <is>
          <t>TXN_001405</t>
        </is>
      </c>
      <c r="B1499" s="4" t="inlineStr">
        <is>
          <t>C_00086</t>
        </is>
      </c>
      <c r="C1499" s="4" t="inlineStr">
        <is>
          <t>2026-04-15</t>
        </is>
      </c>
      <c r="D1499" s="5" t="n">
        <v>2850.38</v>
      </c>
      <c r="E1499" s="4" t="inlineStr">
        <is>
          <t>Cash Deposit</t>
        </is>
      </c>
      <c r="F1499" s="4" t="inlineStr">
        <is>
          <t>US</t>
        </is>
      </c>
      <c r="G1499" s="4" t="inlineStr">
        <is>
          <t>Real Estate</t>
        </is>
      </c>
    </row>
    <row r="1500">
      <c r="A1500" s="2" t="inlineStr">
        <is>
          <t>TXN_001406</t>
        </is>
      </c>
      <c r="B1500" s="2" t="inlineStr">
        <is>
          <t>C_00170</t>
        </is>
      </c>
      <c r="C1500" s="2" t="inlineStr">
        <is>
          <t>2026-04-15</t>
        </is>
      </c>
      <c r="D1500" s="3" t="n">
        <v>1348.81</v>
      </c>
      <c r="E1500" s="2" t="inlineStr">
        <is>
          <t>Mobile App</t>
        </is>
      </c>
      <c r="F1500" s="2" t="inlineStr">
        <is>
          <t>US</t>
        </is>
      </c>
      <c r="G1500" s="2" t="inlineStr">
        <is>
          <t>Retail</t>
        </is>
      </c>
    </row>
    <row r="1501">
      <c r="A1501" s="4" t="inlineStr">
        <is>
          <t>TXN_001400</t>
        </is>
      </c>
      <c r="B1501" s="4" t="inlineStr">
        <is>
          <t>C_00139</t>
        </is>
      </c>
      <c r="C1501" s="4" t="inlineStr">
        <is>
          <t>2026-04-15</t>
        </is>
      </c>
      <c r="D1501" s="5" t="n">
        <v>1678.47</v>
      </c>
      <c r="E1501" s="4" t="inlineStr">
        <is>
          <t>ACH</t>
        </is>
      </c>
      <c r="F1501" s="4" t="inlineStr">
        <is>
          <t>US</t>
        </is>
      </c>
      <c r="G1501" s="4" t="inlineStr">
        <is>
          <t>Jewelry</t>
        </is>
      </c>
    </row>
    <row r="1502">
      <c r="A1502" s="2" t="inlineStr">
        <is>
          <t>TXN_001408</t>
        </is>
      </c>
      <c r="B1502" s="2" t="inlineStr">
        <is>
          <t>C_00023</t>
        </is>
      </c>
      <c r="C1502" s="2" t="inlineStr">
        <is>
          <t>2026-04-15</t>
        </is>
      </c>
      <c r="D1502" s="3" t="n">
        <v>3903.85</v>
      </c>
      <c r="E1502" s="2" t="inlineStr">
        <is>
          <t>Wire Transfer</t>
        </is>
      </c>
      <c r="F1502" s="2" t="inlineStr">
        <is>
          <t>US</t>
        </is>
      </c>
      <c r="G1502" s="2" t="inlineStr">
        <is>
          <t>Money Services</t>
        </is>
      </c>
    </row>
    <row r="1503">
      <c r="A1503" s="4" t="inlineStr">
        <is>
          <t>TXN_001409</t>
        </is>
      </c>
      <c r="B1503" s="4" t="inlineStr">
        <is>
          <t>C_00024</t>
        </is>
      </c>
      <c r="C1503" s="4" t="inlineStr">
        <is>
          <t>2026-04-15</t>
        </is>
      </c>
      <c r="D1503" s="5" t="n">
        <v>21687.22</v>
      </c>
      <c r="E1503" s="4" t="inlineStr">
        <is>
          <t>Cash Deposit</t>
        </is>
      </c>
      <c r="F1503" s="4" t="inlineStr">
        <is>
          <t>US</t>
        </is>
      </c>
      <c r="G1503" s="4" t="inlineStr">
        <is>
          <t>Crypto Exchange</t>
        </is>
      </c>
    </row>
    <row r="1504">
      <c r="A1504" s="2" t="inlineStr">
        <is>
          <t>TXN_001402</t>
        </is>
      </c>
      <c r="B1504" s="2" t="inlineStr">
        <is>
          <t>C_00024</t>
        </is>
      </c>
      <c r="C1504" s="2" t="inlineStr">
        <is>
          <t>2026-04-15</t>
        </is>
      </c>
      <c r="D1504" s="3" t="n">
        <v>2529.52</v>
      </c>
      <c r="E1504" s="2" t="inlineStr">
        <is>
          <t>Card</t>
        </is>
      </c>
      <c r="F1504" s="2" t="inlineStr">
        <is>
          <t>US</t>
        </is>
      </c>
      <c r="G1504" s="2" t="inlineStr">
        <is>
          <t>Healthcare</t>
        </is>
      </c>
    </row>
    <row r="1505">
      <c r="A1505" s="4" t="inlineStr">
        <is>
          <t>TXN_001407</t>
        </is>
      </c>
      <c r="B1505" s="4" t="inlineStr">
        <is>
          <t>C_00091</t>
        </is>
      </c>
      <c r="C1505" s="4" t="inlineStr">
        <is>
          <t>2026-04-15</t>
        </is>
      </c>
      <c r="D1505" s="5" t="n">
        <v>554.21</v>
      </c>
      <c r="E1505" s="4" t="inlineStr">
        <is>
          <t>Wire Transfer</t>
        </is>
      </c>
      <c r="F1505" s="4" t="inlineStr">
        <is>
          <t>US</t>
        </is>
      </c>
      <c r="G1505" s="4" t="inlineStr">
        <is>
          <t>Electronics</t>
        </is>
      </c>
    </row>
    <row r="1506">
      <c r="A1506" s="2" t="inlineStr">
        <is>
          <t>TXN_001401</t>
        </is>
      </c>
      <c r="B1506" s="2" t="inlineStr">
        <is>
          <t>C_00243</t>
        </is>
      </c>
      <c r="C1506" s="2" t="inlineStr">
        <is>
          <t>2026-04-15</t>
        </is>
      </c>
      <c r="D1506" s="3" t="n">
        <v>348.58</v>
      </c>
      <c r="E1506" s="2" t="inlineStr">
        <is>
          <t>Card</t>
        </is>
      </c>
      <c r="F1506" s="2" t="inlineStr">
        <is>
          <t>AE</t>
        </is>
      </c>
      <c r="G1506" s="2" t="inlineStr">
        <is>
          <t>Auto</t>
        </is>
      </c>
    </row>
    <row r="1507">
      <c r="A1507" s="4" t="inlineStr">
        <is>
          <t>TXN_001398</t>
        </is>
      </c>
      <c r="B1507" s="4" t="inlineStr">
        <is>
          <t>C_00244</t>
        </is>
      </c>
      <c r="C1507" s="4" t="inlineStr">
        <is>
          <t>2026-04-15</t>
        </is>
      </c>
      <c r="D1507" s="5" t="n">
        <v>8248.08</v>
      </c>
      <c r="E1507" s="4" t="inlineStr">
        <is>
          <t>Cash Deposit</t>
        </is>
      </c>
      <c r="F1507" s="4" t="inlineStr">
        <is>
          <t>AE</t>
        </is>
      </c>
      <c r="G1507" s="4" t="inlineStr">
        <is>
          <t>Healthcare</t>
        </is>
      </c>
    </row>
    <row r="1508">
      <c r="A1508" s="2" t="inlineStr">
        <is>
          <t>TXN_001399</t>
        </is>
      </c>
      <c r="B1508" s="2" t="inlineStr">
        <is>
          <t>C_00182</t>
        </is>
      </c>
      <c r="C1508" s="2" t="inlineStr">
        <is>
          <t>2026-04-15</t>
        </is>
      </c>
      <c r="D1508" s="3" t="n">
        <v>1985.99</v>
      </c>
      <c r="E1508" s="2" t="inlineStr">
        <is>
          <t>Wire Transfer</t>
        </is>
      </c>
      <c r="F1508" s="2" t="inlineStr">
        <is>
          <t>US</t>
        </is>
      </c>
      <c r="G1508" s="2" t="inlineStr">
        <is>
          <t>Jewelry</t>
        </is>
      </c>
    </row>
    <row r="1509">
      <c r="A1509" s="4" t="inlineStr">
        <is>
          <t>TXN_001397</t>
        </is>
      </c>
      <c r="B1509" s="4" t="inlineStr">
        <is>
          <t>C_00121</t>
        </is>
      </c>
      <c r="C1509" s="4" t="inlineStr">
        <is>
          <t>2026-04-15</t>
        </is>
      </c>
      <c r="D1509" s="5" t="n">
        <v>259.39</v>
      </c>
      <c r="E1509" s="4" t="inlineStr">
        <is>
          <t>ACH</t>
        </is>
      </c>
      <c r="F1509" s="4" t="inlineStr">
        <is>
          <t>CN</t>
        </is>
      </c>
      <c r="G1509" s="4" t="inlineStr">
        <is>
          <t>Healthcare</t>
        </is>
      </c>
    </row>
    <row r="1510">
      <c r="A1510" s="2" t="inlineStr">
        <is>
          <t>TXN_001396</t>
        </is>
      </c>
      <c r="B1510" s="2" t="inlineStr">
        <is>
          <t>C_00113</t>
        </is>
      </c>
      <c r="C1510" s="2" t="inlineStr">
        <is>
          <t>2026-04-15</t>
        </is>
      </c>
      <c r="D1510" s="3" t="n">
        <v>1358.84</v>
      </c>
      <c r="E1510" s="2" t="inlineStr">
        <is>
          <t>Card</t>
        </is>
      </c>
      <c r="F1510" s="2" t="inlineStr">
        <is>
          <t>US</t>
        </is>
      </c>
      <c r="G1510" s="2" t="inlineStr">
        <is>
          <t>Electronics</t>
        </is>
      </c>
    </row>
    <row r="1511">
      <c r="A1511" s="4" t="inlineStr">
        <is>
          <t>TXN_001395</t>
        </is>
      </c>
      <c r="B1511" s="4" t="inlineStr">
        <is>
          <t>C_00247</t>
        </is>
      </c>
      <c r="C1511" s="4" t="inlineStr">
        <is>
          <t>2026-04-15</t>
        </is>
      </c>
      <c r="D1511" s="5" t="n">
        <v>5862.2</v>
      </c>
      <c r="E1511" s="4" t="inlineStr">
        <is>
          <t>Cash Deposit</t>
        </is>
      </c>
      <c r="F1511" s="4" t="inlineStr">
        <is>
          <t>US</t>
        </is>
      </c>
      <c r="G1511" s="4" t="inlineStr">
        <is>
          <t>Travel</t>
        </is>
      </c>
    </row>
    <row r="1512">
      <c r="A1512" s="2" t="inlineStr">
        <is>
          <t>TXN_001394</t>
        </is>
      </c>
      <c r="B1512" s="2" t="inlineStr">
        <is>
          <t>C_00095</t>
        </is>
      </c>
      <c r="C1512" s="2" t="inlineStr">
        <is>
          <t>2026-04-15</t>
        </is>
      </c>
      <c r="D1512" s="3" t="n">
        <v>457.48</v>
      </c>
      <c r="E1512" s="2" t="inlineStr">
        <is>
          <t>Card</t>
        </is>
      </c>
      <c r="F1512" s="2" t="inlineStr">
        <is>
          <t>AE</t>
        </is>
      </c>
      <c r="G1512" s="2" t="inlineStr">
        <is>
          <t>Jewelry</t>
        </is>
      </c>
    </row>
    <row r="1513">
      <c r="A1513" s="4" t="inlineStr">
        <is>
          <t>TXN_001393</t>
        </is>
      </c>
      <c r="B1513" s="4" t="inlineStr">
        <is>
          <t>C_00052</t>
        </is>
      </c>
      <c r="C1513" s="4" t="inlineStr">
        <is>
          <t>2026-04-15</t>
        </is>
      </c>
      <c r="D1513" s="5" t="n">
        <v>938.48</v>
      </c>
      <c r="E1513" s="4" t="inlineStr">
        <is>
          <t>ACH</t>
        </is>
      </c>
      <c r="F1513" s="4" t="inlineStr">
        <is>
          <t>US</t>
        </is>
      </c>
      <c r="G1513" s="4" t="inlineStr">
        <is>
          <t>Jewelry</t>
        </is>
      </c>
    </row>
    <row r="1514">
      <c r="A1514" s="2" t="inlineStr">
        <is>
          <t>TXN_001392</t>
        </is>
      </c>
      <c r="B1514" s="2" t="inlineStr">
        <is>
          <t>C_00090</t>
        </is>
      </c>
      <c r="C1514" s="2" t="inlineStr">
        <is>
          <t>2026-04-15</t>
        </is>
      </c>
      <c r="D1514" s="3" t="n">
        <v>7937.59</v>
      </c>
      <c r="E1514" s="2" t="inlineStr">
        <is>
          <t>Card</t>
        </is>
      </c>
      <c r="F1514" s="2" t="inlineStr">
        <is>
          <t>US</t>
        </is>
      </c>
      <c r="G1514" s="2" t="inlineStr">
        <is>
          <t>Crypto Exchange</t>
        </is>
      </c>
    </row>
    <row r="1515">
      <c r="A1515" s="4" t="inlineStr">
        <is>
          <t>TXN_001419</t>
        </is>
      </c>
      <c r="B1515" s="4" t="inlineStr">
        <is>
          <t>C_00216</t>
        </is>
      </c>
      <c r="C1515" s="4" t="inlineStr">
        <is>
          <t>2026-04-16</t>
        </is>
      </c>
      <c r="D1515" s="5" t="n">
        <v>1786.44</v>
      </c>
      <c r="E1515" s="4" t="inlineStr">
        <is>
          <t>Wire Transfer</t>
        </is>
      </c>
      <c r="F1515" s="4" t="inlineStr">
        <is>
          <t>CN</t>
        </is>
      </c>
      <c r="G1515" s="4" t="inlineStr">
        <is>
          <t>Travel</t>
        </is>
      </c>
    </row>
    <row r="1516">
      <c r="A1516" s="2" t="inlineStr">
        <is>
          <t>TXN_001418</t>
        </is>
      </c>
      <c r="B1516" s="2" t="inlineStr">
        <is>
          <t>C_00280</t>
        </is>
      </c>
      <c r="C1516" s="2" t="inlineStr">
        <is>
          <t>2026-04-16</t>
        </is>
      </c>
      <c r="D1516" s="3" t="n">
        <v>2998.12</v>
      </c>
      <c r="E1516" s="2" t="inlineStr">
        <is>
          <t>Wire Transfer</t>
        </is>
      </c>
      <c r="F1516" s="2" t="inlineStr">
        <is>
          <t>US</t>
        </is>
      </c>
      <c r="G1516" s="2" t="inlineStr">
        <is>
          <t>Real Estate</t>
        </is>
      </c>
    </row>
    <row r="1517">
      <c r="A1517" s="4" t="inlineStr">
        <is>
          <t>TXN_001417</t>
        </is>
      </c>
      <c r="B1517" s="4" t="inlineStr">
        <is>
          <t>C_00285</t>
        </is>
      </c>
      <c r="C1517" s="4" t="inlineStr">
        <is>
          <t>2026-04-16</t>
        </is>
      </c>
      <c r="D1517" s="5" t="n">
        <v>21792.95</v>
      </c>
      <c r="E1517" s="4" t="inlineStr">
        <is>
          <t>ACH</t>
        </is>
      </c>
      <c r="F1517" s="4" t="inlineStr">
        <is>
          <t>US</t>
        </is>
      </c>
      <c r="G1517" s="4" t="inlineStr">
        <is>
          <t>Travel</t>
        </is>
      </c>
    </row>
    <row r="1518">
      <c r="A1518" s="2" t="inlineStr">
        <is>
          <t>TXN_001416</t>
        </is>
      </c>
      <c r="B1518" s="2" t="inlineStr">
        <is>
          <t>C_00040</t>
        </is>
      </c>
      <c r="C1518" s="2" t="inlineStr">
        <is>
          <t>2026-04-16</t>
        </is>
      </c>
      <c r="D1518" s="3" t="n">
        <v>617.88</v>
      </c>
      <c r="E1518" s="2" t="inlineStr">
        <is>
          <t>Mobile App</t>
        </is>
      </c>
      <c r="F1518" s="2" t="inlineStr">
        <is>
          <t>US</t>
        </is>
      </c>
      <c r="G1518" s="2" t="inlineStr">
        <is>
          <t>Electronics</t>
        </is>
      </c>
    </row>
    <row r="1519">
      <c r="A1519" s="4" t="inlineStr">
        <is>
          <t>TXN_001415</t>
        </is>
      </c>
      <c r="B1519" s="4" t="inlineStr">
        <is>
          <t>C_00072</t>
        </is>
      </c>
      <c r="C1519" s="4" t="inlineStr">
        <is>
          <t>2026-04-16</t>
        </is>
      </c>
      <c r="D1519" s="5" t="n">
        <v>4113.15</v>
      </c>
      <c r="E1519" s="4" t="inlineStr">
        <is>
          <t>ACH</t>
        </is>
      </c>
      <c r="F1519" s="4" t="inlineStr">
        <is>
          <t>RU</t>
        </is>
      </c>
      <c r="G1519" s="4" t="inlineStr">
        <is>
          <t>Electronics</t>
        </is>
      </c>
    </row>
    <row r="1520">
      <c r="A1520" s="2" t="inlineStr">
        <is>
          <t>TXN_001413</t>
        </is>
      </c>
      <c r="B1520" s="2" t="inlineStr">
        <is>
          <t>C_00236</t>
        </is>
      </c>
      <c r="C1520" s="2" t="inlineStr">
        <is>
          <t>2026-04-16</t>
        </is>
      </c>
      <c r="D1520" s="3" t="n">
        <v>12494.97</v>
      </c>
      <c r="E1520" s="2" t="inlineStr">
        <is>
          <t>Wire Transfer</t>
        </is>
      </c>
      <c r="F1520" s="2" t="inlineStr">
        <is>
          <t>CA</t>
        </is>
      </c>
      <c r="G1520" s="2" t="inlineStr">
        <is>
          <t>Food &amp; Beverage</t>
        </is>
      </c>
    </row>
    <row r="1521">
      <c r="A1521" s="4" t="inlineStr">
        <is>
          <t>TXN_001412</t>
        </is>
      </c>
      <c r="B1521" s="4" t="inlineStr">
        <is>
          <t>C_00086</t>
        </is>
      </c>
      <c r="C1521" s="4" t="inlineStr">
        <is>
          <t>2026-04-16</t>
        </is>
      </c>
      <c r="D1521" s="5" t="n">
        <v>1193.06</v>
      </c>
      <c r="E1521" s="4" t="inlineStr">
        <is>
          <t>Wire Transfer</t>
        </is>
      </c>
      <c r="F1521" s="4" t="inlineStr">
        <is>
          <t>MX</t>
        </is>
      </c>
      <c r="G1521" s="4" t="inlineStr">
        <is>
          <t>Healthcare</t>
        </is>
      </c>
    </row>
    <row r="1522">
      <c r="A1522" s="2" t="inlineStr">
        <is>
          <t>TXN_001411</t>
        </is>
      </c>
      <c r="B1522" s="2" t="inlineStr">
        <is>
          <t>C_00061</t>
        </is>
      </c>
      <c r="C1522" s="2" t="inlineStr">
        <is>
          <t>2026-04-16</t>
        </is>
      </c>
      <c r="D1522" s="3" t="n">
        <v>2743.72</v>
      </c>
      <c r="E1522" s="2" t="inlineStr">
        <is>
          <t>Mobile App</t>
        </is>
      </c>
      <c r="F1522" s="2" t="inlineStr">
        <is>
          <t>US</t>
        </is>
      </c>
      <c r="G1522" s="2" t="inlineStr">
        <is>
          <t>Retail</t>
        </is>
      </c>
    </row>
    <row r="1523">
      <c r="A1523" s="4" t="inlineStr">
        <is>
          <t>TXN_001410</t>
        </is>
      </c>
      <c r="B1523" s="4" t="inlineStr">
        <is>
          <t>C_00088</t>
        </is>
      </c>
      <c r="C1523" s="4" t="inlineStr">
        <is>
          <t>2026-04-16</t>
        </is>
      </c>
      <c r="D1523" s="5" t="n">
        <v>7159.69</v>
      </c>
      <c r="E1523" s="4" t="inlineStr">
        <is>
          <t>Cash Deposit</t>
        </is>
      </c>
      <c r="F1523" s="4" t="inlineStr">
        <is>
          <t>US</t>
        </is>
      </c>
      <c r="G1523" s="4" t="inlineStr">
        <is>
          <t>Travel</t>
        </is>
      </c>
    </row>
    <row r="1524">
      <c r="A1524" s="2" t="inlineStr">
        <is>
          <t>TXN_001414</t>
        </is>
      </c>
      <c r="B1524" s="2" t="inlineStr">
        <is>
          <t>C_00285</t>
        </is>
      </c>
      <c r="C1524" s="2" t="inlineStr">
        <is>
          <t>2026-04-16</t>
        </is>
      </c>
      <c r="D1524" s="3" t="n">
        <v>2103.88</v>
      </c>
      <c r="E1524" s="2" t="inlineStr">
        <is>
          <t>Cash Deposit</t>
        </is>
      </c>
      <c r="F1524" s="2" t="inlineStr">
        <is>
          <t>US</t>
        </is>
      </c>
      <c r="G1524" s="2" t="inlineStr">
        <is>
          <t>Money Services</t>
        </is>
      </c>
    </row>
    <row r="1525">
      <c r="A1525" s="4" t="inlineStr">
        <is>
          <t>TXN_001427</t>
        </is>
      </c>
      <c r="B1525" s="4" t="inlineStr">
        <is>
          <t>C_00229</t>
        </is>
      </c>
      <c r="C1525" s="4" t="inlineStr">
        <is>
          <t>2026-04-17</t>
        </is>
      </c>
      <c r="D1525" s="5" t="n">
        <v>5753.8</v>
      </c>
      <c r="E1525" s="4" t="inlineStr">
        <is>
          <t>Card</t>
        </is>
      </c>
      <c r="F1525" s="4" t="inlineStr">
        <is>
          <t>US</t>
        </is>
      </c>
      <c r="G1525" s="4" t="inlineStr">
        <is>
          <t>Auto</t>
        </is>
      </c>
    </row>
    <row r="1526">
      <c r="A1526" s="2" t="inlineStr">
        <is>
          <t>TXN_001432</t>
        </is>
      </c>
      <c r="B1526" s="2" t="inlineStr">
        <is>
          <t>C_00136</t>
        </is>
      </c>
      <c r="C1526" s="2" t="inlineStr">
        <is>
          <t>2026-04-17</t>
        </is>
      </c>
      <c r="D1526" s="3" t="n">
        <v>1881.63</v>
      </c>
      <c r="E1526" s="2" t="inlineStr">
        <is>
          <t>ACH</t>
        </is>
      </c>
      <c r="F1526" s="2" t="inlineStr">
        <is>
          <t>US</t>
        </is>
      </c>
      <c r="G1526" s="2" t="inlineStr">
        <is>
          <t>Food &amp; Beverage</t>
        </is>
      </c>
    </row>
    <row r="1527">
      <c r="A1527" s="4" t="inlineStr">
        <is>
          <t>TXN_001431</t>
        </is>
      </c>
      <c r="B1527" s="4" t="inlineStr">
        <is>
          <t>C_00051</t>
        </is>
      </c>
      <c r="C1527" s="4" t="inlineStr">
        <is>
          <t>2026-04-17</t>
        </is>
      </c>
      <c r="D1527" s="5" t="n">
        <v>3753.41</v>
      </c>
      <c r="E1527" s="4" t="inlineStr">
        <is>
          <t>ACH</t>
        </is>
      </c>
      <c r="F1527" s="4" t="inlineStr">
        <is>
          <t>US</t>
        </is>
      </c>
      <c r="G1527" s="4" t="inlineStr">
        <is>
          <t>Retail</t>
        </is>
      </c>
    </row>
    <row r="1528">
      <c r="A1528" s="2" t="inlineStr">
        <is>
          <t>TXN_001430</t>
        </is>
      </c>
      <c r="B1528" s="2" t="inlineStr">
        <is>
          <t>C_00127</t>
        </is>
      </c>
      <c r="C1528" s="2" t="inlineStr">
        <is>
          <t>2026-04-17</t>
        </is>
      </c>
      <c r="D1528" s="3" t="n">
        <v>5328.24</v>
      </c>
      <c r="E1528" s="2" t="inlineStr">
        <is>
          <t>Wire Transfer</t>
        </is>
      </c>
      <c r="F1528" s="2" t="inlineStr">
        <is>
          <t>US</t>
        </is>
      </c>
      <c r="G1528" s="2" t="inlineStr">
        <is>
          <t>Food &amp; Beverage</t>
        </is>
      </c>
    </row>
    <row r="1529">
      <c r="A1529" s="4" t="inlineStr">
        <is>
          <t>TXN_001429</t>
        </is>
      </c>
      <c r="B1529" s="4" t="inlineStr">
        <is>
          <t>C_00043</t>
        </is>
      </c>
      <c r="C1529" s="4" t="inlineStr">
        <is>
          <t>2026-04-17</t>
        </is>
      </c>
      <c r="D1529" s="5" t="n">
        <v>1417.54</v>
      </c>
      <c r="E1529" s="4" t="inlineStr">
        <is>
          <t>ACH</t>
        </is>
      </c>
      <c r="F1529" s="4" t="inlineStr">
        <is>
          <t>US</t>
        </is>
      </c>
      <c r="G1529" s="4" t="inlineStr">
        <is>
          <t>Food &amp; Beverage</t>
        </is>
      </c>
    </row>
    <row r="1530">
      <c r="A1530" s="2" t="inlineStr">
        <is>
          <t>TXN_001428</t>
        </is>
      </c>
      <c r="B1530" s="2" t="inlineStr">
        <is>
          <t>C_00236</t>
        </is>
      </c>
      <c r="C1530" s="2" t="inlineStr">
        <is>
          <t>2026-04-17</t>
        </is>
      </c>
      <c r="D1530" s="3" t="n">
        <v>8027</v>
      </c>
      <c r="E1530" s="2" t="inlineStr">
        <is>
          <t>ACH</t>
        </is>
      </c>
      <c r="F1530" s="2" t="inlineStr">
        <is>
          <t>US</t>
        </is>
      </c>
      <c r="G1530" s="2" t="inlineStr">
        <is>
          <t>Travel</t>
        </is>
      </c>
    </row>
    <row r="1531">
      <c r="A1531" s="4" t="inlineStr">
        <is>
          <t>TXN_001426</t>
        </is>
      </c>
      <c r="B1531" s="4" t="inlineStr">
        <is>
          <t>C_ORPHAN_001</t>
        </is>
      </c>
      <c r="C1531" s="4" t="inlineStr">
        <is>
          <t>2026-04-17</t>
        </is>
      </c>
      <c r="D1531" s="5" t="n">
        <v>73.18000000000001</v>
      </c>
      <c r="E1531" s="4" t="inlineStr">
        <is>
          <t>Mobile App</t>
        </is>
      </c>
      <c r="F1531" s="4" t="inlineStr">
        <is>
          <t>US</t>
        </is>
      </c>
      <c r="G1531" s="4" t="inlineStr">
        <is>
          <t>Electronics</t>
        </is>
      </c>
    </row>
    <row r="1532">
      <c r="A1532" s="2" t="inlineStr">
        <is>
          <t>TXN_001424</t>
        </is>
      </c>
      <c r="B1532" s="2" t="inlineStr">
        <is>
          <t>C_00024</t>
        </is>
      </c>
      <c r="C1532" s="2" t="inlineStr">
        <is>
          <t>2026-04-17</t>
        </is>
      </c>
      <c r="D1532" s="3" t="n">
        <v>265.89</v>
      </c>
      <c r="E1532" s="2" t="inlineStr">
        <is>
          <t>Mobile App</t>
        </is>
      </c>
      <c r="F1532" s="2" t="inlineStr">
        <is>
          <t>US</t>
        </is>
      </c>
      <c r="G1532" s="2" t="inlineStr">
        <is>
          <t>Crypto Exchange</t>
        </is>
      </c>
    </row>
    <row r="1533">
      <c r="A1533" s="4" t="inlineStr">
        <is>
          <t>TXN_001423</t>
        </is>
      </c>
      <c r="B1533" s="4" t="inlineStr">
        <is>
          <t>C_00084</t>
        </is>
      </c>
      <c r="C1533" s="4" t="inlineStr">
        <is>
          <t>2026-04-17</t>
        </is>
      </c>
      <c r="D1533" s="5" t="n">
        <v>5341.54</v>
      </c>
      <c r="E1533" s="4" t="inlineStr">
        <is>
          <t>Card</t>
        </is>
      </c>
      <c r="F1533" s="4" t="inlineStr">
        <is>
          <t>US</t>
        </is>
      </c>
      <c r="G1533" s="4" t="inlineStr">
        <is>
          <t>Money Services</t>
        </is>
      </c>
    </row>
    <row r="1534">
      <c r="A1534" s="2" t="inlineStr">
        <is>
          <t>TXN_001422</t>
        </is>
      </c>
      <c r="B1534" s="2" t="inlineStr">
        <is>
          <t>C_00029</t>
        </is>
      </c>
      <c r="C1534" s="2" t="inlineStr">
        <is>
          <t>2026-04-17</t>
        </is>
      </c>
      <c r="D1534" s="3" t="n">
        <v>1340.98</v>
      </c>
      <c r="E1534" s="2" t="inlineStr">
        <is>
          <t>Cash Deposit</t>
        </is>
      </c>
      <c r="F1534" s="2" t="inlineStr">
        <is>
          <t>US</t>
        </is>
      </c>
      <c r="G1534" s="2" t="inlineStr">
        <is>
          <t>Crypto Exchange</t>
        </is>
      </c>
    </row>
    <row r="1535">
      <c r="A1535" s="4" t="inlineStr">
        <is>
          <t>TXN_001421</t>
        </is>
      </c>
      <c r="B1535" s="4" t="inlineStr">
        <is>
          <t>C_00234</t>
        </is>
      </c>
      <c r="C1535" s="4" t="inlineStr">
        <is>
          <t>2026-04-17</t>
        </is>
      </c>
      <c r="D1535" s="5" t="n">
        <v>344.5</v>
      </c>
      <c r="E1535" s="4" t="inlineStr">
        <is>
          <t>Cash Deposit</t>
        </is>
      </c>
      <c r="F1535" s="4" t="inlineStr">
        <is>
          <t>AE</t>
        </is>
      </c>
      <c r="G1535" s="4" t="inlineStr">
        <is>
          <t>Auto</t>
        </is>
      </c>
    </row>
    <row r="1536">
      <c r="A1536" s="2" t="inlineStr">
        <is>
          <t>TXN_001420</t>
        </is>
      </c>
      <c r="B1536" s="2" t="inlineStr">
        <is>
          <t>C_00169</t>
        </is>
      </c>
      <c r="C1536" s="2" t="inlineStr">
        <is>
          <t>2026-04-17</t>
        </is>
      </c>
      <c r="D1536" s="3" t="n">
        <v>4298.38</v>
      </c>
      <c r="E1536" s="2" t="inlineStr">
        <is>
          <t>Mobile App</t>
        </is>
      </c>
      <c r="F1536" s="2" t="inlineStr">
        <is>
          <t>US</t>
        </is>
      </c>
      <c r="G1536" s="2" t="inlineStr">
        <is>
          <t>Crypto Exchange</t>
        </is>
      </c>
    </row>
    <row r="1537">
      <c r="A1537" s="4" t="inlineStr">
        <is>
          <t>TXN_001425</t>
        </is>
      </c>
      <c r="B1537" s="4" t="inlineStr">
        <is>
          <t>C_00088</t>
        </is>
      </c>
      <c r="C1537" s="4" t="inlineStr">
        <is>
          <t>2026-04-17</t>
        </is>
      </c>
      <c r="D1537" s="5" t="n">
        <v>17481.11</v>
      </c>
      <c r="E1537" s="4" t="inlineStr">
        <is>
          <t>Wire Transfer</t>
        </is>
      </c>
      <c r="F1537" s="4" t="inlineStr">
        <is>
          <t>AE</t>
        </is>
      </c>
      <c r="G1537" s="4" t="inlineStr">
        <is>
          <t>Travel</t>
        </is>
      </c>
    </row>
    <row r="1538">
      <c r="A1538" s="2" t="inlineStr">
        <is>
          <t>TXN_001437</t>
        </is>
      </c>
      <c r="B1538" s="2" t="inlineStr">
        <is>
          <t>C_00147</t>
        </is>
      </c>
      <c r="C1538" s="2" t="inlineStr">
        <is>
          <t>2026-04-18</t>
        </is>
      </c>
      <c r="D1538" s="3" t="n">
        <v>40629.82</v>
      </c>
      <c r="E1538" s="2" t="inlineStr">
        <is>
          <t>ACH</t>
        </is>
      </c>
      <c r="F1538" s="2" t="inlineStr">
        <is>
          <t>US</t>
        </is>
      </c>
      <c r="G1538" s="2" t="inlineStr">
        <is>
          <t>Money Services</t>
        </is>
      </c>
    </row>
    <row r="1539">
      <c r="A1539" s="4" t="inlineStr">
        <is>
          <t>TXN_001442</t>
        </is>
      </c>
      <c r="B1539" s="4" t="inlineStr">
        <is>
          <t>C_00278</t>
        </is>
      </c>
      <c r="C1539" s="4" t="inlineStr">
        <is>
          <t>2026-04-18</t>
        </is>
      </c>
      <c r="D1539" s="5" t="n">
        <v>719.4299999999999</v>
      </c>
      <c r="E1539" s="4" t="inlineStr">
        <is>
          <t>ACH</t>
        </is>
      </c>
      <c r="F1539" s="4" t="inlineStr">
        <is>
          <t>AE</t>
        </is>
      </c>
      <c r="G1539" s="4" t="inlineStr">
        <is>
          <t>Healthcare</t>
        </is>
      </c>
    </row>
    <row r="1540">
      <c r="A1540" s="2" t="inlineStr">
        <is>
          <t>TXN_001441</t>
        </is>
      </c>
      <c r="B1540" s="2" t="inlineStr">
        <is>
          <t>C_00183</t>
        </is>
      </c>
      <c r="C1540" s="2" t="inlineStr">
        <is>
          <t>2026-04-18</t>
        </is>
      </c>
      <c r="D1540" s="3" t="n">
        <v>4002.1</v>
      </c>
      <c r="E1540" s="2" t="inlineStr">
        <is>
          <t>Mobile App</t>
        </is>
      </c>
      <c r="F1540" s="2" t="inlineStr">
        <is>
          <t>CA</t>
        </is>
      </c>
      <c r="G1540" s="2" t="inlineStr">
        <is>
          <t>Electronics</t>
        </is>
      </c>
    </row>
    <row r="1541">
      <c r="A1541" s="4" t="inlineStr">
        <is>
          <t>TXN_001440</t>
        </is>
      </c>
      <c r="B1541" s="4" t="inlineStr">
        <is>
          <t>C_00104</t>
        </is>
      </c>
      <c r="C1541" s="4" t="inlineStr">
        <is>
          <t>2026-04-18</t>
        </is>
      </c>
      <c r="D1541" s="5" t="n">
        <v>1396.17</v>
      </c>
      <c r="E1541" s="4" t="inlineStr">
        <is>
          <t>Wire Transfer</t>
        </is>
      </c>
      <c r="F1541" s="4" t="inlineStr">
        <is>
          <t>US</t>
        </is>
      </c>
      <c r="G1541" s="4" t="inlineStr">
        <is>
          <t>Real Estate</t>
        </is>
      </c>
    </row>
    <row r="1542">
      <c r="A1542" s="2" t="inlineStr">
        <is>
          <t>TXN_001439</t>
        </is>
      </c>
      <c r="B1542" s="2" t="inlineStr">
        <is>
          <t>C_00230</t>
        </is>
      </c>
      <c r="C1542" s="2" t="inlineStr">
        <is>
          <t>2026-04-18</t>
        </is>
      </c>
      <c r="D1542" s="3" t="n">
        <v>1707.42</v>
      </c>
      <c r="E1542" s="2" t="inlineStr">
        <is>
          <t>ACH</t>
        </is>
      </c>
      <c r="F1542" s="2" t="inlineStr">
        <is>
          <t>US</t>
        </is>
      </c>
      <c r="G1542" s="2" t="inlineStr">
        <is>
          <t>Retail</t>
        </is>
      </c>
    </row>
    <row r="1543">
      <c r="A1543" s="4" t="inlineStr">
        <is>
          <t>TXN_001438</t>
        </is>
      </c>
      <c r="B1543" s="4" t="inlineStr">
        <is>
          <t>C_00036</t>
        </is>
      </c>
      <c r="C1543" s="4" t="inlineStr">
        <is>
          <t>2026-04-18</t>
        </is>
      </c>
      <c r="D1543" s="5" t="n">
        <v>2200.56</v>
      </c>
      <c r="E1543" s="4" t="inlineStr">
        <is>
          <t>ACH</t>
        </is>
      </c>
      <c r="F1543" s="4" t="inlineStr">
        <is>
          <t>RU</t>
        </is>
      </c>
      <c r="G1543" s="4" t="inlineStr">
        <is>
          <t>Auto</t>
        </is>
      </c>
    </row>
    <row r="1544">
      <c r="A1544" s="2" t="inlineStr">
        <is>
          <t>TXN_001435</t>
        </is>
      </c>
      <c r="B1544" s="2" t="inlineStr">
        <is>
          <t>C_00167</t>
        </is>
      </c>
      <c r="C1544" s="2" t="inlineStr">
        <is>
          <t>2026-04-18</t>
        </is>
      </c>
      <c r="D1544" s="3" t="n">
        <v>8489.610000000001</v>
      </c>
      <c r="E1544" s="2" t="inlineStr">
        <is>
          <t>Cash Deposit</t>
        </is>
      </c>
      <c r="F1544" s="2" t="inlineStr">
        <is>
          <t>US</t>
        </is>
      </c>
      <c r="G1544" s="2" t="inlineStr">
        <is>
          <t>Crypto Exchange</t>
        </is>
      </c>
    </row>
    <row r="1545">
      <c r="A1545" s="4" t="inlineStr">
        <is>
          <t>TXN_001443</t>
        </is>
      </c>
      <c r="B1545" s="4" t="inlineStr">
        <is>
          <t>C_00091</t>
        </is>
      </c>
      <c r="C1545" s="4" t="inlineStr">
        <is>
          <t>2026-04-18</t>
        </is>
      </c>
      <c r="D1545" s="5" t="n">
        <v>486.08</v>
      </c>
      <c r="E1545" s="4" t="inlineStr">
        <is>
          <t>Cash Deposit</t>
        </is>
      </c>
      <c r="F1545" s="4" t="inlineStr">
        <is>
          <t>RU</t>
        </is>
      </c>
      <c r="G1545" s="4" t="inlineStr">
        <is>
          <t>Auto</t>
        </is>
      </c>
    </row>
    <row r="1546">
      <c r="A1546" s="2" t="inlineStr">
        <is>
          <t>TXN_001434</t>
        </is>
      </c>
      <c r="B1546" s="2" t="inlineStr">
        <is>
          <t>C_ORPHAN_001</t>
        </is>
      </c>
      <c r="C1546" s="2" t="inlineStr">
        <is>
          <t>2026-04-18</t>
        </is>
      </c>
      <c r="D1546" s="3" t="n">
        <v>2110.86</v>
      </c>
      <c r="E1546" s="2" t="inlineStr">
        <is>
          <t>Cash Deposit</t>
        </is>
      </c>
      <c r="F1546" s="2" t="inlineStr">
        <is>
          <t>US</t>
        </is>
      </c>
      <c r="G1546" s="2" t="inlineStr">
        <is>
          <t>Healthcare</t>
        </is>
      </c>
    </row>
    <row r="1547">
      <c r="A1547" s="4" t="inlineStr">
        <is>
          <t>TXN_001433</t>
        </is>
      </c>
      <c r="B1547" s="4" t="inlineStr">
        <is>
          <t>C_00025</t>
        </is>
      </c>
      <c r="C1547" s="4" t="inlineStr">
        <is>
          <t>2026-04-18</t>
        </is>
      </c>
      <c r="D1547" s="5" t="n">
        <v>1228.75</v>
      </c>
      <c r="E1547" s="4" t="inlineStr">
        <is>
          <t>ACH</t>
        </is>
      </c>
      <c r="F1547" s="4" t="inlineStr">
        <is>
          <t>US</t>
        </is>
      </c>
      <c r="G1547" s="4" t="inlineStr">
        <is>
          <t>Travel</t>
        </is>
      </c>
    </row>
    <row r="1548">
      <c r="A1548" s="2" t="inlineStr">
        <is>
          <t>TXN_001445</t>
        </is>
      </c>
      <c r="B1548" s="2" t="inlineStr">
        <is>
          <t>C_00287</t>
        </is>
      </c>
      <c r="C1548" s="2" t="inlineStr">
        <is>
          <t>2026-04-18</t>
        </is>
      </c>
      <c r="D1548" s="3" t="n">
        <v>8113.88</v>
      </c>
      <c r="E1548" s="2" t="inlineStr">
        <is>
          <t>Cash Deposit</t>
        </is>
      </c>
      <c r="F1548" s="2" t="inlineStr">
        <is>
          <t>US</t>
        </is>
      </c>
      <c r="G1548" s="2" t="inlineStr">
        <is>
          <t>Auto</t>
        </is>
      </c>
    </row>
    <row r="1549">
      <c r="A1549" s="4" t="inlineStr">
        <is>
          <t>TXN_001436</t>
        </is>
      </c>
      <c r="B1549" s="4" t="inlineStr">
        <is>
          <t>C_00191</t>
        </is>
      </c>
      <c r="C1549" s="4" t="inlineStr">
        <is>
          <t>2026-04-18</t>
        </is>
      </c>
      <c r="D1549" s="5" t="n">
        <v>1985.36</v>
      </c>
      <c r="E1549" s="4" t="inlineStr">
        <is>
          <t>Wire Transfer</t>
        </is>
      </c>
      <c r="F1549" s="4" t="inlineStr">
        <is>
          <t>CN</t>
        </is>
      </c>
      <c r="G1549" s="4" t="inlineStr">
        <is>
          <t>Electronics</t>
        </is>
      </c>
    </row>
    <row r="1550">
      <c r="A1550" s="2" t="inlineStr">
        <is>
          <t>TXN_001444</t>
        </is>
      </c>
      <c r="B1550" s="2" t="inlineStr">
        <is>
          <t>C_00252</t>
        </is>
      </c>
      <c r="C1550" s="2" t="inlineStr">
        <is>
          <t>2026-04-18</t>
        </is>
      </c>
      <c r="D1550" s="3" t="n">
        <v>1721.76</v>
      </c>
      <c r="E1550" s="2" t="inlineStr">
        <is>
          <t>Mobile App</t>
        </is>
      </c>
      <c r="F1550" s="2" t="inlineStr">
        <is>
          <t>RU</t>
        </is>
      </c>
      <c r="G1550" s="2" t="inlineStr">
        <is>
          <t>Money Services</t>
        </is>
      </c>
    </row>
    <row r="1551">
      <c r="A1551" s="4" t="inlineStr">
        <is>
          <t>TXN_001451</t>
        </is>
      </c>
      <c r="B1551" s="4" t="inlineStr">
        <is>
          <t>C_00268</t>
        </is>
      </c>
      <c r="C1551" s="4" t="inlineStr">
        <is>
          <t>2026-04-19</t>
        </is>
      </c>
      <c r="D1551" s="5" t="n">
        <v>5449.59</v>
      </c>
      <c r="E1551" s="4" t="inlineStr">
        <is>
          <t>Mobile App</t>
        </is>
      </c>
      <c r="F1551" s="4" t="inlineStr">
        <is>
          <t>US</t>
        </is>
      </c>
      <c r="G1551" s="4" t="inlineStr">
        <is>
          <t>Travel</t>
        </is>
      </c>
    </row>
    <row r="1552">
      <c r="A1552" s="2" t="inlineStr">
        <is>
          <t>TXN_001449</t>
        </is>
      </c>
      <c r="B1552" s="2" t="inlineStr">
        <is>
          <t>C_00110</t>
        </is>
      </c>
      <c r="C1552" s="2" t="inlineStr">
        <is>
          <t>2026-04-19</t>
        </is>
      </c>
      <c r="D1552" s="3" t="n">
        <v>2972.94</v>
      </c>
      <c r="E1552" s="2" t="inlineStr">
        <is>
          <t>ACH</t>
        </is>
      </c>
      <c r="F1552" s="2" t="inlineStr">
        <is>
          <t>US</t>
        </is>
      </c>
      <c r="G1552" s="2" t="inlineStr">
        <is>
          <t>Auto</t>
        </is>
      </c>
    </row>
    <row r="1553">
      <c r="A1553" s="4" t="inlineStr">
        <is>
          <t>TXN_001448</t>
        </is>
      </c>
      <c r="B1553" s="4" t="inlineStr">
        <is>
          <t>C_00060</t>
        </is>
      </c>
      <c r="C1553" s="4" t="inlineStr">
        <is>
          <t>2026-04-19</t>
        </is>
      </c>
      <c r="D1553" s="5" t="n">
        <v>178.93</v>
      </c>
      <c r="E1553" s="4" t="inlineStr">
        <is>
          <t>Mobile App</t>
        </is>
      </c>
      <c r="F1553" s="4" t="inlineStr">
        <is>
          <t>US</t>
        </is>
      </c>
      <c r="G1553" s="4" t="inlineStr">
        <is>
          <t>Auto</t>
        </is>
      </c>
    </row>
    <row r="1554">
      <c r="A1554" s="2" t="inlineStr">
        <is>
          <t>TXN_001454</t>
        </is>
      </c>
      <c r="B1554" s="2" t="inlineStr">
        <is>
          <t>C_00270</t>
        </is>
      </c>
      <c r="C1554" s="2" t="inlineStr">
        <is>
          <t>2026-04-19</t>
        </is>
      </c>
      <c r="D1554" s="3" t="n">
        <v>1364.93</v>
      </c>
      <c r="E1554" s="2" t="inlineStr">
        <is>
          <t>Cash Deposit</t>
        </is>
      </c>
      <c r="F1554" s="2" t="inlineStr">
        <is>
          <t>MX</t>
        </is>
      </c>
      <c r="G1554" s="2" t="inlineStr">
        <is>
          <t>Electronics</t>
        </is>
      </c>
    </row>
    <row r="1555">
      <c r="A1555" s="4" t="inlineStr">
        <is>
          <t>TXN_001446</t>
        </is>
      </c>
      <c r="B1555" s="4" t="inlineStr">
        <is>
          <t>C_00155</t>
        </is>
      </c>
      <c r="C1555" s="4" t="inlineStr">
        <is>
          <t>2026-04-19</t>
        </is>
      </c>
      <c r="D1555" s="5" t="n">
        <v>924.1900000000001</v>
      </c>
      <c r="E1555" s="4" t="inlineStr">
        <is>
          <t>Cash Deposit</t>
        </is>
      </c>
      <c r="F1555" s="4" t="inlineStr">
        <is>
          <t>US</t>
        </is>
      </c>
      <c r="G1555" s="4" t="inlineStr">
        <is>
          <t>Food &amp; Beverage</t>
        </is>
      </c>
    </row>
    <row r="1556">
      <c r="A1556" s="2" t="inlineStr">
        <is>
          <t>TXN_001452</t>
        </is>
      </c>
      <c r="B1556" s="2" t="inlineStr">
        <is>
          <t>C_00155</t>
        </is>
      </c>
      <c r="C1556" s="2" t="inlineStr">
        <is>
          <t>2026-04-19</t>
        </is>
      </c>
      <c r="D1556" s="3" t="n">
        <v>1275.95</v>
      </c>
      <c r="E1556" s="2" t="inlineStr">
        <is>
          <t>Wire Transfer</t>
        </is>
      </c>
      <c r="F1556" s="2" t="inlineStr">
        <is>
          <t>NG</t>
        </is>
      </c>
      <c r="G1556" s="2" t="inlineStr">
        <is>
          <t>Electronics</t>
        </is>
      </c>
    </row>
    <row r="1557">
      <c r="A1557" s="4" t="inlineStr">
        <is>
          <t>TXN_001447</t>
        </is>
      </c>
      <c r="B1557" s="4" t="inlineStr">
        <is>
          <t>C_00299</t>
        </is>
      </c>
      <c r="C1557" s="4" t="inlineStr">
        <is>
          <t>2026-04-19</t>
        </is>
      </c>
      <c r="D1557" s="5" t="n">
        <v>826.92</v>
      </c>
      <c r="E1557" s="4" t="inlineStr">
        <is>
          <t>Mobile App</t>
        </is>
      </c>
      <c r="F1557" s="4" t="inlineStr">
        <is>
          <t>US</t>
        </is>
      </c>
      <c r="G1557" s="4" t="inlineStr">
        <is>
          <t>Jewelry</t>
        </is>
      </c>
    </row>
    <row r="1558">
      <c r="A1558" s="2" t="inlineStr">
        <is>
          <t>TXN_001453</t>
        </is>
      </c>
      <c r="B1558" s="2" t="inlineStr">
        <is>
          <t>C_00104</t>
        </is>
      </c>
      <c r="C1558" s="2" t="inlineStr">
        <is>
          <t>2026-04-19</t>
        </is>
      </c>
      <c r="D1558" s="3" t="n">
        <v>317.28</v>
      </c>
      <c r="E1558" s="2" t="inlineStr">
        <is>
          <t>Card</t>
        </is>
      </c>
      <c r="F1558" s="2" t="inlineStr">
        <is>
          <t>US</t>
        </is>
      </c>
      <c r="G1558" s="2" t="inlineStr">
        <is>
          <t>Food &amp; Beverage</t>
        </is>
      </c>
    </row>
    <row r="1559">
      <c r="A1559" s="4" t="inlineStr">
        <is>
          <t>TXN_001450</t>
        </is>
      </c>
      <c r="B1559" s="4" t="inlineStr">
        <is>
          <t>C_00149</t>
        </is>
      </c>
      <c r="C1559" s="4" t="inlineStr">
        <is>
          <t>2026-04-19</t>
        </is>
      </c>
      <c r="D1559" s="5" t="n">
        <v>6543.87</v>
      </c>
      <c r="E1559" s="4" t="inlineStr">
        <is>
          <t>Cash Deposit</t>
        </is>
      </c>
      <c r="F1559" s="4" t="inlineStr">
        <is>
          <t>AE</t>
        </is>
      </c>
      <c r="G1559" s="4" t="inlineStr">
        <is>
          <t>Retail</t>
        </is>
      </c>
    </row>
    <row r="1560">
      <c r="A1560" s="2" t="inlineStr">
        <is>
          <t>TXN_001455</t>
        </is>
      </c>
      <c r="B1560" s="2" t="inlineStr">
        <is>
          <t>C_00141</t>
        </is>
      </c>
      <c r="C1560" s="2" t="inlineStr">
        <is>
          <t>2026-04-19</t>
        </is>
      </c>
      <c r="D1560" s="3" t="n">
        <v>4085.84</v>
      </c>
      <c r="E1560" s="2" t="inlineStr">
        <is>
          <t>Wire Transfer</t>
        </is>
      </c>
      <c r="F1560" s="2" t="inlineStr">
        <is>
          <t>CN</t>
        </is>
      </c>
      <c r="G1560" s="2" t="inlineStr">
        <is>
          <t>Auto</t>
        </is>
      </c>
    </row>
    <row r="1561">
      <c r="A1561" s="4" t="inlineStr">
        <is>
          <t>TXN_001456</t>
        </is>
      </c>
      <c r="B1561" s="4" t="inlineStr">
        <is>
          <t>C_00043</t>
        </is>
      </c>
      <c r="C1561" s="4" t="inlineStr">
        <is>
          <t>2026-04-19</t>
        </is>
      </c>
      <c r="D1561" s="5" t="n">
        <v>1743.22</v>
      </c>
      <c r="E1561" s="4" t="inlineStr">
        <is>
          <t>Card</t>
        </is>
      </c>
      <c r="F1561" s="4" t="inlineStr">
        <is>
          <t>US</t>
        </is>
      </c>
      <c r="G1561" s="4" t="inlineStr">
        <is>
          <t>Auto</t>
        </is>
      </c>
    </row>
    <row r="1562">
      <c r="A1562" s="2" t="inlineStr">
        <is>
          <t>TXN_001457</t>
        </is>
      </c>
      <c r="B1562" s="2" t="inlineStr">
        <is>
          <t>C_00134</t>
        </is>
      </c>
      <c r="C1562" s="2" t="inlineStr">
        <is>
          <t>2026-04-19</t>
        </is>
      </c>
      <c r="D1562" s="3" t="n">
        <v>1820.1</v>
      </c>
      <c r="E1562" s="2" t="inlineStr">
        <is>
          <t>Mobile App</t>
        </is>
      </c>
      <c r="F1562" s="2" t="inlineStr">
        <is>
          <t>US</t>
        </is>
      </c>
      <c r="G1562" s="2" t="inlineStr">
        <is>
          <t>Jewelry</t>
        </is>
      </c>
    </row>
    <row r="1563">
      <c r="A1563" s="4" t="inlineStr">
        <is>
          <t>TXN_001465</t>
        </is>
      </c>
      <c r="B1563" s="4" t="inlineStr">
        <is>
          <t>C_ORPHAN_009</t>
        </is>
      </c>
      <c r="C1563" s="4" t="inlineStr">
        <is>
          <t>2026-04-20</t>
        </is>
      </c>
      <c r="D1563" s="5" t="n">
        <v>1525.29</v>
      </c>
      <c r="E1563" s="4" t="inlineStr">
        <is>
          <t>ACH</t>
        </is>
      </c>
      <c r="F1563" s="4" t="inlineStr">
        <is>
          <t>NG</t>
        </is>
      </c>
      <c r="G1563" s="4" t="inlineStr">
        <is>
          <t>Healthcare</t>
        </is>
      </c>
    </row>
    <row r="1564">
      <c r="A1564" s="2" t="inlineStr">
        <is>
          <t>TXN_001470</t>
        </is>
      </c>
      <c r="B1564" s="2" t="inlineStr">
        <is>
          <t>C_00045</t>
        </is>
      </c>
      <c r="C1564" s="2" t="inlineStr">
        <is>
          <t>2026-04-20</t>
        </is>
      </c>
      <c r="D1564" s="3" t="n">
        <v>4288.93</v>
      </c>
      <c r="E1564" s="2" t="inlineStr">
        <is>
          <t>Cash Deposit</t>
        </is>
      </c>
      <c r="F1564" s="2" t="inlineStr">
        <is>
          <t>US</t>
        </is>
      </c>
      <c r="G1564" s="2" t="inlineStr">
        <is>
          <t>Healthcare</t>
        </is>
      </c>
    </row>
    <row r="1565">
      <c r="A1565" s="4" t="inlineStr">
        <is>
          <t>TXN_001469</t>
        </is>
      </c>
      <c r="B1565" s="4" t="inlineStr">
        <is>
          <t>C_00121</t>
        </is>
      </c>
      <c r="C1565" s="4" t="inlineStr">
        <is>
          <t>2026-04-20</t>
        </is>
      </c>
      <c r="D1565" s="5" t="n">
        <v>5218.8</v>
      </c>
      <c r="E1565" s="4" t="inlineStr">
        <is>
          <t>Cash Deposit</t>
        </is>
      </c>
      <c r="F1565" s="4" t="inlineStr">
        <is>
          <t>US</t>
        </is>
      </c>
      <c r="G1565" s="4" t="inlineStr">
        <is>
          <t>Real Estate</t>
        </is>
      </c>
    </row>
    <row r="1566">
      <c r="A1566" s="2" t="inlineStr">
        <is>
          <t>TXN_001468</t>
        </is>
      </c>
      <c r="B1566" s="2" t="inlineStr">
        <is>
          <t>C_00289</t>
        </is>
      </c>
      <c r="C1566" s="2" t="inlineStr">
        <is>
          <t>2026-04-20</t>
        </is>
      </c>
      <c r="D1566" s="3" t="n">
        <v>1363.14</v>
      </c>
      <c r="E1566" s="2" t="inlineStr">
        <is>
          <t>Card</t>
        </is>
      </c>
      <c r="F1566" s="2" t="inlineStr">
        <is>
          <t>US</t>
        </is>
      </c>
      <c r="G1566" s="2" t="inlineStr">
        <is>
          <t>Crypto Exchange</t>
        </is>
      </c>
    </row>
    <row r="1567">
      <c r="A1567" s="4" t="inlineStr">
        <is>
          <t>TXN_001467</t>
        </is>
      </c>
      <c r="B1567" s="4" t="inlineStr">
        <is>
          <t>C_00272</t>
        </is>
      </c>
      <c r="C1567" s="4" t="inlineStr">
        <is>
          <t>2026-04-20</t>
        </is>
      </c>
      <c r="D1567" s="5" t="n">
        <v>4645.19</v>
      </c>
      <c r="E1567" s="4" t="inlineStr">
        <is>
          <t>ACH</t>
        </is>
      </c>
      <c r="F1567" s="4" t="inlineStr">
        <is>
          <t>US</t>
        </is>
      </c>
      <c r="G1567" s="4" t="inlineStr">
        <is>
          <t>Electronics</t>
        </is>
      </c>
    </row>
    <row r="1568">
      <c r="A1568" s="2" t="inlineStr">
        <is>
          <t>TXN_001466</t>
        </is>
      </c>
      <c r="B1568" s="2" t="inlineStr">
        <is>
          <t>C_00256</t>
        </is>
      </c>
      <c r="C1568" s="2" t="inlineStr">
        <is>
          <t>2026-04-20</t>
        </is>
      </c>
      <c r="D1568" s="3" t="n">
        <v>831.79</v>
      </c>
      <c r="E1568" s="2" t="inlineStr">
        <is>
          <t>Wire Transfer</t>
        </is>
      </c>
      <c r="F1568" s="2" t="inlineStr">
        <is>
          <t>US</t>
        </is>
      </c>
      <c r="G1568" s="2" t="inlineStr">
        <is>
          <t>Auto</t>
        </is>
      </c>
    </row>
    <row r="1569">
      <c r="A1569" s="4" t="inlineStr">
        <is>
          <t>TXN_001464</t>
        </is>
      </c>
      <c r="B1569" s="4" t="inlineStr">
        <is>
          <t>C_00045</t>
        </is>
      </c>
      <c r="C1569" s="4" t="inlineStr">
        <is>
          <t>2026-04-20</t>
        </is>
      </c>
      <c r="D1569" s="5" t="n">
        <v>174.37</v>
      </c>
      <c r="E1569" s="4" t="inlineStr">
        <is>
          <t>Cash Deposit</t>
        </is>
      </c>
      <c r="F1569" s="4" t="inlineStr">
        <is>
          <t>US</t>
        </is>
      </c>
      <c r="G1569" s="4" t="inlineStr">
        <is>
          <t>Crypto Exchange</t>
        </is>
      </c>
    </row>
    <row r="1570">
      <c r="A1570" s="2" t="inlineStr">
        <is>
          <t>TXN_001463</t>
        </is>
      </c>
      <c r="B1570" s="2" t="inlineStr">
        <is>
          <t>C_00234</t>
        </is>
      </c>
      <c r="C1570" s="2" t="inlineStr">
        <is>
          <t>2026-04-20</t>
        </is>
      </c>
      <c r="D1570" s="3" t="n">
        <v>3650.89</v>
      </c>
      <c r="E1570" s="2" t="inlineStr">
        <is>
          <t>Wire Transfer</t>
        </is>
      </c>
      <c r="F1570" s="2" t="inlineStr">
        <is>
          <t>US</t>
        </is>
      </c>
      <c r="G1570" s="2" t="inlineStr">
        <is>
          <t>Retail</t>
        </is>
      </c>
    </row>
    <row r="1571">
      <c r="A1571" s="4" t="inlineStr">
        <is>
          <t>TXN_001462</t>
        </is>
      </c>
      <c r="B1571" s="4" t="inlineStr">
        <is>
          <t>C_00131</t>
        </is>
      </c>
      <c r="C1571" s="4" t="inlineStr">
        <is>
          <t>2026-04-20</t>
        </is>
      </c>
      <c r="D1571" s="5" t="n">
        <v>10775.05</v>
      </c>
      <c r="E1571" s="4" t="inlineStr">
        <is>
          <t>ACH</t>
        </is>
      </c>
      <c r="F1571" s="4" t="inlineStr">
        <is>
          <t>US</t>
        </is>
      </c>
      <c r="G1571" s="4" t="inlineStr">
        <is>
          <t>Real Estate</t>
        </is>
      </c>
    </row>
    <row r="1572">
      <c r="A1572" s="2" t="inlineStr">
        <is>
          <t>TXN_001461</t>
        </is>
      </c>
      <c r="B1572" s="2" t="inlineStr">
        <is>
          <t>C_00192</t>
        </is>
      </c>
      <c r="C1572" s="2" t="inlineStr">
        <is>
          <t>2026-04-20</t>
        </is>
      </c>
      <c r="D1572" s="3" t="n">
        <v>1157.87</v>
      </c>
      <c r="E1572" s="2" t="inlineStr">
        <is>
          <t>Mobile App</t>
        </is>
      </c>
      <c r="F1572" s="2" t="inlineStr">
        <is>
          <t>US</t>
        </is>
      </c>
      <c r="G1572" s="2" t="inlineStr">
        <is>
          <t>Electronics</t>
        </is>
      </c>
    </row>
    <row r="1573">
      <c r="A1573" s="4" t="inlineStr">
        <is>
          <t>TXN_001460</t>
        </is>
      </c>
      <c r="B1573" s="4" t="inlineStr">
        <is>
          <t>C_00173</t>
        </is>
      </c>
      <c r="C1573" s="4" t="inlineStr">
        <is>
          <t>2026-04-20</t>
        </is>
      </c>
      <c r="D1573" s="5" t="n">
        <v>8216.030000000001</v>
      </c>
      <c r="E1573" s="4" t="inlineStr">
        <is>
          <t>Cash Deposit</t>
        </is>
      </c>
      <c r="F1573" s="4" t="inlineStr">
        <is>
          <t>US</t>
        </is>
      </c>
      <c r="G1573" s="4" t="inlineStr">
        <is>
          <t>Money Services</t>
        </is>
      </c>
    </row>
    <row r="1574">
      <c r="A1574" s="2" t="inlineStr">
        <is>
          <t>TXN_001459</t>
        </is>
      </c>
      <c r="B1574" s="2" t="inlineStr">
        <is>
          <t>C_00091</t>
        </is>
      </c>
      <c r="C1574" s="2" t="inlineStr">
        <is>
          <t>2026-04-20</t>
        </is>
      </c>
      <c r="D1574" s="3" t="n">
        <v>1791.98</v>
      </c>
      <c r="E1574" s="2" t="inlineStr">
        <is>
          <t>ACH</t>
        </is>
      </c>
      <c r="F1574" s="2" t="inlineStr">
        <is>
          <t>US</t>
        </is>
      </c>
      <c r="G1574" s="2" t="inlineStr">
        <is>
          <t>Electronics</t>
        </is>
      </c>
    </row>
    <row r="1575">
      <c r="A1575" s="4" t="inlineStr">
        <is>
          <t>TXN_001458</t>
        </is>
      </c>
      <c r="B1575" s="4" t="inlineStr">
        <is>
          <t>C_00040</t>
        </is>
      </c>
      <c r="C1575" s="4" t="inlineStr">
        <is>
          <t>2026-04-20</t>
        </is>
      </c>
      <c r="D1575" s="5" t="n">
        <v>3842.12</v>
      </c>
      <c r="E1575" s="4" t="inlineStr">
        <is>
          <t>Wire Transfer</t>
        </is>
      </c>
      <c r="F1575" s="4" t="inlineStr">
        <is>
          <t>US</t>
        </is>
      </c>
      <c r="G1575" s="4" t="inlineStr">
        <is>
          <t>Real Estate</t>
        </is>
      </c>
    </row>
    <row r="1576">
      <c r="A1576" s="2" t="inlineStr">
        <is>
          <t>TXN_001480</t>
        </is>
      </c>
      <c r="B1576" s="2" t="inlineStr">
        <is>
          <t>C_00224</t>
        </is>
      </c>
      <c r="C1576" s="2" t="inlineStr">
        <is>
          <t>2026-04-21</t>
        </is>
      </c>
      <c r="D1576" s="3" t="n">
        <v>703.77</v>
      </c>
      <c r="E1576" s="2" t="inlineStr">
        <is>
          <t>Cash Deposit</t>
        </is>
      </c>
      <c r="F1576" s="2" t="inlineStr">
        <is>
          <t>AE</t>
        </is>
      </c>
      <c r="G1576" s="2" t="inlineStr">
        <is>
          <t>Crypto Exchange</t>
        </is>
      </c>
    </row>
    <row r="1577">
      <c r="A1577" s="4" t="inlineStr">
        <is>
          <t>TXN_001481</t>
        </is>
      </c>
      <c r="B1577" s="4" t="inlineStr">
        <is>
          <t>C_00055</t>
        </is>
      </c>
      <c r="C1577" s="4" t="inlineStr">
        <is>
          <t>2026-04-21</t>
        </is>
      </c>
      <c r="D1577" s="5" t="n">
        <v>4833.31</v>
      </c>
      <c r="E1577" s="4" t="inlineStr">
        <is>
          <t>Wire Transfer</t>
        </is>
      </c>
      <c r="F1577" s="4" t="inlineStr">
        <is>
          <t>US</t>
        </is>
      </c>
      <c r="G1577" s="4" t="inlineStr">
        <is>
          <t>Crypto Exchange</t>
        </is>
      </c>
    </row>
    <row r="1578">
      <c r="A1578" s="2" t="inlineStr">
        <is>
          <t>TXN_001482</t>
        </is>
      </c>
      <c r="B1578" s="2" t="inlineStr">
        <is>
          <t>C_00110</t>
        </is>
      </c>
      <c r="C1578" s="2" t="inlineStr">
        <is>
          <t>2026-04-21</t>
        </is>
      </c>
      <c r="D1578" s="3" t="n">
        <v>3003.83</v>
      </c>
      <c r="E1578" s="2" t="inlineStr">
        <is>
          <t>Cash Deposit</t>
        </is>
      </c>
      <c r="F1578" s="2" t="inlineStr">
        <is>
          <t>AE</t>
        </is>
      </c>
      <c r="G1578" s="2" t="inlineStr">
        <is>
          <t>Electronics</t>
        </is>
      </c>
    </row>
    <row r="1579">
      <c r="A1579" s="4" t="inlineStr">
        <is>
          <t>TXN_001476</t>
        </is>
      </c>
      <c r="B1579" s="4" t="inlineStr">
        <is>
          <t>C_00053</t>
        </is>
      </c>
      <c r="C1579" s="4" t="inlineStr">
        <is>
          <t>2026-04-21</t>
        </is>
      </c>
      <c r="D1579" s="5" t="n">
        <v>2715.56</v>
      </c>
      <c r="E1579" s="4" t="inlineStr">
        <is>
          <t>Cash Deposit</t>
        </is>
      </c>
      <c r="F1579" s="4" t="inlineStr">
        <is>
          <t>CA</t>
        </is>
      </c>
      <c r="G1579" s="4" t="inlineStr">
        <is>
          <t>Jewelry</t>
        </is>
      </c>
    </row>
    <row r="1580">
      <c r="A1580" s="2" t="inlineStr">
        <is>
          <t>TXN_001484</t>
        </is>
      </c>
      <c r="B1580" s="2" t="inlineStr">
        <is>
          <t>C_00231</t>
        </is>
      </c>
      <c r="C1580" s="2" t="inlineStr">
        <is>
          <t>2026-04-21</t>
        </is>
      </c>
      <c r="D1580" s="3" t="n">
        <v>70.27</v>
      </c>
      <c r="E1580" s="2" t="inlineStr">
        <is>
          <t>Cash Deposit</t>
        </is>
      </c>
      <c r="F1580" s="2" t="inlineStr">
        <is>
          <t>US</t>
        </is>
      </c>
      <c r="G1580" s="2" t="inlineStr">
        <is>
          <t>Travel</t>
        </is>
      </c>
    </row>
    <row r="1581">
      <c r="A1581" s="4" t="inlineStr">
        <is>
          <t>TXN_001479</t>
        </is>
      </c>
      <c r="B1581" s="4" t="inlineStr">
        <is>
          <t>C_00233</t>
        </is>
      </c>
      <c r="C1581" s="4" t="inlineStr">
        <is>
          <t>2026-04-21</t>
        </is>
      </c>
      <c r="D1581" s="5" t="n">
        <v>915.62</v>
      </c>
      <c r="E1581" s="4" t="inlineStr">
        <is>
          <t>Wire Transfer</t>
        </is>
      </c>
      <c r="F1581" s="4" t="inlineStr">
        <is>
          <t>US</t>
        </is>
      </c>
      <c r="G1581" s="4" t="inlineStr">
        <is>
          <t>Real Estate</t>
        </is>
      </c>
    </row>
    <row r="1582">
      <c r="A1582" s="2" t="inlineStr">
        <is>
          <t>TXN_001483</t>
        </is>
      </c>
      <c r="B1582" s="2" t="inlineStr">
        <is>
          <t>C_00226</t>
        </is>
      </c>
      <c r="C1582" s="2" t="inlineStr">
        <is>
          <t>2026-04-21</t>
        </is>
      </c>
      <c r="D1582" s="3" t="n">
        <v>6541.74</v>
      </c>
      <c r="E1582" s="2" t="inlineStr">
        <is>
          <t>Wire Transfer</t>
        </is>
      </c>
      <c r="F1582" s="2" t="inlineStr">
        <is>
          <t>RU</t>
        </is>
      </c>
      <c r="G1582" s="2" t="inlineStr">
        <is>
          <t>Crypto Exchange</t>
        </is>
      </c>
    </row>
    <row r="1583">
      <c r="A1583" s="4" t="inlineStr">
        <is>
          <t>TXN_001478</t>
        </is>
      </c>
      <c r="B1583" s="4" t="inlineStr">
        <is>
          <t>C_00234</t>
        </is>
      </c>
      <c r="C1583" s="4" t="inlineStr">
        <is>
          <t>2026-04-21</t>
        </is>
      </c>
      <c r="D1583" s="5" t="n">
        <v>4436.42</v>
      </c>
      <c r="E1583" s="4" t="inlineStr">
        <is>
          <t>Cash Deposit</t>
        </is>
      </c>
      <c r="F1583" s="4" t="inlineStr">
        <is>
          <t>RU</t>
        </is>
      </c>
      <c r="G1583" s="4" t="inlineStr">
        <is>
          <t>Jewelry</t>
        </is>
      </c>
    </row>
    <row r="1584">
      <c r="A1584" s="2" t="inlineStr">
        <is>
          <t>TXN_001471</t>
        </is>
      </c>
      <c r="B1584" s="2" t="inlineStr">
        <is>
          <t>C_00036</t>
        </is>
      </c>
      <c r="C1584" s="2" t="inlineStr">
        <is>
          <t>2026-04-21</t>
        </is>
      </c>
      <c r="D1584" s="3" t="n">
        <v>90.02</v>
      </c>
      <c r="E1584" s="2" t="inlineStr">
        <is>
          <t>Cash Deposit</t>
        </is>
      </c>
      <c r="F1584" s="2" t="inlineStr">
        <is>
          <t>CA</t>
        </is>
      </c>
      <c r="G1584" s="2" t="inlineStr">
        <is>
          <t>Money Services</t>
        </is>
      </c>
    </row>
    <row r="1585">
      <c r="A1585" s="4" t="inlineStr">
        <is>
          <t>TXN_001475</t>
        </is>
      </c>
      <c r="B1585" s="4" t="inlineStr">
        <is>
          <t>C_00061</t>
        </is>
      </c>
      <c r="C1585" s="4" t="inlineStr">
        <is>
          <t>2026-04-21</t>
        </is>
      </c>
      <c r="D1585" s="5" t="n">
        <v>3332.84</v>
      </c>
      <c r="E1585" s="4" t="inlineStr">
        <is>
          <t>Card</t>
        </is>
      </c>
      <c r="F1585" s="4" t="inlineStr">
        <is>
          <t>CA</t>
        </is>
      </c>
      <c r="G1585" s="4" t="inlineStr">
        <is>
          <t>Money Services</t>
        </is>
      </c>
    </row>
    <row r="1586">
      <c r="A1586" s="2" t="inlineStr">
        <is>
          <t>TXN_001474</t>
        </is>
      </c>
      <c r="B1586" s="2" t="inlineStr">
        <is>
          <t>C_00088</t>
        </is>
      </c>
      <c r="C1586" s="2" t="inlineStr">
        <is>
          <t>2026-04-21</t>
        </is>
      </c>
      <c r="D1586" s="3" t="n">
        <v>9923.76</v>
      </c>
      <c r="E1586" s="2" t="inlineStr">
        <is>
          <t>Mobile App</t>
        </is>
      </c>
      <c r="F1586" s="2" t="inlineStr">
        <is>
          <t>US</t>
        </is>
      </c>
      <c r="G1586" s="2" t="inlineStr">
        <is>
          <t>Money Services</t>
        </is>
      </c>
    </row>
    <row r="1587">
      <c r="A1587" s="4" t="inlineStr">
        <is>
          <t>TXN_001473</t>
        </is>
      </c>
      <c r="B1587" s="4" t="inlineStr">
        <is>
          <t>C_00044</t>
        </is>
      </c>
      <c r="C1587" s="4" t="inlineStr">
        <is>
          <t>2026-04-21</t>
        </is>
      </c>
      <c r="D1587" s="5" t="n">
        <v>6802.33</v>
      </c>
      <c r="E1587" s="4" t="inlineStr">
        <is>
          <t>Cash Deposit</t>
        </is>
      </c>
      <c r="F1587" s="4" t="inlineStr">
        <is>
          <t>CN</t>
        </is>
      </c>
      <c r="G1587" s="4" t="inlineStr">
        <is>
          <t>Money Services</t>
        </is>
      </c>
    </row>
    <row r="1588">
      <c r="A1588" s="2" t="inlineStr">
        <is>
          <t>TXN_001472</t>
        </is>
      </c>
      <c r="B1588" s="2" t="inlineStr">
        <is>
          <t>C_00040</t>
        </is>
      </c>
      <c r="C1588" s="2" t="inlineStr">
        <is>
          <t>2026-04-21</t>
        </is>
      </c>
      <c r="D1588" s="3" t="n">
        <v>13636.4</v>
      </c>
      <c r="E1588" s="2" t="inlineStr">
        <is>
          <t>ACH</t>
        </is>
      </c>
      <c r="F1588" s="2" t="inlineStr">
        <is>
          <t>US</t>
        </is>
      </c>
      <c r="G1588" s="2" t="inlineStr">
        <is>
          <t>Retail</t>
        </is>
      </c>
    </row>
    <row r="1589">
      <c r="A1589" s="4" t="inlineStr">
        <is>
          <t>TXN_001477</t>
        </is>
      </c>
      <c r="B1589" s="4" t="inlineStr">
        <is>
          <t>C_00103</t>
        </is>
      </c>
      <c r="C1589" s="4" t="inlineStr">
        <is>
          <t>2026-04-21</t>
        </is>
      </c>
      <c r="D1589" s="5" t="n">
        <v>1984.59</v>
      </c>
      <c r="E1589" s="4" t="inlineStr">
        <is>
          <t>Cash Deposit</t>
        </is>
      </c>
      <c r="F1589" s="4" t="inlineStr">
        <is>
          <t>US</t>
        </is>
      </c>
      <c r="G1589" s="4" t="inlineStr">
        <is>
          <t>Auto</t>
        </is>
      </c>
    </row>
    <row r="1590">
      <c r="A1590" s="2" t="inlineStr">
        <is>
          <t>TXN_001494</t>
        </is>
      </c>
      <c r="B1590" s="2" t="inlineStr">
        <is>
          <t>C_00060</t>
        </is>
      </c>
      <c r="C1590" s="2" t="inlineStr">
        <is>
          <t>2026-04-22</t>
        </is>
      </c>
      <c r="D1590" s="3" t="n">
        <v>1805.85</v>
      </c>
      <c r="E1590" s="2" t="inlineStr">
        <is>
          <t>ACH</t>
        </is>
      </c>
      <c r="F1590" s="2" t="inlineStr">
        <is>
          <t>US</t>
        </is>
      </c>
      <c r="G1590" s="2" t="inlineStr">
        <is>
          <t>Retail</t>
        </is>
      </c>
    </row>
    <row r="1591">
      <c r="A1591" s="4" t="inlineStr">
        <is>
          <t>TXN_001490</t>
        </is>
      </c>
      <c r="B1591" s="4" t="inlineStr">
        <is>
          <t>C_00188</t>
        </is>
      </c>
      <c r="C1591" s="4" t="inlineStr">
        <is>
          <t>2026-04-22</t>
        </is>
      </c>
      <c r="D1591" s="5" t="n">
        <v>16070.8</v>
      </c>
      <c r="E1591" s="4" t="inlineStr">
        <is>
          <t>ACH</t>
        </is>
      </c>
      <c r="F1591" s="4" t="inlineStr">
        <is>
          <t>US</t>
        </is>
      </c>
      <c r="G1591" s="4" t="inlineStr">
        <is>
          <t>Travel</t>
        </is>
      </c>
    </row>
    <row r="1592">
      <c r="A1592" s="2" t="inlineStr">
        <is>
          <t>TXN_001493</t>
        </is>
      </c>
      <c r="B1592" s="2" t="inlineStr">
        <is>
          <t>C_00168</t>
        </is>
      </c>
      <c r="C1592" s="2" t="inlineStr">
        <is>
          <t>2026-04-22</t>
        </is>
      </c>
      <c r="D1592" s="3" t="n">
        <v>14501.79</v>
      </c>
      <c r="E1592" s="2" t="inlineStr">
        <is>
          <t>Card</t>
        </is>
      </c>
      <c r="F1592" s="2" t="inlineStr">
        <is>
          <t>US</t>
        </is>
      </c>
      <c r="G1592" s="2" t="inlineStr">
        <is>
          <t>Jewelry</t>
        </is>
      </c>
    </row>
    <row r="1593">
      <c r="A1593" s="4" t="inlineStr">
        <is>
          <t>TXN_001491</t>
        </is>
      </c>
      <c r="B1593" s="4" t="inlineStr">
        <is>
          <t>C_00124</t>
        </is>
      </c>
      <c r="C1593" s="4" t="inlineStr">
        <is>
          <t>2026-04-22</t>
        </is>
      </c>
      <c r="D1593" s="5" t="n">
        <v>3821.55</v>
      </c>
      <c r="E1593" s="4" t="inlineStr">
        <is>
          <t>Wire Transfer</t>
        </is>
      </c>
      <c r="F1593" s="4" t="inlineStr">
        <is>
          <t>MX</t>
        </is>
      </c>
      <c r="G1593" s="4" t="inlineStr">
        <is>
          <t>Electronics</t>
        </is>
      </c>
    </row>
    <row r="1594">
      <c r="A1594" s="2" t="inlineStr">
        <is>
          <t>TXN_001489</t>
        </is>
      </c>
      <c r="B1594" s="2" t="inlineStr">
        <is>
          <t>C_00113</t>
        </is>
      </c>
      <c r="C1594" s="2" t="inlineStr">
        <is>
          <t>2026-04-22</t>
        </is>
      </c>
      <c r="D1594" s="3" t="n">
        <v>228.99</v>
      </c>
      <c r="E1594" s="2" t="inlineStr">
        <is>
          <t>Wire Transfer</t>
        </is>
      </c>
      <c r="F1594" s="2" t="inlineStr">
        <is>
          <t>AE</t>
        </is>
      </c>
      <c r="G1594" s="2" t="inlineStr">
        <is>
          <t>Travel</t>
        </is>
      </c>
    </row>
    <row r="1595">
      <c r="A1595" s="4" t="inlineStr">
        <is>
          <t>TXN_001492</t>
        </is>
      </c>
      <c r="B1595" s="4" t="inlineStr">
        <is>
          <t>C_00100</t>
        </is>
      </c>
      <c r="C1595" s="4" t="inlineStr">
        <is>
          <t>2026-04-22</t>
        </is>
      </c>
      <c r="D1595" s="5" t="n">
        <v>1033.91</v>
      </c>
      <c r="E1595" s="4" t="inlineStr">
        <is>
          <t>Cash Deposit</t>
        </is>
      </c>
      <c r="F1595" s="4" t="inlineStr">
        <is>
          <t>CA</t>
        </is>
      </c>
      <c r="G1595" s="4" t="inlineStr">
        <is>
          <t>Crypto Exchange</t>
        </is>
      </c>
    </row>
    <row r="1596">
      <c r="A1596" s="2" t="inlineStr">
        <is>
          <t>TXN_001487</t>
        </is>
      </c>
      <c r="B1596" s="2" t="inlineStr">
        <is>
          <t>C_00189</t>
        </is>
      </c>
      <c r="C1596" s="2" t="inlineStr">
        <is>
          <t>2026-04-22</t>
        </is>
      </c>
      <c r="D1596" s="3" t="n">
        <v>1121.75</v>
      </c>
      <c r="E1596" s="2" t="inlineStr">
        <is>
          <t>ACH</t>
        </is>
      </c>
      <c r="F1596" s="2" t="inlineStr">
        <is>
          <t>NG</t>
        </is>
      </c>
      <c r="G1596" s="2" t="inlineStr">
        <is>
          <t>Travel</t>
        </is>
      </c>
    </row>
    <row r="1597">
      <c r="A1597" s="4" t="inlineStr">
        <is>
          <t>TXN_001486</t>
        </is>
      </c>
      <c r="B1597" s="4" t="inlineStr">
        <is>
          <t>C_00047</t>
        </is>
      </c>
      <c r="C1597" s="4" t="inlineStr">
        <is>
          <t>2026-04-22</t>
        </is>
      </c>
      <c r="D1597" s="5" t="n">
        <v>19757.56</v>
      </c>
      <c r="E1597" s="4" t="inlineStr">
        <is>
          <t>Card</t>
        </is>
      </c>
      <c r="F1597" s="4" t="inlineStr">
        <is>
          <t>US</t>
        </is>
      </c>
      <c r="G1597" s="4" t="inlineStr">
        <is>
          <t>Crypto Exchange</t>
        </is>
      </c>
    </row>
    <row r="1598">
      <c r="A1598" s="2" t="inlineStr">
        <is>
          <t>TXN_001485</t>
        </is>
      </c>
      <c r="B1598" s="2" t="inlineStr">
        <is>
          <t>C_00118</t>
        </is>
      </c>
      <c r="C1598" s="2" t="inlineStr">
        <is>
          <t>2026-04-22</t>
        </is>
      </c>
      <c r="D1598" s="3" t="n">
        <v>1470.53</v>
      </c>
      <c r="E1598" s="2" t="inlineStr">
        <is>
          <t>Mobile App</t>
        </is>
      </c>
      <c r="F1598" s="2" t="inlineStr">
        <is>
          <t>RU</t>
        </is>
      </c>
      <c r="G1598" s="2" t="inlineStr">
        <is>
          <t>Money Services</t>
        </is>
      </c>
    </row>
    <row r="1599">
      <c r="A1599" s="4" t="inlineStr">
        <is>
          <t>TXN_001488</t>
        </is>
      </c>
      <c r="B1599" s="4" t="inlineStr">
        <is>
          <t>C_00118</t>
        </is>
      </c>
      <c r="C1599" s="4" t="inlineStr">
        <is>
          <t>2026-04-22</t>
        </is>
      </c>
      <c r="D1599" s="5" t="n">
        <v>292.35</v>
      </c>
      <c r="E1599" s="4" t="inlineStr">
        <is>
          <t>Mobile App</t>
        </is>
      </c>
      <c r="F1599" s="4" t="inlineStr">
        <is>
          <t>NG</t>
        </is>
      </c>
      <c r="G1599" s="4" t="inlineStr">
        <is>
          <t>Money Services</t>
        </is>
      </c>
    </row>
    <row r="1600">
      <c r="A1600" s="2" t="inlineStr">
        <is>
          <t>TXN_001506</t>
        </is>
      </c>
      <c r="B1600" s="2" t="inlineStr">
        <is>
          <t>C_00175</t>
        </is>
      </c>
      <c r="C1600" s="2" t="inlineStr">
        <is>
          <t>2026-04-23</t>
        </is>
      </c>
      <c r="D1600" s="3" t="n">
        <v>3713.73</v>
      </c>
      <c r="E1600" s="2" t="inlineStr">
        <is>
          <t>ACH</t>
        </is>
      </c>
      <c r="F1600" s="2" t="inlineStr">
        <is>
          <t>US</t>
        </is>
      </c>
      <c r="G1600" s="2" t="inlineStr">
        <is>
          <t>Travel</t>
        </is>
      </c>
    </row>
    <row r="1601">
      <c r="A1601" s="4" t="inlineStr">
        <is>
          <t>TXN_001502</t>
        </is>
      </c>
      <c r="B1601" s="4" t="inlineStr">
        <is>
          <t>C_00247</t>
        </is>
      </c>
      <c r="C1601" s="4" t="inlineStr">
        <is>
          <t>2026-04-23</t>
        </is>
      </c>
      <c r="D1601" s="5" t="n">
        <v>542.05</v>
      </c>
      <c r="E1601" s="4" t="inlineStr">
        <is>
          <t>Mobile App</t>
        </is>
      </c>
      <c r="F1601" s="4" t="inlineStr">
        <is>
          <t>MX</t>
        </is>
      </c>
      <c r="G1601" s="4" t="inlineStr">
        <is>
          <t>Money Services</t>
        </is>
      </c>
    </row>
    <row r="1602">
      <c r="A1602" s="2" t="inlineStr">
        <is>
          <t>TXN_001505</t>
        </is>
      </c>
      <c r="B1602" s="2" t="inlineStr">
        <is>
          <t>C_00190</t>
        </is>
      </c>
      <c r="C1602" s="2" t="inlineStr">
        <is>
          <t>2026-04-23</t>
        </is>
      </c>
      <c r="D1602" s="3" t="n">
        <v>1160.89</v>
      </c>
      <c r="E1602" s="2" t="inlineStr">
        <is>
          <t>Card</t>
        </is>
      </c>
      <c r="F1602" s="2" t="inlineStr">
        <is>
          <t>NG</t>
        </is>
      </c>
      <c r="G1602" s="2" t="inlineStr">
        <is>
          <t>Jewelry</t>
        </is>
      </c>
    </row>
    <row r="1603">
      <c r="A1603" s="4" t="inlineStr">
        <is>
          <t>TXN_001504</t>
        </is>
      </c>
      <c r="B1603" s="4" t="inlineStr">
        <is>
          <t>C_00279</t>
        </is>
      </c>
      <c r="C1603" s="4" t="inlineStr">
        <is>
          <t>2026-04-23</t>
        </is>
      </c>
      <c r="D1603" s="5" t="n">
        <v>2686.2</v>
      </c>
      <c r="E1603" s="4" t="inlineStr">
        <is>
          <t>ACH</t>
        </is>
      </c>
      <c r="F1603" s="4" t="inlineStr">
        <is>
          <t>US</t>
        </is>
      </c>
      <c r="G1603" s="4" t="inlineStr">
        <is>
          <t>Travel</t>
        </is>
      </c>
    </row>
    <row r="1604">
      <c r="A1604" s="2" t="inlineStr">
        <is>
          <t>TXN_001503</t>
        </is>
      </c>
      <c r="B1604" s="2" t="inlineStr">
        <is>
          <t>C_00181</t>
        </is>
      </c>
      <c r="C1604" s="2" t="inlineStr">
        <is>
          <t>2026-04-23</t>
        </is>
      </c>
      <c r="D1604" s="3" t="n">
        <v>10681.58</v>
      </c>
      <c r="E1604" s="2" t="inlineStr">
        <is>
          <t>Card</t>
        </is>
      </c>
      <c r="F1604" s="2" t="inlineStr">
        <is>
          <t>US</t>
        </is>
      </c>
      <c r="G1604" s="2" t="inlineStr">
        <is>
          <t>Money Services</t>
        </is>
      </c>
    </row>
    <row r="1605">
      <c r="A1605" s="4" t="inlineStr">
        <is>
          <t>TXN_001501</t>
        </is>
      </c>
      <c r="B1605" s="4" t="inlineStr">
        <is>
          <t>C_00041</t>
        </is>
      </c>
      <c r="C1605" s="4" t="inlineStr">
        <is>
          <t>2026-04-23</t>
        </is>
      </c>
      <c r="D1605" s="5" t="n">
        <v>4069.86</v>
      </c>
      <c r="E1605" s="4" t="inlineStr">
        <is>
          <t>Cash Deposit</t>
        </is>
      </c>
      <c r="F1605" s="4" t="inlineStr">
        <is>
          <t>US</t>
        </is>
      </c>
      <c r="G1605" s="4" t="inlineStr">
        <is>
          <t>Money Services</t>
        </is>
      </c>
    </row>
    <row r="1606">
      <c r="A1606" s="2" t="inlineStr">
        <is>
          <t>TXN_001497</t>
        </is>
      </c>
      <c r="B1606" s="2" t="inlineStr">
        <is>
          <t>C_00243</t>
        </is>
      </c>
      <c r="C1606" s="2" t="inlineStr">
        <is>
          <t>2026-04-23</t>
        </is>
      </c>
      <c r="D1606" s="3" t="n">
        <v>1710.22</v>
      </c>
      <c r="E1606" s="2" t="inlineStr">
        <is>
          <t>Card</t>
        </is>
      </c>
      <c r="F1606" s="2" t="inlineStr">
        <is>
          <t>US</t>
        </is>
      </c>
      <c r="G1606" s="2" t="inlineStr">
        <is>
          <t>Crypto Exchange</t>
        </is>
      </c>
    </row>
    <row r="1607">
      <c r="A1607" s="4" t="inlineStr">
        <is>
          <t>TXN_001499</t>
        </is>
      </c>
      <c r="B1607" s="4" t="inlineStr">
        <is>
          <t>C_00254</t>
        </is>
      </c>
      <c r="C1607" s="4" t="inlineStr">
        <is>
          <t>2026-04-23</t>
        </is>
      </c>
      <c r="D1607" s="5" t="n">
        <v>1399.25</v>
      </c>
      <c r="E1607" s="4" t="inlineStr">
        <is>
          <t>Mobile App</t>
        </is>
      </c>
      <c r="F1607" s="4" t="inlineStr">
        <is>
          <t>US</t>
        </is>
      </c>
      <c r="G1607" s="4" t="inlineStr">
        <is>
          <t>Crypto Exchange</t>
        </is>
      </c>
    </row>
    <row r="1608">
      <c r="A1608" s="2" t="inlineStr">
        <is>
          <t>TXN_001498</t>
        </is>
      </c>
      <c r="B1608" s="2" t="inlineStr">
        <is>
          <t>C_00294</t>
        </is>
      </c>
      <c r="C1608" s="2" t="inlineStr">
        <is>
          <t>2026-04-23</t>
        </is>
      </c>
      <c r="D1608" s="3" t="n">
        <v>338.24</v>
      </c>
      <c r="E1608" s="2" t="inlineStr">
        <is>
          <t>Wire Transfer</t>
        </is>
      </c>
      <c r="F1608" s="2" t="inlineStr">
        <is>
          <t>US</t>
        </is>
      </c>
      <c r="G1608" s="2" t="inlineStr">
        <is>
          <t>Food &amp; Beverage</t>
        </is>
      </c>
    </row>
    <row r="1609">
      <c r="A1609" s="4" t="inlineStr">
        <is>
          <t>TXN_001496</t>
        </is>
      </c>
      <c r="B1609" s="4" t="inlineStr">
        <is>
          <t>C_00224</t>
        </is>
      </c>
      <c r="C1609" s="4" t="inlineStr">
        <is>
          <t>2026-04-23</t>
        </is>
      </c>
      <c r="D1609" s="5" t="n">
        <v>456.89</v>
      </c>
      <c r="E1609" s="4" t="inlineStr">
        <is>
          <t>Mobile App</t>
        </is>
      </c>
      <c r="F1609" s="4" t="inlineStr">
        <is>
          <t>US</t>
        </is>
      </c>
      <c r="G1609" s="4" t="inlineStr">
        <is>
          <t>Jewelry</t>
        </is>
      </c>
    </row>
    <row r="1610">
      <c r="A1610" s="2" t="inlineStr">
        <is>
          <t>TXN_001495</t>
        </is>
      </c>
      <c r="B1610" s="2" t="inlineStr">
        <is>
          <t>C_00291</t>
        </is>
      </c>
      <c r="C1610" s="2" t="inlineStr">
        <is>
          <t>2026-04-23</t>
        </is>
      </c>
      <c r="D1610" s="3" t="n">
        <v>1112.29</v>
      </c>
      <c r="E1610" s="2" t="inlineStr">
        <is>
          <t>Wire Transfer</t>
        </is>
      </c>
      <c r="F1610" s="2" t="inlineStr">
        <is>
          <t>CA</t>
        </is>
      </c>
      <c r="G1610" s="2" t="inlineStr">
        <is>
          <t>Real Estate</t>
        </is>
      </c>
    </row>
    <row r="1611">
      <c r="A1611" s="4" t="inlineStr">
        <is>
          <t>TXN_001500</t>
        </is>
      </c>
      <c r="B1611" s="4" t="inlineStr">
        <is>
          <t>C_00135</t>
        </is>
      </c>
      <c r="C1611" s="4" t="inlineStr">
        <is>
          <t>2026-04-23</t>
        </is>
      </c>
      <c r="D1611" s="5" t="n">
        <v>1602.61</v>
      </c>
      <c r="E1611" s="4" t="inlineStr">
        <is>
          <t>ACH</t>
        </is>
      </c>
      <c r="F1611" s="4" t="inlineStr">
        <is>
          <t>RU</t>
        </is>
      </c>
      <c r="G1611" s="4" t="inlineStr">
        <is>
          <t>Crypto Exchange</t>
        </is>
      </c>
    </row>
    <row r="1612">
      <c r="A1612" s="2" t="inlineStr">
        <is>
          <t>TXN_001526</t>
        </is>
      </c>
      <c r="B1612" s="2" t="inlineStr">
        <is>
          <t>C_00255</t>
        </is>
      </c>
      <c r="C1612" s="2" t="inlineStr">
        <is>
          <t>2026-04-24</t>
        </is>
      </c>
      <c r="D1612" s="3" t="n">
        <v>2920.64</v>
      </c>
      <c r="E1612" s="2" t="inlineStr">
        <is>
          <t>Mobile App</t>
        </is>
      </c>
      <c r="F1612" s="2" t="inlineStr">
        <is>
          <t>US</t>
        </is>
      </c>
      <c r="G1612" s="2" t="inlineStr">
        <is>
          <t>Retail</t>
        </is>
      </c>
    </row>
    <row r="1613">
      <c r="A1613" s="4" t="inlineStr">
        <is>
          <t>TXN_001525</t>
        </is>
      </c>
      <c r="B1613" s="4" t="inlineStr">
        <is>
          <t>C_00165</t>
        </is>
      </c>
      <c r="C1613" s="4" t="inlineStr">
        <is>
          <t>2026-04-24</t>
        </is>
      </c>
      <c r="D1613" s="5" t="n">
        <v>1361.13</v>
      </c>
      <c r="E1613" s="4" t="inlineStr">
        <is>
          <t>Cash Deposit</t>
        </is>
      </c>
      <c r="F1613" s="4" t="inlineStr">
        <is>
          <t>US</t>
        </is>
      </c>
      <c r="G1613" s="4" t="inlineStr">
        <is>
          <t>Auto</t>
        </is>
      </c>
    </row>
    <row r="1614">
      <c r="A1614" s="2" t="inlineStr">
        <is>
          <t>TXN_001524</t>
        </is>
      </c>
      <c r="B1614" s="2" t="inlineStr">
        <is>
          <t>C_00270</t>
        </is>
      </c>
      <c r="C1614" s="2" t="inlineStr">
        <is>
          <t>2026-04-24</t>
        </is>
      </c>
      <c r="D1614" s="3" t="n">
        <v>168.16</v>
      </c>
      <c r="E1614" s="2" t="inlineStr">
        <is>
          <t>Mobile App</t>
        </is>
      </c>
      <c r="F1614" s="2" t="inlineStr">
        <is>
          <t>US</t>
        </is>
      </c>
      <c r="G1614" s="2" t="inlineStr">
        <is>
          <t>Money Services</t>
        </is>
      </c>
    </row>
    <row r="1615">
      <c r="A1615" s="4" t="inlineStr">
        <is>
          <t>TXN_001523</t>
        </is>
      </c>
      <c r="B1615" s="4" t="inlineStr">
        <is>
          <t>C_00237</t>
        </is>
      </c>
      <c r="C1615" s="4" t="inlineStr">
        <is>
          <t>2026-04-24</t>
        </is>
      </c>
      <c r="D1615" s="5" t="n">
        <v>30178.34</v>
      </c>
      <c r="E1615" s="4" t="inlineStr">
        <is>
          <t>Card</t>
        </is>
      </c>
      <c r="F1615" s="4" t="inlineStr">
        <is>
          <t>US</t>
        </is>
      </c>
      <c r="G1615" s="4" t="inlineStr">
        <is>
          <t>Money Services</t>
        </is>
      </c>
    </row>
    <row r="1616">
      <c r="A1616" s="2" t="inlineStr">
        <is>
          <t>TXN_001522</t>
        </is>
      </c>
      <c r="B1616" s="2" t="inlineStr">
        <is>
          <t>C_00281</t>
        </is>
      </c>
      <c r="C1616" s="2" t="inlineStr">
        <is>
          <t>2026-04-24</t>
        </is>
      </c>
      <c r="D1616" s="3" t="n">
        <v>2123.47</v>
      </c>
      <c r="E1616" s="2" t="inlineStr">
        <is>
          <t>Wire Transfer</t>
        </is>
      </c>
      <c r="F1616" s="2" t="inlineStr">
        <is>
          <t>AE</t>
        </is>
      </c>
      <c r="G1616" s="2" t="inlineStr">
        <is>
          <t>Healthcare</t>
        </is>
      </c>
    </row>
    <row r="1617">
      <c r="A1617" s="4" t="inlineStr">
        <is>
          <t>TXN_001521</t>
        </is>
      </c>
      <c r="B1617" s="4" t="inlineStr">
        <is>
          <t>C_00074</t>
        </is>
      </c>
      <c r="C1617" s="4" t="inlineStr">
        <is>
          <t>2026-04-24</t>
        </is>
      </c>
      <c r="D1617" s="5" t="n">
        <v>2433.46</v>
      </c>
      <c r="E1617" s="4" t="inlineStr">
        <is>
          <t>Cash Deposit</t>
        </is>
      </c>
      <c r="F1617" s="4" t="inlineStr">
        <is>
          <t>US</t>
        </is>
      </c>
      <c r="G1617" s="4" t="inlineStr">
        <is>
          <t>Retail</t>
        </is>
      </c>
    </row>
    <row r="1618">
      <c r="A1618" s="2" t="inlineStr">
        <is>
          <t>TXN_001520</t>
        </is>
      </c>
      <c r="B1618" s="2" t="inlineStr">
        <is>
          <t>C_00180</t>
        </is>
      </c>
      <c r="C1618" s="2" t="inlineStr">
        <is>
          <t>2026-04-24</t>
        </is>
      </c>
      <c r="D1618" s="3" t="n">
        <v>2750.31</v>
      </c>
      <c r="E1618" s="2" t="inlineStr">
        <is>
          <t>ACH</t>
        </is>
      </c>
      <c r="F1618" s="2" t="inlineStr">
        <is>
          <t>US</t>
        </is>
      </c>
      <c r="G1618" s="2" t="inlineStr">
        <is>
          <t>Real Estate</t>
        </is>
      </c>
    </row>
    <row r="1619">
      <c r="A1619" s="4" t="inlineStr">
        <is>
          <t>TXN_001519</t>
        </is>
      </c>
      <c r="B1619" s="4" t="inlineStr">
        <is>
          <t>C_00233</t>
        </is>
      </c>
      <c r="C1619" s="4" t="inlineStr">
        <is>
          <t>2026-04-24</t>
        </is>
      </c>
      <c r="D1619" s="5" t="n">
        <v>6702.85</v>
      </c>
      <c r="E1619" s="4" t="inlineStr">
        <is>
          <t>Card</t>
        </is>
      </c>
      <c r="F1619" s="4" t="inlineStr">
        <is>
          <t>CN</t>
        </is>
      </c>
      <c r="G1619" s="4" t="inlineStr">
        <is>
          <t>Healthcare</t>
        </is>
      </c>
    </row>
    <row r="1620">
      <c r="A1620" s="2" t="inlineStr">
        <is>
          <t>TXN_001518</t>
        </is>
      </c>
      <c r="B1620" s="2" t="inlineStr">
        <is>
          <t>C_00103</t>
        </is>
      </c>
      <c r="C1620" s="2" t="inlineStr">
        <is>
          <t>2026-04-24</t>
        </is>
      </c>
      <c r="D1620" s="3" t="n">
        <v>1559.6</v>
      </c>
      <c r="E1620" s="2" t="inlineStr">
        <is>
          <t>Cash Deposit</t>
        </is>
      </c>
      <c r="F1620" s="2" t="inlineStr">
        <is>
          <t>RU</t>
        </is>
      </c>
      <c r="G1620" s="2" t="inlineStr">
        <is>
          <t>Auto</t>
        </is>
      </c>
    </row>
    <row r="1621">
      <c r="A1621" s="4" t="inlineStr">
        <is>
          <t>TXN_001517</t>
        </is>
      </c>
      <c r="B1621" s="4" t="inlineStr">
        <is>
          <t>C_00227</t>
        </is>
      </c>
      <c r="C1621" s="4" t="inlineStr">
        <is>
          <t>2026-04-24</t>
        </is>
      </c>
      <c r="D1621" s="5" t="n">
        <v>276.27</v>
      </c>
      <c r="E1621" s="4" t="inlineStr">
        <is>
          <t>Card</t>
        </is>
      </c>
      <c r="F1621" s="4" t="inlineStr">
        <is>
          <t>RU</t>
        </is>
      </c>
      <c r="G1621" s="4" t="inlineStr">
        <is>
          <t>Travel</t>
        </is>
      </c>
    </row>
    <row r="1622">
      <c r="A1622" s="2" t="inlineStr">
        <is>
          <t>TXN_001516</t>
        </is>
      </c>
      <c r="B1622" s="2" t="inlineStr">
        <is>
          <t>C_00084</t>
        </is>
      </c>
      <c r="C1622" s="2" t="inlineStr">
        <is>
          <t>2026-04-24</t>
        </is>
      </c>
      <c r="D1622" s="3" t="n">
        <v>990.62</v>
      </c>
      <c r="E1622" s="2" t="inlineStr">
        <is>
          <t>Cash Deposit</t>
        </is>
      </c>
      <c r="F1622" s="2" t="inlineStr">
        <is>
          <t>CA</t>
        </is>
      </c>
      <c r="G1622" s="2" t="inlineStr">
        <is>
          <t>Electronics</t>
        </is>
      </c>
    </row>
    <row r="1623">
      <c r="A1623" s="4" t="inlineStr">
        <is>
          <t>TXN_001514</t>
        </is>
      </c>
      <c r="B1623" s="4" t="inlineStr">
        <is>
          <t>C_00060</t>
        </is>
      </c>
      <c r="C1623" s="4" t="inlineStr">
        <is>
          <t>2026-04-24</t>
        </is>
      </c>
      <c r="D1623" s="5" t="n">
        <v>832.84</v>
      </c>
      <c r="E1623" s="4" t="inlineStr">
        <is>
          <t>ACH</t>
        </is>
      </c>
      <c r="F1623" s="4" t="inlineStr">
        <is>
          <t>US</t>
        </is>
      </c>
      <c r="G1623" s="4" t="inlineStr">
        <is>
          <t>Real Estate</t>
        </is>
      </c>
    </row>
    <row r="1624">
      <c r="A1624" s="2" t="inlineStr">
        <is>
          <t>TXN_001513</t>
        </is>
      </c>
      <c r="B1624" s="2" t="inlineStr">
        <is>
          <t>C_00140</t>
        </is>
      </c>
      <c r="C1624" s="2" t="inlineStr">
        <is>
          <t>2026-04-24</t>
        </is>
      </c>
      <c r="D1624" s="3" t="n">
        <v>11419.62</v>
      </c>
      <c r="E1624" s="2" t="inlineStr">
        <is>
          <t>Card</t>
        </is>
      </c>
      <c r="F1624" s="2" t="inlineStr">
        <is>
          <t>US</t>
        </is>
      </c>
      <c r="G1624" s="2" t="inlineStr">
        <is>
          <t>Travel</t>
        </is>
      </c>
    </row>
    <row r="1625">
      <c r="A1625" s="4" t="inlineStr">
        <is>
          <t>TXN_001512</t>
        </is>
      </c>
      <c r="B1625" s="4" t="inlineStr">
        <is>
          <t>C_00296</t>
        </is>
      </c>
      <c r="C1625" s="4" t="inlineStr">
        <is>
          <t>2026-04-24</t>
        </is>
      </c>
      <c r="D1625" s="5" t="n">
        <v>11710.88</v>
      </c>
      <c r="E1625" s="4" t="inlineStr">
        <is>
          <t>Cash Deposit</t>
        </is>
      </c>
      <c r="F1625" s="4" t="inlineStr">
        <is>
          <t>US</t>
        </is>
      </c>
      <c r="G1625" s="4" t="inlineStr">
        <is>
          <t>Food &amp; Beverage</t>
        </is>
      </c>
    </row>
    <row r="1626">
      <c r="A1626" s="2" t="inlineStr">
        <is>
          <t>TXN_001511</t>
        </is>
      </c>
      <c r="B1626" s="2" t="inlineStr">
        <is>
          <t>C_00259</t>
        </is>
      </c>
      <c r="C1626" s="2" t="inlineStr">
        <is>
          <t>2026-04-24</t>
        </is>
      </c>
      <c r="D1626" s="3" t="n">
        <v>6626.36</v>
      </c>
      <c r="E1626" s="2" t="inlineStr">
        <is>
          <t>Card</t>
        </is>
      </c>
      <c r="F1626" s="2" t="inlineStr">
        <is>
          <t>US</t>
        </is>
      </c>
      <c r="G1626" s="2" t="inlineStr">
        <is>
          <t>Money Services</t>
        </is>
      </c>
    </row>
    <row r="1627">
      <c r="A1627" s="4" t="inlineStr">
        <is>
          <t>TXN_001510</t>
        </is>
      </c>
      <c r="B1627" s="4" t="inlineStr">
        <is>
          <t>C_00163</t>
        </is>
      </c>
      <c r="C1627" s="4" t="inlineStr">
        <is>
          <t>2026-04-24</t>
        </is>
      </c>
      <c r="D1627" s="5" t="n">
        <v>21705.03</v>
      </c>
      <c r="E1627" s="4" t="inlineStr">
        <is>
          <t>Cash Deposit</t>
        </is>
      </c>
      <c r="F1627" s="4" t="inlineStr">
        <is>
          <t>US</t>
        </is>
      </c>
      <c r="G1627" s="4" t="inlineStr">
        <is>
          <t>Real Estate</t>
        </is>
      </c>
    </row>
    <row r="1628">
      <c r="A1628" s="2" t="inlineStr">
        <is>
          <t>TXN_001509</t>
        </is>
      </c>
      <c r="B1628" s="2" t="inlineStr">
        <is>
          <t>C_00201</t>
        </is>
      </c>
      <c r="C1628" s="2" t="inlineStr">
        <is>
          <t>2026-04-24</t>
        </is>
      </c>
      <c r="D1628" s="3" t="n">
        <v>1707.5</v>
      </c>
      <c r="E1628" s="2" t="inlineStr">
        <is>
          <t>Wire Transfer</t>
        </is>
      </c>
      <c r="F1628" s="2" t="inlineStr">
        <is>
          <t>US</t>
        </is>
      </c>
      <c r="G1628" s="2" t="inlineStr">
        <is>
          <t>Money Services</t>
        </is>
      </c>
    </row>
    <row r="1629">
      <c r="A1629" s="4" t="inlineStr">
        <is>
          <t>TXN_001508</t>
        </is>
      </c>
      <c r="B1629" s="4" t="inlineStr">
        <is>
          <t>C_00213</t>
        </is>
      </c>
      <c r="C1629" s="4" t="inlineStr">
        <is>
          <t>2026-04-24</t>
        </is>
      </c>
      <c r="D1629" s="5" t="n">
        <v>9497.59</v>
      </c>
      <c r="E1629" s="4" t="inlineStr">
        <is>
          <t>Card</t>
        </is>
      </c>
      <c r="F1629" s="4" t="inlineStr">
        <is>
          <t>US</t>
        </is>
      </c>
      <c r="G1629" s="4" t="inlineStr">
        <is>
          <t>Healthcare</t>
        </is>
      </c>
    </row>
    <row r="1630">
      <c r="A1630" s="2" t="inlineStr">
        <is>
          <t>TXN_001507</t>
        </is>
      </c>
      <c r="B1630" s="2" t="inlineStr">
        <is>
          <t>C_00217</t>
        </is>
      </c>
      <c r="C1630" s="2" t="inlineStr">
        <is>
          <t>2026-04-24</t>
        </is>
      </c>
      <c r="D1630" s="3" t="n">
        <v>11567.26</v>
      </c>
      <c r="E1630" s="2" t="inlineStr">
        <is>
          <t>ACH</t>
        </is>
      </c>
      <c r="F1630" s="2" t="inlineStr">
        <is>
          <t>US</t>
        </is>
      </c>
      <c r="G1630" s="2" t="inlineStr">
        <is>
          <t>Electronics</t>
        </is>
      </c>
    </row>
    <row r="1631">
      <c r="A1631" s="4" t="inlineStr">
        <is>
          <t>TXN_001515</t>
        </is>
      </c>
      <c r="B1631" s="4" t="inlineStr">
        <is>
          <t>C_00239</t>
        </is>
      </c>
      <c r="C1631" s="4" t="inlineStr">
        <is>
          <t>2026-04-24</t>
        </is>
      </c>
      <c r="D1631" s="5" t="n">
        <v>1152.31</v>
      </c>
      <c r="E1631" s="4" t="inlineStr">
        <is>
          <t>Cash Deposit</t>
        </is>
      </c>
      <c r="F1631" s="4" t="inlineStr">
        <is>
          <t>RU</t>
        </is>
      </c>
      <c r="G1631" s="4" t="inlineStr">
        <is>
          <t>Retail</t>
        </is>
      </c>
    </row>
    <row r="1632">
      <c r="A1632" s="2" t="inlineStr">
        <is>
          <t>TXN_001534</t>
        </is>
      </c>
      <c r="B1632" s="2" t="inlineStr">
        <is>
          <t>C_00052</t>
        </is>
      </c>
      <c r="C1632" s="2" t="inlineStr">
        <is>
          <t>2026-04-25</t>
        </is>
      </c>
      <c r="D1632" s="3" t="n">
        <v>895.29</v>
      </c>
      <c r="E1632" s="2" t="inlineStr">
        <is>
          <t>Card</t>
        </is>
      </c>
      <c r="F1632" s="2" t="inlineStr">
        <is>
          <t>MX</t>
        </is>
      </c>
      <c r="G1632" s="2" t="inlineStr">
        <is>
          <t>Retail</t>
        </is>
      </c>
    </row>
    <row r="1633">
      <c r="A1633" s="4" t="inlineStr">
        <is>
          <t>TXN_001538</t>
        </is>
      </c>
      <c r="B1633" s="4" t="inlineStr">
        <is>
          <t>C_00109</t>
        </is>
      </c>
      <c r="C1633" s="4" t="inlineStr">
        <is>
          <t>2026-04-25</t>
        </is>
      </c>
      <c r="D1633" s="5" t="n">
        <v>1370.64</v>
      </c>
      <c r="E1633" s="4" t="inlineStr">
        <is>
          <t>Mobile App</t>
        </is>
      </c>
      <c r="F1633" s="4" t="inlineStr">
        <is>
          <t>US</t>
        </is>
      </c>
      <c r="G1633" s="4" t="inlineStr">
        <is>
          <t>Electronics</t>
        </is>
      </c>
    </row>
    <row r="1634">
      <c r="A1634" s="2" t="inlineStr">
        <is>
          <t>TXN_001537</t>
        </is>
      </c>
      <c r="B1634" s="2" t="inlineStr">
        <is>
          <t>C_00170</t>
        </is>
      </c>
      <c r="C1634" s="2" t="inlineStr">
        <is>
          <t>2026-04-25</t>
        </is>
      </c>
      <c r="D1634" s="3" t="n">
        <v>1008.57</v>
      </c>
      <c r="E1634" s="2" t="inlineStr">
        <is>
          <t>ACH</t>
        </is>
      </c>
      <c r="F1634" s="2" t="inlineStr">
        <is>
          <t>US</t>
        </is>
      </c>
      <c r="G1634" s="2" t="inlineStr">
        <is>
          <t>Food &amp; Beverage</t>
        </is>
      </c>
    </row>
    <row r="1635">
      <c r="A1635" s="4" t="inlineStr">
        <is>
          <t>TXN_001536</t>
        </is>
      </c>
      <c r="B1635" s="4" t="inlineStr">
        <is>
          <t>C_00137</t>
        </is>
      </c>
      <c r="C1635" s="4" t="inlineStr">
        <is>
          <t>2026-04-25</t>
        </is>
      </c>
      <c r="D1635" s="5" t="n">
        <v>1535.42</v>
      </c>
      <c r="E1635" s="4" t="inlineStr">
        <is>
          <t>Cash Deposit</t>
        </is>
      </c>
      <c r="F1635" s="4" t="inlineStr">
        <is>
          <t>US</t>
        </is>
      </c>
      <c r="G1635" s="4" t="inlineStr">
        <is>
          <t>Healthcare</t>
        </is>
      </c>
    </row>
    <row r="1636">
      <c r="A1636" s="2" t="inlineStr">
        <is>
          <t>TXN_001535</t>
        </is>
      </c>
      <c r="B1636" s="2" t="inlineStr">
        <is>
          <t>C_00048</t>
        </is>
      </c>
      <c r="C1636" s="2" t="inlineStr">
        <is>
          <t>2026-04-25</t>
        </is>
      </c>
      <c r="D1636" s="3" t="n">
        <v>6664.2</v>
      </c>
      <c r="E1636" s="2" t="inlineStr">
        <is>
          <t>Mobile App</t>
        </is>
      </c>
      <c r="F1636" s="2" t="inlineStr">
        <is>
          <t>US</t>
        </is>
      </c>
      <c r="G1636" s="2" t="inlineStr">
        <is>
          <t>Real Estate</t>
        </is>
      </c>
    </row>
    <row r="1637">
      <c r="A1637" s="4" t="inlineStr">
        <is>
          <t>TXN_001533</t>
        </is>
      </c>
      <c r="B1637" s="4" t="inlineStr">
        <is>
          <t>C_00071</t>
        </is>
      </c>
      <c r="C1637" s="4" t="inlineStr">
        <is>
          <t>2026-04-25</t>
        </is>
      </c>
      <c r="D1637" s="5" t="n">
        <v>11564.79</v>
      </c>
      <c r="E1637" s="4" t="inlineStr">
        <is>
          <t>Wire Transfer</t>
        </is>
      </c>
      <c r="F1637" s="4" t="inlineStr">
        <is>
          <t>US</t>
        </is>
      </c>
      <c r="G1637" s="4" t="inlineStr">
        <is>
          <t>Auto</t>
        </is>
      </c>
    </row>
    <row r="1638">
      <c r="A1638" s="2" t="inlineStr">
        <is>
          <t>TXN_001540</t>
        </is>
      </c>
      <c r="B1638" s="2" t="inlineStr">
        <is>
          <t>C_00128</t>
        </is>
      </c>
      <c r="C1638" s="2" t="inlineStr">
        <is>
          <t>2026-04-25</t>
        </is>
      </c>
      <c r="D1638" s="3" t="n">
        <v>5960.37</v>
      </c>
      <c r="E1638" s="2" t="inlineStr">
        <is>
          <t>ACH</t>
        </is>
      </c>
      <c r="F1638" s="2" t="inlineStr">
        <is>
          <t>US</t>
        </is>
      </c>
      <c r="G1638" s="2" t="inlineStr">
        <is>
          <t>Money Services</t>
        </is>
      </c>
    </row>
    <row r="1639">
      <c r="A1639" s="4" t="inlineStr">
        <is>
          <t>TXN_001531</t>
        </is>
      </c>
      <c r="B1639" s="4" t="inlineStr">
        <is>
          <t>C_00207</t>
        </is>
      </c>
      <c r="C1639" s="4" t="inlineStr">
        <is>
          <t>2026-04-25</t>
        </is>
      </c>
      <c r="D1639" s="5" t="n">
        <v>1092.8</v>
      </c>
      <c r="E1639" s="4" t="inlineStr">
        <is>
          <t>Card</t>
        </is>
      </c>
      <c r="F1639" s="4" t="inlineStr">
        <is>
          <t>US</t>
        </is>
      </c>
      <c r="G1639" s="4" t="inlineStr">
        <is>
          <t>Retail</t>
        </is>
      </c>
    </row>
    <row r="1640">
      <c r="A1640" s="2" t="inlineStr">
        <is>
          <t>TXN_001530</t>
        </is>
      </c>
      <c r="B1640" s="2" t="inlineStr">
        <is>
          <t>C_00187</t>
        </is>
      </c>
      <c r="C1640" s="2" t="inlineStr">
        <is>
          <t>2026-04-25</t>
        </is>
      </c>
      <c r="D1640" s="3" t="n">
        <v>1258.29</v>
      </c>
      <c r="E1640" s="2" t="inlineStr">
        <is>
          <t>Wire Transfer</t>
        </is>
      </c>
      <c r="F1640" s="2" t="inlineStr">
        <is>
          <t>US</t>
        </is>
      </c>
      <c r="G1640" s="2" t="inlineStr">
        <is>
          <t>Electronics</t>
        </is>
      </c>
    </row>
    <row r="1641">
      <c r="A1641" s="4" t="inlineStr">
        <is>
          <t>TXN_001529</t>
        </is>
      </c>
      <c r="B1641" s="4" t="inlineStr">
        <is>
          <t>C_00164</t>
        </is>
      </c>
      <c r="C1641" s="4" t="inlineStr">
        <is>
          <t>2026-04-25</t>
        </is>
      </c>
      <c r="D1641" s="5" t="n">
        <v>45.81</v>
      </c>
      <c r="E1641" s="4" t="inlineStr">
        <is>
          <t>Mobile App</t>
        </is>
      </c>
      <c r="F1641" s="4" t="inlineStr">
        <is>
          <t>US</t>
        </is>
      </c>
      <c r="G1641" s="4" t="inlineStr">
        <is>
          <t>Real Estate</t>
        </is>
      </c>
    </row>
    <row r="1642">
      <c r="A1642" s="2" t="inlineStr">
        <is>
          <t>TXN_001528</t>
        </is>
      </c>
      <c r="B1642" s="2" t="inlineStr">
        <is>
          <t>C_00163</t>
        </is>
      </c>
      <c r="C1642" s="2" t="inlineStr">
        <is>
          <t>2026-04-25</t>
        </is>
      </c>
      <c r="D1642" s="3" t="n">
        <v>1220.13</v>
      </c>
      <c r="E1642" s="2" t="inlineStr">
        <is>
          <t>ACH</t>
        </is>
      </c>
      <c r="F1642" s="2" t="inlineStr">
        <is>
          <t>CA</t>
        </is>
      </c>
      <c r="G1642" s="2" t="inlineStr">
        <is>
          <t>Retail</t>
        </is>
      </c>
    </row>
    <row r="1643">
      <c r="A1643" s="4" t="inlineStr">
        <is>
          <t>TXN_001527</t>
        </is>
      </c>
      <c r="B1643" s="4" t="inlineStr">
        <is>
          <t>C_00186</t>
        </is>
      </c>
      <c r="C1643" s="4" t="inlineStr">
        <is>
          <t>2026-04-25</t>
        </is>
      </c>
      <c r="D1643" s="5" t="n">
        <v>15199.51</v>
      </c>
      <c r="E1643" s="4" t="inlineStr">
        <is>
          <t>Wire Transfer</t>
        </is>
      </c>
      <c r="F1643" s="4" t="inlineStr">
        <is>
          <t>AE</t>
        </is>
      </c>
      <c r="G1643" s="4" t="inlineStr">
        <is>
          <t>Travel</t>
        </is>
      </c>
    </row>
    <row r="1644">
      <c r="A1644" s="2" t="inlineStr">
        <is>
          <t>TXN_001539</t>
        </is>
      </c>
      <c r="B1644" s="2" t="inlineStr">
        <is>
          <t>C_00144</t>
        </is>
      </c>
      <c r="C1644" s="2" t="inlineStr">
        <is>
          <t>2026-04-25</t>
        </is>
      </c>
      <c r="D1644" s="3" t="n">
        <v>2197.09</v>
      </c>
      <c r="E1644" s="2" t="inlineStr">
        <is>
          <t>Wire Transfer</t>
        </is>
      </c>
      <c r="F1644" s="2" t="inlineStr">
        <is>
          <t>US</t>
        </is>
      </c>
      <c r="G1644" s="2" t="inlineStr">
        <is>
          <t>Travel</t>
        </is>
      </c>
    </row>
    <row r="1645">
      <c r="A1645" s="4" t="inlineStr">
        <is>
          <t>TXN_001532</t>
        </is>
      </c>
      <c r="B1645" s="4" t="inlineStr">
        <is>
          <t>C_00095</t>
        </is>
      </c>
      <c r="C1645" s="4" t="inlineStr">
        <is>
          <t>2026-04-25</t>
        </is>
      </c>
      <c r="D1645" s="5" t="n">
        <v>26566.42</v>
      </c>
      <c r="E1645" s="4" t="inlineStr">
        <is>
          <t>ACH</t>
        </is>
      </c>
      <c r="F1645" s="4" t="inlineStr">
        <is>
          <t>CA</t>
        </is>
      </c>
      <c r="G1645" s="4" t="inlineStr">
        <is>
          <t>Food &amp; Beverage</t>
        </is>
      </c>
    </row>
    <row r="1646">
      <c r="A1646" s="2" t="inlineStr">
        <is>
          <t>TXN_001559</t>
        </is>
      </c>
      <c r="B1646" s="2" t="inlineStr">
        <is>
          <t>C_00090</t>
        </is>
      </c>
      <c r="C1646" s="2" t="inlineStr">
        <is>
          <t>2026-04-26</t>
        </is>
      </c>
      <c r="D1646" s="3" t="n">
        <v>10231.36</v>
      </c>
      <c r="E1646" s="2" t="inlineStr">
        <is>
          <t>Card</t>
        </is>
      </c>
      <c r="F1646" s="2" t="inlineStr">
        <is>
          <t>AE</t>
        </is>
      </c>
      <c r="G1646" s="2" t="inlineStr">
        <is>
          <t>Auto</t>
        </is>
      </c>
    </row>
    <row r="1647">
      <c r="A1647" s="4" t="inlineStr">
        <is>
          <t>TXN_001541</t>
        </is>
      </c>
      <c r="B1647" s="4" t="inlineStr">
        <is>
          <t>C_00046</t>
        </is>
      </c>
      <c r="C1647" s="4" t="inlineStr">
        <is>
          <t>2026-04-26</t>
        </is>
      </c>
      <c r="D1647" s="5" t="n">
        <v>651.8099999999999</v>
      </c>
      <c r="E1647" s="4" t="inlineStr">
        <is>
          <t>Card</t>
        </is>
      </c>
      <c r="F1647" s="4" t="inlineStr">
        <is>
          <t>CN</t>
        </is>
      </c>
      <c r="G1647" s="4" t="inlineStr">
        <is>
          <t>Real Estate</t>
        </is>
      </c>
    </row>
    <row r="1648">
      <c r="A1648" s="2" t="inlineStr">
        <is>
          <t>TXN_001542</t>
        </is>
      </c>
      <c r="B1648" s="2" t="inlineStr">
        <is>
          <t>C_00090</t>
        </is>
      </c>
      <c r="C1648" s="2" t="inlineStr">
        <is>
          <t>2026-04-26</t>
        </is>
      </c>
      <c r="D1648" s="3" t="n">
        <v>523.12</v>
      </c>
      <c r="E1648" s="2" t="inlineStr">
        <is>
          <t>Card</t>
        </is>
      </c>
      <c r="F1648" s="2" t="inlineStr">
        <is>
          <t>US</t>
        </is>
      </c>
      <c r="G1648" s="2" t="inlineStr">
        <is>
          <t>Travel</t>
        </is>
      </c>
    </row>
    <row r="1649">
      <c r="A1649" s="4" t="inlineStr">
        <is>
          <t>TXN_001558</t>
        </is>
      </c>
      <c r="B1649" s="4" t="inlineStr">
        <is>
          <t>C_00096</t>
        </is>
      </c>
      <c r="C1649" s="4" t="inlineStr">
        <is>
          <t>2026-04-26</t>
        </is>
      </c>
      <c r="D1649" s="5" t="n">
        <v>1387.74</v>
      </c>
      <c r="E1649" s="4" t="inlineStr">
        <is>
          <t>Card</t>
        </is>
      </c>
      <c r="F1649" s="4" t="inlineStr">
        <is>
          <t>CN</t>
        </is>
      </c>
      <c r="G1649" s="4" t="inlineStr">
        <is>
          <t>Jewelry</t>
        </is>
      </c>
    </row>
    <row r="1650">
      <c r="A1650" s="2" t="inlineStr">
        <is>
          <t>TXN_001562</t>
        </is>
      </c>
      <c r="B1650" s="2" t="inlineStr">
        <is>
          <t>C_00275</t>
        </is>
      </c>
      <c r="C1650" s="2" t="inlineStr">
        <is>
          <t>2026-04-26</t>
        </is>
      </c>
      <c r="D1650" s="3" t="n">
        <v>19207.79</v>
      </c>
      <c r="E1650" s="2" t="inlineStr">
        <is>
          <t>Mobile App</t>
        </is>
      </c>
      <c r="F1650" s="2" t="inlineStr">
        <is>
          <t>US</t>
        </is>
      </c>
      <c r="G1650" s="2" t="inlineStr">
        <is>
          <t>Auto</t>
        </is>
      </c>
    </row>
    <row r="1651">
      <c r="A1651" s="4" t="inlineStr">
        <is>
          <t>TXN_001561</t>
        </is>
      </c>
      <c r="B1651" s="4" t="inlineStr">
        <is>
          <t>C_00079</t>
        </is>
      </c>
      <c r="C1651" s="4" t="inlineStr">
        <is>
          <t>2026-04-26</t>
        </is>
      </c>
      <c r="D1651" s="5" t="n">
        <v>10230.21</v>
      </c>
      <c r="E1651" s="4" t="inlineStr">
        <is>
          <t>Cash Deposit</t>
        </is>
      </c>
      <c r="F1651" s="4" t="inlineStr">
        <is>
          <t>US</t>
        </is>
      </c>
      <c r="G1651" s="4" t="inlineStr">
        <is>
          <t>Healthcare</t>
        </is>
      </c>
    </row>
    <row r="1652">
      <c r="A1652" s="2" t="inlineStr">
        <is>
          <t>TXN_001560</t>
        </is>
      </c>
      <c r="B1652" s="2" t="inlineStr">
        <is>
          <t>C_00062</t>
        </is>
      </c>
      <c r="C1652" s="2" t="inlineStr">
        <is>
          <t>2026-04-26</t>
        </is>
      </c>
      <c r="D1652" s="3" t="n">
        <v>2324</v>
      </c>
      <c r="E1652" s="2" t="inlineStr">
        <is>
          <t>ACH</t>
        </is>
      </c>
      <c r="F1652" s="2" t="inlineStr">
        <is>
          <t>US</t>
        </is>
      </c>
      <c r="G1652" s="2" t="inlineStr">
        <is>
          <t>Money Services</t>
        </is>
      </c>
    </row>
    <row r="1653">
      <c r="A1653" s="4" t="inlineStr">
        <is>
          <t>TXN_001556</t>
        </is>
      </c>
      <c r="B1653" s="4" t="inlineStr">
        <is>
          <t>C_00293</t>
        </is>
      </c>
      <c r="C1653" s="4" t="inlineStr">
        <is>
          <t>2026-04-26</t>
        </is>
      </c>
      <c r="D1653" s="5" t="n">
        <v>1413.35</v>
      </c>
      <c r="E1653" s="4" t="inlineStr">
        <is>
          <t>Cash Deposit</t>
        </is>
      </c>
      <c r="F1653" s="4" t="inlineStr">
        <is>
          <t>US</t>
        </is>
      </c>
      <c r="G1653" s="4" t="inlineStr">
        <is>
          <t>Food &amp; Beverage</t>
        </is>
      </c>
    </row>
    <row r="1654">
      <c r="A1654" s="2" t="inlineStr">
        <is>
          <t>TXN_001555</t>
        </is>
      </c>
      <c r="B1654" s="2" t="inlineStr">
        <is>
          <t>C_00266</t>
        </is>
      </c>
      <c r="C1654" s="2" t="inlineStr">
        <is>
          <t>2026-04-26</t>
        </is>
      </c>
      <c r="D1654" s="3" t="n">
        <v>14071.11</v>
      </c>
      <c r="E1654" s="2" t="inlineStr">
        <is>
          <t>ACH</t>
        </is>
      </c>
      <c r="F1654" s="2" t="inlineStr">
        <is>
          <t>US</t>
        </is>
      </c>
      <c r="G1654" s="2" t="inlineStr">
        <is>
          <t>Auto</t>
        </is>
      </c>
    </row>
    <row r="1655">
      <c r="A1655" s="4" t="inlineStr">
        <is>
          <t>TXN_001554</t>
        </is>
      </c>
      <c r="B1655" s="4" t="inlineStr">
        <is>
          <t>C_ORPHAN_006</t>
        </is>
      </c>
      <c r="C1655" s="4" t="inlineStr">
        <is>
          <t>2026-04-26</t>
        </is>
      </c>
      <c r="D1655" s="5" t="n">
        <v>18893.7</v>
      </c>
      <c r="E1655" s="4" t="inlineStr">
        <is>
          <t>Mobile App</t>
        </is>
      </c>
      <c r="F1655" s="4" t="inlineStr">
        <is>
          <t>US</t>
        </is>
      </c>
      <c r="G1655" s="4" t="inlineStr">
        <is>
          <t>Travel</t>
        </is>
      </c>
    </row>
    <row r="1656">
      <c r="A1656" s="2" t="inlineStr">
        <is>
          <t>TXN_001553</t>
        </is>
      </c>
      <c r="B1656" s="2" t="inlineStr">
        <is>
          <t>C_00269</t>
        </is>
      </c>
      <c r="C1656" s="2" t="inlineStr">
        <is>
          <t>2026-04-26</t>
        </is>
      </c>
      <c r="D1656" s="3" t="n">
        <v>922.3099999999999</v>
      </c>
      <c r="E1656" s="2" t="inlineStr">
        <is>
          <t>ACH</t>
        </is>
      </c>
      <c r="F1656" s="2" t="inlineStr">
        <is>
          <t>AE</t>
        </is>
      </c>
      <c r="G1656" s="2" t="inlineStr">
        <is>
          <t>Real Estate</t>
        </is>
      </c>
    </row>
    <row r="1657">
      <c r="A1657" s="4" t="inlineStr">
        <is>
          <t>TXN_001552</t>
        </is>
      </c>
      <c r="B1657" s="4" t="inlineStr">
        <is>
          <t>C_00238</t>
        </is>
      </c>
      <c r="C1657" s="4" t="inlineStr">
        <is>
          <t>2026-04-26</t>
        </is>
      </c>
      <c r="D1657" s="5" t="n">
        <v>1435.07</v>
      </c>
      <c r="E1657" s="4" t="inlineStr">
        <is>
          <t>Mobile App</t>
        </is>
      </c>
      <c r="F1657" s="4" t="inlineStr">
        <is>
          <t>NG</t>
        </is>
      </c>
      <c r="G1657" s="4" t="inlineStr">
        <is>
          <t>Real Estate</t>
        </is>
      </c>
    </row>
    <row r="1658">
      <c r="A1658" s="2" t="inlineStr">
        <is>
          <t>TXN_001557</t>
        </is>
      </c>
      <c r="B1658" s="2" t="inlineStr">
        <is>
          <t>C_00028</t>
        </is>
      </c>
      <c r="C1658" s="2" t="inlineStr">
        <is>
          <t>2026-04-26</t>
        </is>
      </c>
      <c r="D1658" s="3" t="n">
        <v>761.72</v>
      </c>
      <c r="E1658" s="2" t="inlineStr">
        <is>
          <t>ACH</t>
        </is>
      </c>
      <c r="F1658" s="2" t="inlineStr">
        <is>
          <t>NG</t>
        </is>
      </c>
      <c r="G1658" s="2" t="inlineStr">
        <is>
          <t>Food &amp; Beverage</t>
        </is>
      </c>
    </row>
    <row r="1659">
      <c r="A1659" s="4" t="inlineStr">
        <is>
          <t>TXN_001550</t>
        </is>
      </c>
      <c r="B1659" s="4" t="inlineStr">
        <is>
          <t>C_00288</t>
        </is>
      </c>
      <c r="C1659" s="4" t="inlineStr">
        <is>
          <t>2026-04-26</t>
        </is>
      </c>
      <c r="D1659" s="5" t="n">
        <v>336.39</v>
      </c>
      <c r="E1659" s="4" t="inlineStr">
        <is>
          <t>Card</t>
        </is>
      </c>
      <c r="F1659" s="4" t="inlineStr">
        <is>
          <t>US</t>
        </is>
      </c>
      <c r="G1659" s="4" t="inlineStr">
        <is>
          <t>Real Estate</t>
        </is>
      </c>
    </row>
    <row r="1660">
      <c r="A1660" s="2" t="inlineStr">
        <is>
          <t>TXN_001543</t>
        </is>
      </c>
      <c r="B1660" s="2" t="inlineStr">
        <is>
          <t>C_00132</t>
        </is>
      </c>
      <c r="C1660" s="2" t="inlineStr">
        <is>
          <t>2026-04-26</t>
        </is>
      </c>
      <c r="D1660" s="3" t="n">
        <v>750.14</v>
      </c>
      <c r="E1660" s="2" t="inlineStr">
        <is>
          <t>Wire Transfer</t>
        </is>
      </c>
      <c r="F1660" s="2" t="inlineStr">
        <is>
          <t>AE</t>
        </is>
      </c>
      <c r="G1660" s="2" t="inlineStr">
        <is>
          <t>Auto</t>
        </is>
      </c>
    </row>
    <row r="1661">
      <c r="A1661" s="4" t="inlineStr">
        <is>
          <t>TXN_001544</t>
        </is>
      </c>
      <c r="B1661" s="4" t="inlineStr">
        <is>
          <t>C_00131</t>
        </is>
      </c>
      <c r="C1661" s="4" t="inlineStr">
        <is>
          <t>2026-04-26</t>
        </is>
      </c>
      <c r="D1661" s="5" t="n">
        <v>527.79</v>
      </c>
      <c r="E1661" s="4" t="inlineStr">
        <is>
          <t>Card</t>
        </is>
      </c>
      <c r="F1661" s="4" t="inlineStr">
        <is>
          <t>US</t>
        </is>
      </c>
      <c r="G1661" s="4" t="inlineStr">
        <is>
          <t>Crypto Exchange</t>
        </is>
      </c>
    </row>
    <row r="1662">
      <c r="A1662" s="2" t="inlineStr">
        <is>
          <t>TXN_001545</t>
        </is>
      </c>
      <c r="B1662" s="2" t="inlineStr">
        <is>
          <t>C_00068</t>
        </is>
      </c>
      <c r="C1662" s="2" t="inlineStr">
        <is>
          <t>2026-04-26</t>
        </is>
      </c>
      <c r="D1662" s="3" t="n">
        <v>3852.63</v>
      </c>
      <c r="E1662" s="2" t="inlineStr">
        <is>
          <t>Card</t>
        </is>
      </c>
      <c r="F1662" s="2" t="inlineStr">
        <is>
          <t>US</t>
        </is>
      </c>
      <c r="G1662" s="2" t="inlineStr">
        <is>
          <t>Food &amp; Beverage</t>
        </is>
      </c>
    </row>
    <row r="1663">
      <c r="A1663" s="4" t="inlineStr">
        <is>
          <t>TXN_001551</t>
        </is>
      </c>
      <c r="B1663" s="4" t="inlineStr">
        <is>
          <t>C_00281</t>
        </is>
      </c>
      <c r="C1663" s="4" t="inlineStr">
        <is>
          <t>2026-04-26</t>
        </is>
      </c>
      <c r="D1663" s="5" t="n">
        <v>10191.32</v>
      </c>
      <c r="E1663" s="4" t="inlineStr">
        <is>
          <t>Mobile App</t>
        </is>
      </c>
      <c r="F1663" s="4" t="inlineStr">
        <is>
          <t>RU</t>
        </is>
      </c>
      <c r="G1663" s="4" t="inlineStr">
        <is>
          <t>Crypto Exchange</t>
        </is>
      </c>
    </row>
    <row r="1664">
      <c r="A1664" s="2" t="inlineStr">
        <is>
          <t>TXN_001547</t>
        </is>
      </c>
      <c r="B1664" s="2" t="inlineStr">
        <is>
          <t>C_00276</t>
        </is>
      </c>
      <c r="C1664" s="2" t="inlineStr">
        <is>
          <t>2026-04-26</t>
        </is>
      </c>
      <c r="D1664" s="3" t="n">
        <v>1212.81</v>
      </c>
      <c r="E1664" s="2" t="inlineStr">
        <is>
          <t>Card</t>
        </is>
      </c>
      <c r="F1664" s="2" t="inlineStr">
        <is>
          <t>CN</t>
        </is>
      </c>
      <c r="G1664" s="2" t="inlineStr">
        <is>
          <t>Jewelry</t>
        </is>
      </c>
    </row>
    <row r="1665">
      <c r="A1665" s="4" t="inlineStr">
        <is>
          <t>TXN_001548</t>
        </is>
      </c>
      <c r="B1665" s="4" t="inlineStr">
        <is>
          <t>C_00042</t>
        </is>
      </c>
      <c r="C1665" s="4" t="inlineStr">
        <is>
          <t>2026-04-26</t>
        </is>
      </c>
      <c r="D1665" s="5" t="n">
        <v>1421.89</v>
      </c>
      <c r="E1665" s="4" t="inlineStr">
        <is>
          <t>ACH</t>
        </is>
      </c>
      <c r="F1665" s="4" t="inlineStr">
        <is>
          <t>US</t>
        </is>
      </c>
      <c r="G1665" s="4" t="inlineStr">
        <is>
          <t>Real Estate</t>
        </is>
      </c>
    </row>
    <row r="1666">
      <c r="A1666" s="2" t="inlineStr">
        <is>
          <t>TXN_001549</t>
        </is>
      </c>
      <c r="B1666" s="2" t="inlineStr">
        <is>
          <t>C_00253</t>
        </is>
      </c>
      <c r="C1666" s="2" t="inlineStr">
        <is>
          <t>2026-04-26</t>
        </is>
      </c>
      <c r="D1666" s="3" t="n">
        <v>358.38</v>
      </c>
      <c r="E1666" s="2" t="inlineStr">
        <is>
          <t>Cash Deposit</t>
        </is>
      </c>
      <c r="F1666" s="2" t="inlineStr">
        <is>
          <t>AE</t>
        </is>
      </c>
      <c r="G1666" s="2" t="inlineStr">
        <is>
          <t>Travel</t>
        </is>
      </c>
    </row>
    <row r="1667">
      <c r="A1667" s="4" t="inlineStr">
        <is>
          <t>TXN_001546</t>
        </is>
      </c>
      <c r="B1667" s="4" t="inlineStr">
        <is>
          <t>C_00129</t>
        </is>
      </c>
      <c r="C1667" s="4" t="inlineStr">
        <is>
          <t>2026-04-26</t>
        </is>
      </c>
      <c r="D1667" s="5" t="n">
        <v>255.81</v>
      </c>
      <c r="E1667" s="4" t="inlineStr">
        <is>
          <t>Cash Deposit</t>
        </is>
      </c>
      <c r="F1667" s="4" t="inlineStr">
        <is>
          <t>NG</t>
        </is>
      </c>
      <c r="G1667" s="4" t="inlineStr">
        <is>
          <t>Auto</t>
        </is>
      </c>
    </row>
    <row r="1668">
      <c r="A1668" s="2" t="inlineStr">
        <is>
          <t>TXN_001585</t>
        </is>
      </c>
      <c r="B1668" s="2" t="inlineStr">
        <is>
          <t>C_00258</t>
        </is>
      </c>
      <c r="C1668" s="2" t="inlineStr">
        <is>
          <t>2026-04-27</t>
        </is>
      </c>
      <c r="D1668" s="3" t="n">
        <v>5729.53</v>
      </c>
      <c r="E1668" s="2" t="inlineStr">
        <is>
          <t>Card</t>
        </is>
      </c>
      <c r="F1668" s="2" t="inlineStr">
        <is>
          <t>CN</t>
        </is>
      </c>
      <c r="G1668" s="2" t="inlineStr">
        <is>
          <t>Electronics</t>
        </is>
      </c>
    </row>
    <row r="1669">
      <c r="A1669" s="4" t="inlineStr">
        <is>
          <t>TXN_001576</t>
        </is>
      </c>
      <c r="B1669" s="4" t="inlineStr">
        <is>
          <t>C_00284</t>
        </is>
      </c>
      <c r="C1669" s="4" t="inlineStr">
        <is>
          <t>2026-04-27</t>
        </is>
      </c>
      <c r="D1669" s="5" t="n">
        <v>421.73</v>
      </c>
      <c r="E1669" s="4" t="inlineStr">
        <is>
          <t>Card</t>
        </is>
      </c>
      <c r="F1669" s="4" t="inlineStr">
        <is>
          <t>NG</t>
        </is>
      </c>
      <c r="G1669" s="4" t="inlineStr">
        <is>
          <t>Auto</t>
        </is>
      </c>
    </row>
    <row r="1670">
      <c r="A1670" s="2" t="inlineStr">
        <is>
          <t>TXN_001583</t>
        </is>
      </c>
      <c r="B1670" s="2" t="inlineStr">
        <is>
          <t>C_00287</t>
        </is>
      </c>
      <c r="C1670" s="2" t="inlineStr">
        <is>
          <t>2026-04-27</t>
        </is>
      </c>
      <c r="D1670" s="3" t="n">
        <v>1334.31</v>
      </c>
      <c r="E1670" s="2" t="inlineStr">
        <is>
          <t>Cash Deposit</t>
        </is>
      </c>
      <c r="F1670" s="2" t="inlineStr">
        <is>
          <t>MX</t>
        </is>
      </c>
      <c r="G1670" s="2" t="inlineStr">
        <is>
          <t>Money Services</t>
        </is>
      </c>
    </row>
    <row r="1671">
      <c r="A1671" s="4" t="inlineStr">
        <is>
          <t>TXN_001582</t>
        </is>
      </c>
      <c r="B1671" s="4" t="inlineStr">
        <is>
          <t>C_00288</t>
        </is>
      </c>
      <c r="C1671" s="4" t="inlineStr">
        <is>
          <t>2026-04-27</t>
        </is>
      </c>
      <c r="D1671" s="5" t="n">
        <v>1867.12</v>
      </c>
      <c r="E1671" s="4" t="inlineStr">
        <is>
          <t>ACH</t>
        </is>
      </c>
      <c r="F1671" s="4" t="inlineStr">
        <is>
          <t>US</t>
        </is>
      </c>
      <c r="G1671" s="4" t="inlineStr">
        <is>
          <t>Jewelry</t>
        </is>
      </c>
    </row>
    <row r="1672">
      <c r="A1672" s="2" t="inlineStr">
        <is>
          <t>TXN_001581</t>
        </is>
      </c>
      <c r="B1672" s="2" t="inlineStr">
        <is>
          <t>C_00236</t>
        </is>
      </c>
      <c r="C1672" s="2" t="inlineStr">
        <is>
          <t>2026-04-27</t>
        </is>
      </c>
      <c r="D1672" s="3" t="n">
        <v>207.08</v>
      </c>
      <c r="E1672" s="2" t="inlineStr">
        <is>
          <t>Wire Transfer</t>
        </is>
      </c>
      <c r="F1672" s="2" t="inlineStr">
        <is>
          <t>AE</t>
        </is>
      </c>
      <c r="G1672" s="2" t="inlineStr">
        <is>
          <t>Crypto Exchange</t>
        </is>
      </c>
    </row>
    <row r="1673">
      <c r="A1673" s="4" t="inlineStr">
        <is>
          <t>TXN_001580</t>
        </is>
      </c>
      <c r="B1673" s="4" t="inlineStr">
        <is>
          <t>C_00259</t>
        </is>
      </c>
      <c r="C1673" s="4" t="inlineStr">
        <is>
          <t>2026-04-27</t>
        </is>
      </c>
      <c r="D1673" s="5" t="n">
        <v>14958.83</v>
      </c>
      <c r="E1673" s="4" t="inlineStr">
        <is>
          <t>Wire Transfer</t>
        </is>
      </c>
      <c r="F1673" s="4" t="inlineStr">
        <is>
          <t>US</t>
        </is>
      </c>
      <c r="G1673" s="4" t="inlineStr">
        <is>
          <t>Real Estate</t>
        </is>
      </c>
    </row>
    <row r="1674">
      <c r="A1674" s="2" t="inlineStr">
        <is>
          <t>TXN_001579</t>
        </is>
      </c>
      <c r="B1674" s="2" t="inlineStr">
        <is>
          <t>C_00164</t>
        </is>
      </c>
      <c r="C1674" s="2" t="inlineStr">
        <is>
          <t>2026-04-27</t>
        </is>
      </c>
      <c r="D1674" s="3" t="n">
        <v>4321.49</v>
      </c>
      <c r="E1674" s="2" t="inlineStr">
        <is>
          <t>Card</t>
        </is>
      </c>
      <c r="F1674" s="2" t="inlineStr">
        <is>
          <t>AE</t>
        </is>
      </c>
      <c r="G1674" s="2" t="inlineStr">
        <is>
          <t>Retail</t>
        </is>
      </c>
    </row>
    <row r="1675">
      <c r="A1675" s="4" t="inlineStr">
        <is>
          <t>TXN_001578</t>
        </is>
      </c>
      <c r="B1675" s="4" t="inlineStr">
        <is>
          <t>C_00091</t>
        </is>
      </c>
      <c r="C1675" s="4" t="inlineStr">
        <is>
          <t>2026-04-27</t>
        </is>
      </c>
      <c r="D1675" s="5" t="n">
        <v>20372.04</v>
      </c>
      <c r="E1675" s="4" t="inlineStr">
        <is>
          <t>ACH</t>
        </is>
      </c>
      <c r="F1675" s="4" t="inlineStr">
        <is>
          <t>US</t>
        </is>
      </c>
      <c r="G1675" s="4" t="inlineStr">
        <is>
          <t>Electronics</t>
        </is>
      </c>
    </row>
    <row r="1676">
      <c r="A1676" s="2" t="inlineStr">
        <is>
          <t>TXN_001577</t>
        </is>
      </c>
      <c r="B1676" s="2" t="inlineStr">
        <is>
          <t>C_00275</t>
        </is>
      </c>
      <c r="C1676" s="2" t="inlineStr">
        <is>
          <t>2026-04-27</t>
        </is>
      </c>
      <c r="D1676" s="3" t="n">
        <v>383.17</v>
      </c>
      <c r="E1676" s="2" t="inlineStr">
        <is>
          <t>Card</t>
        </is>
      </c>
      <c r="F1676" s="2" t="inlineStr">
        <is>
          <t>US</t>
        </is>
      </c>
      <c r="G1676" s="2" t="inlineStr">
        <is>
          <t>Travel</t>
        </is>
      </c>
    </row>
    <row r="1677">
      <c r="A1677" s="4" t="inlineStr">
        <is>
          <t>TXN_001584</t>
        </is>
      </c>
      <c r="B1677" s="4" t="inlineStr">
        <is>
          <t>C_00029</t>
        </is>
      </c>
      <c r="C1677" s="4" t="inlineStr">
        <is>
          <t>2026-04-27</t>
        </is>
      </c>
      <c r="D1677" s="5" t="n">
        <v>134.71</v>
      </c>
      <c r="E1677" s="4" t="inlineStr">
        <is>
          <t>Cash Deposit</t>
        </is>
      </c>
      <c r="F1677" s="4" t="inlineStr">
        <is>
          <t>US</t>
        </is>
      </c>
      <c r="G1677" s="4" t="inlineStr">
        <is>
          <t>Auto</t>
        </is>
      </c>
    </row>
    <row r="1678">
      <c r="A1678" s="2" t="inlineStr">
        <is>
          <t>TXN_001575</t>
        </is>
      </c>
      <c r="B1678" s="2" t="inlineStr">
        <is>
          <t>C_00272</t>
        </is>
      </c>
      <c r="C1678" s="2" t="inlineStr">
        <is>
          <t>2026-04-27</t>
        </is>
      </c>
      <c r="D1678" s="3" t="n">
        <v>13580.21</v>
      </c>
      <c r="E1678" s="2" t="inlineStr">
        <is>
          <t>Wire Transfer</t>
        </is>
      </c>
      <c r="F1678" s="2" t="inlineStr">
        <is>
          <t>NG</t>
        </is>
      </c>
      <c r="G1678" s="2" t="inlineStr">
        <is>
          <t>Electronics</t>
        </is>
      </c>
    </row>
    <row r="1679">
      <c r="A1679" s="4" t="inlineStr">
        <is>
          <t>TXN_001573</t>
        </is>
      </c>
      <c r="B1679" s="4" t="inlineStr">
        <is>
          <t>C_00046</t>
        </is>
      </c>
      <c r="C1679" s="4" t="inlineStr">
        <is>
          <t>2026-04-27</t>
        </is>
      </c>
      <c r="D1679" s="5" t="n">
        <v>298.46</v>
      </c>
      <c r="E1679" s="4" t="inlineStr">
        <is>
          <t>ACH</t>
        </is>
      </c>
      <c r="F1679" s="4" t="inlineStr">
        <is>
          <t>US</t>
        </is>
      </c>
      <c r="G1679" s="4" t="inlineStr">
        <is>
          <t>Retail</t>
        </is>
      </c>
    </row>
    <row r="1680">
      <c r="A1680" s="2" t="inlineStr">
        <is>
          <t>TXN_001563</t>
        </is>
      </c>
      <c r="B1680" s="2" t="inlineStr">
        <is>
          <t>C_00298</t>
        </is>
      </c>
      <c r="C1680" s="2" t="inlineStr">
        <is>
          <t>2026-04-27</t>
        </is>
      </c>
      <c r="D1680" s="3" t="n">
        <v>490.08</v>
      </c>
      <c r="E1680" s="2" t="inlineStr">
        <is>
          <t>Cash Deposit</t>
        </is>
      </c>
      <c r="F1680" s="2" t="inlineStr">
        <is>
          <t>US</t>
        </is>
      </c>
      <c r="G1680" s="2" t="inlineStr">
        <is>
          <t>Electronics</t>
        </is>
      </c>
    </row>
    <row r="1681">
      <c r="A1681" s="4" t="inlineStr">
        <is>
          <t>TXN_001574</t>
        </is>
      </c>
      <c r="B1681" s="4" t="inlineStr">
        <is>
          <t>C_00266</t>
        </is>
      </c>
      <c r="C1681" s="4" t="inlineStr">
        <is>
          <t>2026-04-27</t>
        </is>
      </c>
      <c r="D1681" s="5" t="n">
        <v>2290.16</v>
      </c>
      <c r="E1681" s="4" t="inlineStr">
        <is>
          <t>Card</t>
        </is>
      </c>
      <c r="F1681" s="4" t="inlineStr">
        <is>
          <t>CN</t>
        </is>
      </c>
      <c r="G1681" s="4" t="inlineStr">
        <is>
          <t>Electronics</t>
        </is>
      </c>
    </row>
    <row r="1682">
      <c r="A1682" s="2" t="inlineStr">
        <is>
          <t>TXN_001565</t>
        </is>
      </c>
      <c r="B1682" s="2" t="inlineStr">
        <is>
          <t>C_00158</t>
        </is>
      </c>
      <c r="C1682" s="2" t="inlineStr">
        <is>
          <t>2026-04-27</t>
        </is>
      </c>
      <c r="D1682" s="3" t="n">
        <v>1296.18</v>
      </c>
      <c r="E1682" s="2" t="inlineStr">
        <is>
          <t>Cash Deposit</t>
        </is>
      </c>
      <c r="F1682" s="2" t="inlineStr">
        <is>
          <t>US</t>
        </is>
      </c>
      <c r="G1682" s="2" t="inlineStr">
        <is>
          <t>Electronics</t>
        </is>
      </c>
    </row>
    <row r="1683">
      <c r="A1683" s="4" t="inlineStr">
        <is>
          <t>TXN_001566</t>
        </is>
      </c>
      <c r="B1683" s="4" t="inlineStr">
        <is>
          <t>C_00066</t>
        </is>
      </c>
      <c r="C1683" s="4" t="inlineStr">
        <is>
          <t>2026-04-27</t>
        </is>
      </c>
      <c r="D1683" s="5" t="n">
        <v>1246.24</v>
      </c>
      <c r="E1683" s="4" t="inlineStr">
        <is>
          <t>Card</t>
        </is>
      </c>
      <c r="F1683" s="4" t="inlineStr">
        <is>
          <t>US</t>
        </is>
      </c>
      <c r="G1683" s="4" t="inlineStr">
        <is>
          <t>Real Estate</t>
        </is>
      </c>
    </row>
    <row r="1684">
      <c r="A1684" s="2" t="inlineStr">
        <is>
          <t>TXN_001567</t>
        </is>
      </c>
      <c r="B1684" s="2" t="inlineStr">
        <is>
          <t>C_ORPHAN_008</t>
        </is>
      </c>
      <c r="C1684" s="2" t="inlineStr">
        <is>
          <t>2026-04-27</t>
        </is>
      </c>
      <c r="D1684" s="3" t="n">
        <v>313.29</v>
      </c>
      <c r="E1684" s="2" t="inlineStr">
        <is>
          <t>Wire Transfer</t>
        </is>
      </c>
      <c r="F1684" s="2" t="inlineStr">
        <is>
          <t>US</t>
        </is>
      </c>
      <c r="G1684" s="2" t="inlineStr">
        <is>
          <t>Healthcare</t>
        </is>
      </c>
    </row>
    <row r="1685">
      <c r="A1685" s="4" t="inlineStr">
        <is>
          <t>TXN_001564</t>
        </is>
      </c>
      <c r="B1685" s="4" t="inlineStr">
        <is>
          <t>C_00026</t>
        </is>
      </c>
      <c r="C1685" s="4" t="inlineStr">
        <is>
          <t>2026-04-27</t>
        </is>
      </c>
      <c r="D1685" s="5" t="n">
        <v>816.02</v>
      </c>
      <c r="E1685" s="4" t="inlineStr">
        <is>
          <t>Mobile App</t>
        </is>
      </c>
      <c r="F1685" s="4" t="inlineStr">
        <is>
          <t>US</t>
        </is>
      </c>
      <c r="G1685" s="4" t="inlineStr">
        <is>
          <t>Money Services</t>
        </is>
      </c>
    </row>
    <row r="1686">
      <c r="A1686" s="2" t="inlineStr">
        <is>
          <t>TXN_001569</t>
        </is>
      </c>
      <c r="B1686" s="2" t="inlineStr">
        <is>
          <t>C_00084</t>
        </is>
      </c>
      <c r="C1686" s="2" t="inlineStr">
        <is>
          <t>2026-04-27</t>
        </is>
      </c>
      <c r="D1686" s="3" t="n">
        <v>1211.16</v>
      </c>
      <c r="E1686" s="2" t="inlineStr">
        <is>
          <t>Wire Transfer</t>
        </is>
      </c>
      <c r="F1686" s="2" t="inlineStr">
        <is>
          <t>US</t>
        </is>
      </c>
      <c r="G1686" s="2" t="inlineStr">
        <is>
          <t>Travel</t>
        </is>
      </c>
    </row>
    <row r="1687">
      <c r="A1687" s="4" t="inlineStr">
        <is>
          <t>TXN_001571</t>
        </is>
      </c>
      <c r="B1687" s="4" t="inlineStr">
        <is>
          <t>C_00214</t>
        </is>
      </c>
      <c r="C1687" s="4" t="inlineStr">
        <is>
          <t>2026-04-27</t>
        </is>
      </c>
      <c r="D1687" s="5" t="n">
        <v>10650.94</v>
      </c>
      <c r="E1687" s="4" t="inlineStr">
        <is>
          <t>Cash Deposit</t>
        </is>
      </c>
      <c r="F1687" s="4" t="inlineStr">
        <is>
          <t>US</t>
        </is>
      </c>
      <c r="G1687" s="4" t="inlineStr">
        <is>
          <t>Money Services</t>
        </is>
      </c>
    </row>
    <row r="1688">
      <c r="A1688" s="2" t="inlineStr">
        <is>
          <t>TXN_001572</t>
        </is>
      </c>
      <c r="B1688" s="2" t="inlineStr">
        <is>
          <t>C_00193</t>
        </is>
      </c>
      <c r="C1688" s="2" t="inlineStr">
        <is>
          <t>2026-04-27</t>
        </is>
      </c>
      <c r="D1688" s="3" t="n">
        <v>2098.16</v>
      </c>
      <c r="E1688" s="2" t="inlineStr">
        <is>
          <t>Wire Transfer</t>
        </is>
      </c>
      <c r="F1688" s="2" t="inlineStr">
        <is>
          <t>US</t>
        </is>
      </c>
      <c r="G1688" s="2" t="inlineStr">
        <is>
          <t>Money Services</t>
        </is>
      </c>
    </row>
    <row r="1689">
      <c r="A1689" s="4" t="inlineStr">
        <is>
          <t>TXN_001568</t>
        </is>
      </c>
      <c r="B1689" s="4" t="inlineStr">
        <is>
          <t>C_00146</t>
        </is>
      </c>
      <c r="C1689" s="4" t="inlineStr">
        <is>
          <t>2026-04-27</t>
        </is>
      </c>
      <c r="D1689" s="5" t="n">
        <v>725.4299999999999</v>
      </c>
      <c r="E1689" s="4" t="inlineStr">
        <is>
          <t>ACH</t>
        </is>
      </c>
      <c r="F1689" s="4" t="inlineStr">
        <is>
          <t>US</t>
        </is>
      </c>
      <c r="G1689" s="4" t="inlineStr">
        <is>
          <t>Crypto Exchange</t>
        </is>
      </c>
    </row>
    <row r="1690">
      <c r="A1690" s="2" t="inlineStr">
        <is>
          <t>TXN_001570</t>
        </is>
      </c>
      <c r="B1690" s="2" t="inlineStr">
        <is>
          <t>C_00105</t>
        </is>
      </c>
      <c r="C1690" s="2" t="inlineStr">
        <is>
          <t>2026-04-27</t>
        </is>
      </c>
      <c r="D1690" s="3" t="n">
        <v>1117.39</v>
      </c>
      <c r="E1690" s="2" t="inlineStr">
        <is>
          <t>Wire Transfer</t>
        </is>
      </c>
      <c r="F1690" s="2" t="inlineStr">
        <is>
          <t>US</t>
        </is>
      </c>
      <c r="G1690" s="2" t="inlineStr">
        <is>
          <t>Electronics</t>
        </is>
      </c>
    </row>
    <row r="1691">
      <c r="A1691" s="4" t="inlineStr">
        <is>
          <t>TXN_001593</t>
        </is>
      </c>
      <c r="B1691" s="4" t="inlineStr">
        <is>
          <t>C_00223</t>
        </is>
      </c>
      <c r="C1691" s="4" t="inlineStr">
        <is>
          <t>2026-04-28</t>
        </is>
      </c>
      <c r="D1691" s="5" t="n">
        <v>1533.13</v>
      </c>
      <c r="E1691" s="4" t="inlineStr">
        <is>
          <t>Wire Transfer</t>
        </is>
      </c>
      <c r="F1691" s="4" t="inlineStr">
        <is>
          <t>US</t>
        </is>
      </c>
      <c r="G1691" s="4" t="inlineStr">
        <is>
          <t>Healthcare</t>
        </is>
      </c>
    </row>
    <row r="1692">
      <c r="A1692" s="2" t="inlineStr">
        <is>
          <t>TXN_001586</t>
        </is>
      </c>
      <c r="B1692" s="2" t="inlineStr">
        <is>
          <t>C_00208</t>
        </is>
      </c>
      <c r="C1692" s="2" t="inlineStr">
        <is>
          <t>2026-04-28</t>
        </is>
      </c>
      <c r="D1692" s="3" t="n">
        <v>1211.17</v>
      </c>
      <c r="E1692" s="2" t="inlineStr">
        <is>
          <t>Cash Deposit</t>
        </is>
      </c>
      <c r="F1692" s="2" t="inlineStr">
        <is>
          <t>US</t>
        </is>
      </c>
      <c r="G1692" s="2" t="inlineStr">
        <is>
          <t>Jewelry</t>
        </is>
      </c>
    </row>
    <row r="1693">
      <c r="A1693" s="4" t="inlineStr">
        <is>
          <t>TXN_001587</t>
        </is>
      </c>
      <c r="B1693" s="4" t="inlineStr">
        <is>
          <t>C_00272</t>
        </is>
      </c>
      <c r="C1693" s="4" t="inlineStr">
        <is>
          <t>2026-04-28</t>
        </is>
      </c>
      <c r="D1693" s="5" t="n">
        <v>6291.61</v>
      </c>
      <c r="E1693" s="4" t="inlineStr">
        <is>
          <t>Card</t>
        </is>
      </c>
      <c r="F1693" s="4" t="inlineStr">
        <is>
          <t>AE</t>
        </is>
      </c>
      <c r="G1693" s="4" t="inlineStr">
        <is>
          <t>Auto</t>
        </is>
      </c>
    </row>
    <row r="1694">
      <c r="A1694" s="2" t="inlineStr">
        <is>
          <t>TXN_001588</t>
        </is>
      </c>
      <c r="B1694" s="2" t="inlineStr">
        <is>
          <t>C_00281</t>
        </is>
      </c>
      <c r="C1694" s="2" t="inlineStr">
        <is>
          <t>2026-04-28</t>
        </is>
      </c>
      <c r="D1694" s="3" t="n">
        <v>1628.08</v>
      </c>
      <c r="E1694" s="2" t="inlineStr">
        <is>
          <t>Cash Deposit</t>
        </is>
      </c>
      <c r="F1694" s="2" t="inlineStr">
        <is>
          <t>AE</t>
        </is>
      </c>
      <c r="G1694" s="2" t="inlineStr">
        <is>
          <t>Electronics</t>
        </is>
      </c>
    </row>
    <row r="1695">
      <c r="A1695" s="4" t="inlineStr">
        <is>
          <t>TXN_001589</t>
        </is>
      </c>
      <c r="B1695" s="4" t="inlineStr">
        <is>
          <t>C_00292</t>
        </is>
      </c>
      <c r="C1695" s="4" t="inlineStr">
        <is>
          <t>2026-04-28</t>
        </is>
      </c>
      <c r="D1695" s="5" t="n">
        <v>1718.87</v>
      </c>
      <c r="E1695" s="4" t="inlineStr">
        <is>
          <t>ACH</t>
        </is>
      </c>
      <c r="F1695" s="4" t="inlineStr">
        <is>
          <t>US</t>
        </is>
      </c>
      <c r="G1695" s="4" t="inlineStr">
        <is>
          <t>Healthcare</t>
        </is>
      </c>
    </row>
    <row r="1696">
      <c r="A1696" s="2" t="inlineStr">
        <is>
          <t>TXN_001590</t>
        </is>
      </c>
      <c r="B1696" s="2" t="inlineStr">
        <is>
          <t>C_00095</t>
        </is>
      </c>
      <c r="C1696" s="2" t="inlineStr">
        <is>
          <t>2026-04-28</t>
        </is>
      </c>
      <c r="D1696" s="3" t="n">
        <v>938.11</v>
      </c>
      <c r="E1696" s="2" t="inlineStr">
        <is>
          <t>Mobile App</t>
        </is>
      </c>
      <c r="F1696" s="2" t="inlineStr">
        <is>
          <t>US</t>
        </is>
      </c>
      <c r="G1696" s="2" t="inlineStr">
        <is>
          <t>Retail</t>
        </is>
      </c>
    </row>
    <row r="1697">
      <c r="A1697" s="4" t="inlineStr">
        <is>
          <t>TXN_001591</t>
        </is>
      </c>
      <c r="B1697" s="4" t="inlineStr">
        <is>
          <t>C_00257</t>
        </is>
      </c>
      <c r="C1697" s="4" t="inlineStr">
        <is>
          <t>2026-04-28</t>
        </is>
      </c>
      <c r="D1697" s="5" t="n">
        <v>1712.72</v>
      </c>
      <c r="E1697" s="4" t="inlineStr">
        <is>
          <t>Card</t>
        </is>
      </c>
      <c r="F1697" s="4" t="inlineStr">
        <is>
          <t>US</t>
        </is>
      </c>
      <c r="G1697" s="4" t="inlineStr">
        <is>
          <t>Real Estate</t>
        </is>
      </c>
    </row>
    <row r="1698">
      <c r="A1698" s="2" t="inlineStr">
        <is>
          <t>TXN_001592</t>
        </is>
      </c>
      <c r="B1698" s="2" t="inlineStr">
        <is>
          <t>C_00170</t>
        </is>
      </c>
      <c r="C1698" s="2" t="inlineStr">
        <is>
          <t>2026-04-28</t>
        </is>
      </c>
      <c r="D1698" s="3" t="n">
        <v>366.74</v>
      </c>
      <c r="E1698" s="2" t="inlineStr">
        <is>
          <t>Card</t>
        </is>
      </c>
      <c r="F1698" s="2" t="inlineStr">
        <is>
          <t>US</t>
        </is>
      </c>
      <c r="G1698" s="2" t="inlineStr">
        <is>
          <t>Money Services</t>
        </is>
      </c>
    </row>
    <row r="1699">
      <c r="A1699" s="4" t="inlineStr">
        <is>
          <t>TXN_001594</t>
        </is>
      </c>
      <c r="B1699" s="4" t="inlineStr">
        <is>
          <t>C_00118</t>
        </is>
      </c>
      <c r="C1699" s="4" t="inlineStr">
        <is>
          <t>2026-04-28</t>
        </is>
      </c>
      <c r="D1699" s="5" t="n">
        <v>3545.86</v>
      </c>
      <c r="E1699" s="4" t="inlineStr">
        <is>
          <t>Card</t>
        </is>
      </c>
      <c r="F1699" s="4" t="inlineStr">
        <is>
          <t>US</t>
        </is>
      </c>
      <c r="G1699" s="4" t="inlineStr">
        <is>
          <t>Electronics</t>
        </is>
      </c>
    </row>
    <row r="1700">
      <c r="A1700" s="2" t="inlineStr">
        <is>
          <t>TXN_001596</t>
        </is>
      </c>
      <c r="B1700" s="2" t="inlineStr">
        <is>
          <t>C_00171</t>
        </is>
      </c>
      <c r="C1700" s="2" t="inlineStr">
        <is>
          <t>2026-04-28</t>
        </is>
      </c>
      <c r="D1700" s="3" t="n">
        <v>457.82</v>
      </c>
      <c r="E1700" s="2" t="inlineStr">
        <is>
          <t>Card</t>
        </is>
      </c>
      <c r="F1700" s="2" t="inlineStr">
        <is>
          <t>CN</t>
        </is>
      </c>
      <c r="G1700" s="2" t="inlineStr">
        <is>
          <t>Crypto Exchange</t>
        </is>
      </c>
    </row>
    <row r="1701">
      <c r="A1701" s="4" t="inlineStr">
        <is>
          <t>TXN_001597</t>
        </is>
      </c>
      <c r="B1701" s="4" t="inlineStr">
        <is>
          <t>C_00194</t>
        </is>
      </c>
      <c r="C1701" s="4" t="inlineStr">
        <is>
          <t>2026-04-28</t>
        </is>
      </c>
      <c r="D1701" s="5" t="n">
        <v>2206.46</v>
      </c>
      <c r="E1701" s="4" t="inlineStr">
        <is>
          <t>Mobile App</t>
        </is>
      </c>
      <c r="F1701" s="4" t="inlineStr">
        <is>
          <t>US</t>
        </is>
      </c>
      <c r="G1701" s="4" t="inlineStr">
        <is>
          <t>Jewelry</t>
        </is>
      </c>
    </row>
    <row r="1702">
      <c r="A1702" s="2" t="inlineStr">
        <is>
          <t>TXN_001598</t>
        </is>
      </c>
      <c r="B1702" s="2" t="inlineStr">
        <is>
          <t>C_00052</t>
        </is>
      </c>
      <c r="C1702" s="2" t="inlineStr">
        <is>
          <t>2026-04-28</t>
        </is>
      </c>
      <c r="D1702" s="3" t="n">
        <v>3360</v>
      </c>
      <c r="E1702" s="2" t="inlineStr">
        <is>
          <t>Mobile App</t>
        </is>
      </c>
      <c r="F1702" s="2" t="inlineStr">
        <is>
          <t>US</t>
        </is>
      </c>
      <c r="G1702" s="2" t="inlineStr">
        <is>
          <t>Electronics</t>
        </is>
      </c>
    </row>
    <row r="1703">
      <c r="A1703" s="4" t="inlineStr">
        <is>
          <t>TXN_001599</t>
        </is>
      </c>
      <c r="B1703" s="4" t="inlineStr">
        <is>
          <t>C_00029</t>
        </is>
      </c>
      <c r="C1703" s="4" t="inlineStr">
        <is>
          <t>2026-04-28</t>
        </is>
      </c>
      <c r="D1703" s="5" t="n">
        <v>947.85</v>
      </c>
      <c r="E1703" s="4" t="inlineStr">
        <is>
          <t>Wire Transfer</t>
        </is>
      </c>
      <c r="F1703" s="4" t="inlineStr">
        <is>
          <t>AE</t>
        </is>
      </c>
      <c r="G1703" s="4" t="inlineStr">
        <is>
          <t>Food &amp; Beverage</t>
        </is>
      </c>
    </row>
    <row r="1704">
      <c r="A1704" s="2" t="inlineStr">
        <is>
          <t>TXN_001595</t>
        </is>
      </c>
      <c r="B1704" s="2" t="inlineStr">
        <is>
          <t>C_00073</t>
        </is>
      </c>
      <c r="C1704" s="2" t="inlineStr">
        <is>
          <t>2026-04-28</t>
        </is>
      </c>
      <c r="D1704" s="3" t="n">
        <v>2260.41</v>
      </c>
      <c r="E1704" s="2" t="inlineStr">
        <is>
          <t>ACH</t>
        </is>
      </c>
      <c r="F1704" s="2" t="inlineStr">
        <is>
          <t>US</t>
        </is>
      </c>
      <c r="G1704" s="2" t="inlineStr">
        <is>
          <t>Auto</t>
        </is>
      </c>
    </row>
    <row r="1705">
      <c r="A1705" s="4" t="inlineStr">
        <is>
          <t>TXN_001612</t>
        </is>
      </c>
      <c r="B1705" s="4" t="inlineStr">
        <is>
          <t>C_00181</t>
        </is>
      </c>
      <c r="C1705" s="4" t="inlineStr">
        <is>
          <t>2026-04-29</t>
        </is>
      </c>
      <c r="D1705" s="5" t="n">
        <v>2447.24</v>
      </c>
      <c r="E1705" s="4" t="inlineStr">
        <is>
          <t>Cash Deposit</t>
        </is>
      </c>
      <c r="F1705" s="4" t="inlineStr">
        <is>
          <t>RU</t>
        </is>
      </c>
      <c r="G1705" s="4" t="inlineStr">
        <is>
          <t>Auto</t>
        </is>
      </c>
    </row>
    <row r="1706">
      <c r="A1706" s="2" t="inlineStr">
        <is>
          <t>TXN_001611</t>
        </is>
      </c>
      <c r="B1706" s="2" t="inlineStr">
        <is>
          <t>C_00252</t>
        </is>
      </c>
      <c r="C1706" s="2" t="inlineStr">
        <is>
          <t>2026-04-29</t>
        </is>
      </c>
      <c r="D1706" s="3" t="n">
        <v>1975.46</v>
      </c>
      <c r="E1706" s="2" t="inlineStr">
        <is>
          <t>Card</t>
        </is>
      </c>
      <c r="F1706" s="2" t="inlineStr">
        <is>
          <t>US</t>
        </is>
      </c>
      <c r="G1706" s="2" t="inlineStr">
        <is>
          <t>Travel</t>
        </is>
      </c>
    </row>
    <row r="1707">
      <c r="A1707" s="4" t="inlineStr">
        <is>
          <t>TXN_001610</t>
        </is>
      </c>
      <c r="B1707" s="4" t="inlineStr">
        <is>
          <t>C_00181</t>
        </is>
      </c>
      <c r="C1707" s="4" t="inlineStr">
        <is>
          <t>2026-04-29</t>
        </is>
      </c>
      <c r="D1707" s="5" t="n">
        <v>9540.040000000001</v>
      </c>
      <c r="E1707" s="4" t="inlineStr">
        <is>
          <t>Mobile App</t>
        </is>
      </c>
      <c r="F1707" s="4" t="inlineStr">
        <is>
          <t>US</t>
        </is>
      </c>
      <c r="G1707" s="4" t="inlineStr">
        <is>
          <t>Jewelry</t>
        </is>
      </c>
    </row>
    <row r="1708">
      <c r="A1708" s="2" t="inlineStr">
        <is>
          <t>TXN_001609</t>
        </is>
      </c>
      <c r="B1708" s="2" t="inlineStr">
        <is>
          <t>C_00178</t>
        </is>
      </c>
      <c r="C1708" s="2" t="inlineStr">
        <is>
          <t>2026-04-29</t>
        </is>
      </c>
      <c r="D1708" s="3" t="n">
        <v>1640.8</v>
      </c>
      <c r="E1708" s="2" t="inlineStr">
        <is>
          <t>ACH</t>
        </is>
      </c>
      <c r="F1708" s="2" t="inlineStr">
        <is>
          <t>US</t>
        </is>
      </c>
      <c r="G1708" s="2" t="inlineStr">
        <is>
          <t>Retail</t>
        </is>
      </c>
    </row>
    <row r="1709">
      <c r="A1709" s="4" t="inlineStr">
        <is>
          <t>TXN_001608</t>
        </is>
      </c>
      <c r="B1709" s="4" t="inlineStr">
        <is>
          <t>C_00121</t>
        </is>
      </c>
      <c r="C1709" s="4" t="inlineStr">
        <is>
          <t>2026-04-29</t>
        </is>
      </c>
      <c r="D1709" s="5" t="n">
        <v>2209.64</v>
      </c>
      <c r="E1709" s="4" t="inlineStr">
        <is>
          <t>ACH</t>
        </is>
      </c>
      <c r="F1709" s="4" t="inlineStr">
        <is>
          <t>US</t>
        </is>
      </c>
      <c r="G1709" s="4" t="inlineStr">
        <is>
          <t>Real Estate</t>
        </is>
      </c>
    </row>
    <row r="1710">
      <c r="A1710" s="2" t="inlineStr">
        <is>
          <t>TXN_001602</t>
        </is>
      </c>
      <c r="B1710" s="2" t="inlineStr">
        <is>
          <t>C_00078</t>
        </is>
      </c>
      <c r="C1710" s="2" t="inlineStr">
        <is>
          <t>2026-04-29</t>
        </is>
      </c>
      <c r="D1710" s="3" t="n">
        <v>5382.31</v>
      </c>
      <c r="E1710" s="2" t="inlineStr">
        <is>
          <t>Wire Transfer</t>
        </is>
      </c>
      <c r="F1710" s="2" t="inlineStr">
        <is>
          <t>CA</t>
        </is>
      </c>
      <c r="G1710" s="2" t="inlineStr">
        <is>
          <t>Real Estate</t>
        </is>
      </c>
    </row>
    <row r="1711">
      <c r="A1711" s="4" t="inlineStr">
        <is>
          <t>TXN_001606</t>
        </is>
      </c>
      <c r="B1711" s="4" t="inlineStr">
        <is>
          <t>C_00076</t>
        </is>
      </c>
      <c r="C1711" s="4" t="inlineStr">
        <is>
          <t>2026-04-29</t>
        </is>
      </c>
      <c r="D1711" s="5" t="n">
        <v>402.83</v>
      </c>
      <c r="E1711" s="4" t="inlineStr">
        <is>
          <t>Card</t>
        </is>
      </c>
      <c r="F1711" s="4" t="inlineStr">
        <is>
          <t>US</t>
        </is>
      </c>
      <c r="G1711" s="4" t="inlineStr">
        <is>
          <t>Food &amp; Beverage</t>
        </is>
      </c>
    </row>
    <row r="1712">
      <c r="A1712" s="2" t="inlineStr">
        <is>
          <t>TXN_001605</t>
        </is>
      </c>
      <c r="B1712" s="2" t="inlineStr">
        <is>
          <t>C_00141</t>
        </is>
      </c>
      <c r="C1712" s="2" t="inlineStr">
        <is>
          <t>2026-04-29</t>
        </is>
      </c>
      <c r="D1712" s="3" t="n">
        <v>5016.99</v>
      </c>
      <c r="E1712" s="2" t="inlineStr">
        <is>
          <t>ACH</t>
        </is>
      </c>
      <c r="F1712" s="2" t="inlineStr">
        <is>
          <t>NG</t>
        </is>
      </c>
      <c r="G1712" s="2" t="inlineStr">
        <is>
          <t>Real Estate</t>
        </is>
      </c>
    </row>
    <row r="1713">
      <c r="A1713" s="4" t="inlineStr">
        <is>
          <t>TXN_001604</t>
        </is>
      </c>
      <c r="B1713" s="4" t="inlineStr">
        <is>
          <t>C_00060</t>
        </is>
      </c>
      <c r="C1713" s="4" t="inlineStr">
        <is>
          <t>2026-04-29</t>
        </is>
      </c>
      <c r="D1713" s="5" t="n">
        <v>3765.46</v>
      </c>
      <c r="E1713" s="4" t="inlineStr">
        <is>
          <t>ACH</t>
        </is>
      </c>
      <c r="F1713" s="4" t="inlineStr">
        <is>
          <t>NG</t>
        </is>
      </c>
      <c r="G1713" s="4" t="inlineStr">
        <is>
          <t>Travel</t>
        </is>
      </c>
    </row>
    <row r="1714">
      <c r="A1714" s="2" t="inlineStr">
        <is>
          <t>TXN_001603</t>
        </is>
      </c>
      <c r="B1714" s="2" t="inlineStr">
        <is>
          <t>C_00249</t>
        </is>
      </c>
      <c r="C1714" s="2" t="inlineStr">
        <is>
          <t>2026-04-29</t>
        </is>
      </c>
      <c r="D1714" s="3" t="n">
        <v>3567.72</v>
      </c>
      <c r="E1714" s="2" t="inlineStr">
        <is>
          <t>Card</t>
        </is>
      </c>
      <c r="F1714" s="2" t="inlineStr">
        <is>
          <t>US</t>
        </is>
      </c>
      <c r="G1714" s="2" t="inlineStr">
        <is>
          <t>Healthcare</t>
        </is>
      </c>
    </row>
    <row r="1715">
      <c r="A1715" s="4" t="inlineStr">
        <is>
          <t>TXN_001601</t>
        </is>
      </c>
      <c r="B1715" s="4" t="inlineStr">
        <is>
          <t>C_00254</t>
        </is>
      </c>
      <c r="C1715" s="4" t="inlineStr">
        <is>
          <t>2026-04-29</t>
        </is>
      </c>
      <c r="D1715" s="5" t="n">
        <v>2996.55</v>
      </c>
      <c r="E1715" s="4" t="inlineStr">
        <is>
          <t>Mobile App</t>
        </is>
      </c>
      <c r="F1715" s="4" t="inlineStr">
        <is>
          <t>US</t>
        </is>
      </c>
      <c r="G1715" s="4" t="inlineStr">
        <is>
          <t>Jewelry</t>
        </is>
      </c>
    </row>
    <row r="1716">
      <c r="A1716" s="2" t="inlineStr">
        <is>
          <t>TXN_001600</t>
        </is>
      </c>
      <c r="B1716" s="2" t="inlineStr">
        <is>
          <t>C_00055</t>
        </is>
      </c>
      <c r="C1716" s="2" t="inlineStr">
        <is>
          <t>2026-04-29</t>
        </is>
      </c>
      <c r="D1716" s="3" t="n">
        <v>36653.7</v>
      </c>
      <c r="E1716" s="2" t="inlineStr">
        <is>
          <t>Cash Deposit</t>
        </is>
      </c>
      <c r="F1716" s="2" t="inlineStr">
        <is>
          <t>US</t>
        </is>
      </c>
      <c r="G1716" s="2" t="inlineStr">
        <is>
          <t>Real Estate</t>
        </is>
      </c>
    </row>
    <row r="1717">
      <c r="A1717" s="4" t="inlineStr">
        <is>
          <t>TXN_001607</t>
        </is>
      </c>
      <c r="B1717" s="4" t="inlineStr">
        <is>
          <t>C_00056</t>
        </is>
      </c>
      <c r="C1717" s="4" t="inlineStr">
        <is>
          <t>2026-04-29</t>
        </is>
      </c>
      <c r="D1717" s="5" t="n">
        <v>2711.38</v>
      </c>
      <c r="E1717" s="4" t="inlineStr">
        <is>
          <t>Cash Deposit</t>
        </is>
      </c>
      <c r="F1717" s="4" t="inlineStr">
        <is>
          <t>CN</t>
        </is>
      </c>
      <c r="G1717" s="4" t="inlineStr">
        <is>
          <t>Auto</t>
        </is>
      </c>
    </row>
    <row r="1718">
      <c r="A1718" s="2" t="inlineStr">
        <is>
          <t>TXN_001630</t>
        </is>
      </c>
      <c r="B1718" s="2" t="inlineStr">
        <is>
          <t>C_00267</t>
        </is>
      </c>
      <c r="C1718" s="2" t="inlineStr">
        <is>
          <t>2026-04-30</t>
        </is>
      </c>
      <c r="D1718" s="3" t="n">
        <v>1252.36</v>
      </c>
      <c r="E1718" s="2" t="inlineStr">
        <is>
          <t>Wire Transfer</t>
        </is>
      </c>
      <c r="F1718" s="2" t="inlineStr">
        <is>
          <t>US</t>
        </is>
      </c>
      <c r="G1718" s="2" t="inlineStr">
        <is>
          <t>Retail</t>
        </is>
      </c>
    </row>
    <row r="1719">
      <c r="A1719" s="4" t="inlineStr">
        <is>
          <t>TXN_001629</t>
        </is>
      </c>
      <c r="B1719" s="4" t="inlineStr">
        <is>
          <t>C_00282</t>
        </is>
      </c>
      <c r="C1719" s="4" t="inlineStr">
        <is>
          <t>2026-04-30</t>
        </is>
      </c>
      <c r="D1719" s="5" t="n">
        <v>1023.49</v>
      </c>
      <c r="E1719" s="4" t="inlineStr">
        <is>
          <t>Mobile App</t>
        </is>
      </c>
      <c r="F1719" s="4" t="inlineStr">
        <is>
          <t>AE</t>
        </is>
      </c>
      <c r="G1719" s="4" t="inlineStr">
        <is>
          <t>Money Services</t>
        </is>
      </c>
    </row>
    <row r="1720">
      <c r="A1720" s="2" t="inlineStr">
        <is>
          <t>TXN_001628</t>
        </is>
      </c>
      <c r="B1720" s="2" t="inlineStr">
        <is>
          <t>C_00214</t>
        </is>
      </c>
      <c r="C1720" s="2" t="inlineStr">
        <is>
          <t>2026-04-30</t>
        </is>
      </c>
      <c r="D1720" s="3" t="n">
        <v>3017.97</v>
      </c>
      <c r="E1720" s="2" t="inlineStr">
        <is>
          <t>Mobile App</t>
        </is>
      </c>
      <c r="F1720" s="2" t="inlineStr">
        <is>
          <t>US</t>
        </is>
      </c>
      <c r="G1720" s="2" t="inlineStr">
        <is>
          <t>Electronics</t>
        </is>
      </c>
    </row>
    <row r="1721">
      <c r="A1721" s="4" t="inlineStr">
        <is>
          <t>TXN_001627</t>
        </is>
      </c>
      <c r="B1721" s="4" t="inlineStr">
        <is>
          <t>C_00056</t>
        </is>
      </c>
      <c r="C1721" s="4" t="inlineStr">
        <is>
          <t>2026-04-30</t>
        </is>
      </c>
      <c r="D1721" s="5" t="n">
        <v>108.85</v>
      </c>
      <c r="E1721" s="4" t="inlineStr">
        <is>
          <t>ACH</t>
        </is>
      </c>
      <c r="F1721" s="4" t="inlineStr">
        <is>
          <t>US</t>
        </is>
      </c>
      <c r="G1721" s="4" t="inlineStr">
        <is>
          <t>Money Services</t>
        </is>
      </c>
    </row>
    <row r="1722">
      <c r="A1722" s="2" t="inlineStr">
        <is>
          <t>TXN_001626</t>
        </is>
      </c>
      <c r="B1722" s="2" t="inlineStr">
        <is>
          <t>C_00219</t>
        </is>
      </c>
      <c r="C1722" s="2" t="inlineStr">
        <is>
          <t>2026-04-30</t>
        </is>
      </c>
      <c r="D1722" s="3" t="n">
        <v>1277.17</v>
      </c>
      <c r="E1722" s="2" t="inlineStr">
        <is>
          <t>Cash Deposit</t>
        </is>
      </c>
      <c r="F1722" s="2" t="inlineStr">
        <is>
          <t>US</t>
        </is>
      </c>
      <c r="G1722" s="2" t="inlineStr">
        <is>
          <t>Food &amp; Beverage</t>
        </is>
      </c>
    </row>
    <row r="1723">
      <c r="A1723" s="4" t="inlineStr">
        <is>
          <t>TXN_001625</t>
        </is>
      </c>
      <c r="B1723" s="4" t="inlineStr">
        <is>
          <t>C_00195</t>
        </is>
      </c>
      <c r="C1723" s="4" t="inlineStr">
        <is>
          <t>2026-04-30</t>
        </is>
      </c>
      <c r="D1723" s="5" t="n">
        <v>7365.75</v>
      </c>
      <c r="E1723" s="4" t="inlineStr">
        <is>
          <t>Card</t>
        </is>
      </c>
      <c r="F1723" s="4" t="inlineStr">
        <is>
          <t>MX</t>
        </is>
      </c>
      <c r="G1723" s="4" t="inlineStr">
        <is>
          <t>Travel</t>
        </is>
      </c>
    </row>
    <row r="1724">
      <c r="A1724" s="2" t="inlineStr">
        <is>
          <t>TXN_001624</t>
        </is>
      </c>
      <c r="B1724" s="2" t="inlineStr">
        <is>
          <t>C_00247</t>
        </is>
      </c>
      <c r="C1724" s="2" t="inlineStr">
        <is>
          <t>2026-04-30</t>
        </is>
      </c>
      <c r="D1724" s="3" t="n">
        <v>6470.7</v>
      </c>
      <c r="E1724" s="2" t="inlineStr">
        <is>
          <t>Card</t>
        </is>
      </c>
      <c r="F1724" s="2" t="inlineStr">
        <is>
          <t>RU</t>
        </is>
      </c>
      <c r="G1724" s="2" t="inlineStr">
        <is>
          <t>Retail</t>
        </is>
      </c>
    </row>
    <row r="1725">
      <c r="A1725" s="4" t="inlineStr">
        <is>
          <t>TXN_001623</t>
        </is>
      </c>
      <c r="B1725" s="4" t="inlineStr">
        <is>
          <t>C_ORPHAN_001</t>
        </is>
      </c>
      <c r="C1725" s="4" t="inlineStr">
        <is>
          <t>2026-04-30</t>
        </is>
      </c>
      <c r="D1725" s="5" t="n">
        <v>3454.13</v>
      </c>
      <c r="E1725" s="4" t="inlineStr">
        <is>
          <t>Mobile App</t>
        </is>
      </c>
      <c r="F1725" s="4" t="inlineStr">
        <is>
          <t>US</t>
        </is>
      </c>
      <c r="G1725" s="4" t="inlineStr">
        <is>
          <t>Electronics</t>
        </is>
      </c>
    </row>
    <row r="1726">
      <c r="A1726" s="2" t="inlineStr">
        <is>
          <t>TXN_001620</t>
        </is>
      </c>
      <c r="B1726" s="2" t="inlineStr">
        <is>
          <t>C_00269</t>
        </is>
      </c>
      <c r="C1726" s="2" t="inlineStr">
        <is>
          <t>2026-04-30</t>
        </is>
      </c>
      <c r="D1726" s="3" t="n">
        <v>1157.81</v>
      </c>
      <c r="E1726" s="2" t="inlineStr">
        <is>
          <t>Mobile App</t>
        </is>
      </c>
      <c r="F1726" s="2" t="inlineStr">
        <is>
          <t>MX</t>
        </is>
      </c>
      <c r="G1726" s="2" t="inlineStr">
        <is>
          <t>Real Estate</t>
        </is>
      </c>
    </row>
    <row r="1727">
      <c r="A1727" s="4" t="inlineStr">
        <is>
          <t>TXN_001621</t>
        </is>
      </c>
      <c r="B1727" s="4" t="inlineStr">
        <is>
          <t>C_00190</t>
        </is>
      </c>
      <c r="C1727" s="4" t="inlineStr">
        <is>
          <t>2026-04-30</t>
        </is>
      </c>
      <c r="D1727" s="5" t="n">
        <v>2099.1</v>
      </c>
      <c r="E1727" s="4" t="inlineStr">
        <is>
          <t>Mobile App</t>
        </is>
      </c>
      <c r="F1727" s="4" t="inlineStr">
        <is>
          <t>US</t>
        </is>
      </c>
      <c r="G1727" s="4" t="inlineStr">
        <is>
          <t>Electronics</t>
        </is>
      </c>
    </row>
    <row r="1728">
      <c r="A1728" s="2" t="inlineStr">
        <is>
          <t>TXN_001619</t>
        </is>
      </c>
      <c r="B1728" s="2" t="inlineStr">
        <is>
          <t>C_00276</t>
        </is>
      </c>
      <c r="C1728" s="2" t="inlineStr">
        <is>
          <t>2026-04-30</t>
        </is>
      </c>
      <c r="D1728" s="3" t="n">
        <v>1098.18</v>
      </c>
      <c r="E1728" s="2" t="inlineStr">
        <is>
          <t>ACH</t>
        </is>
      </c>
      <c r="F1728" s="2" t="inlineStr">
        <is>
          <t>US</t>
        </is>
      </c>
      <c r="G1728" s="2" t="inlineStr">
        <is>
          <t>Travel</t>
        </is>
      </c>
    </row>
    <row r="1729">
      <c r="A1729" s="4" t="inlineStr">
        <is>
          <t>TXN_001618</t>
        </is>
      </c>
      <c r="B1729" s="4" t="inlineStr">
        <is>
          <t>C_00138</t>
        </is>
      </c>
      <c r="C1729" s="4" t="inlineStr">
        <is>
          <t>2026-04-30</t>
        </is>
      </c>
      <c r="D1729" s="5" t="n">
        <v>1896.56</v>
      </c>
      <c r="E1729" s="4" t="inlineStr">
        <is>
          <t>Cash Deposit</t>
        </is>
      </c>
      <c r="F1729" s="4" t="inlineStr">
        <is>
          <t>CA</t>
        </is>
      </c>
      <c r="G1729" s="4" t="inlineStr">
        <is>
          <t>Retail</t>
        </is>
      </c>
    </row>
    <row r="1730">
      <c r="A1730" s="2" t="inlineStr">
        <is>
          <t>TXN_001617</t>
        </is>
      </c>
      <c r="B1730" s="2" t="inlineStr">
        <is>
          <t>C_00197</t>
        </is>
      </c>
      <c r="C1730" s="2" t="inlineStr">
        <is>
          <t>2026-04-30</t>
        </is>
      </c>
      <c r="D1730" s="3" t="n">
        <v>679.96</v>
      </c>
      <c r="E1730" s="2" t="inlineStr">
        <is>
          <t>Mobile App</t>
        </is>
      </c>
      <c r="F1730" s="2" t="inlineStr">
        <is>
          <t>CA</t>
        </is>
      </c>
      <c r="G1730" s="2" t="inlineStr">
        <is>
          <t>Food &amp; Beverage</t>
        </is>
      </c>
    </row>
    <row r="1731">
      <c r="A1731" s="4" t="inlineStr">
        <is>
          <t>TXN_001616</t>
        </is>
      </c>
      <c r="B1731" s="4" t="inlineStr">
        <is>
          <t>C_00140</t>
        </is>
      </c>
      <c r="C1731" s="4" t="inlineStr">
        <is>
          <t>2026-04-30</t>
        </is>
      </c>
      <c r="D1731" s="5" t="n">
        <v>4388.47</v>
      </c>
      <c r="E1731" s="4" t="inlineStr">
        <is>
          <t>Cash Deposit</t>
        </is>
      </c>
      <c r="F1731" s="4" t="inlineStr">
        <is>
          <t>NG</t>
        </is>
      </c>
      <c r="G1731" s="4" t="inlineStr">
        <is>
          <t>Real Estate</t>
        </is>
      </c>
    </row>
    <row r="1732">
      <c r="A1732" s="2" t="inlineStr">
        <is>
          <t>TXN_001615</t>
        </is>
      </c>
      <c r="B1732" s="2" t="inlineStr">
        <is>
          <t>C_00104</t>
        </is>
      </c>
      <c r="C1732" s="2" t="inlineStr">
        <is>
          <t>2026-04-30</t>
        </is>
      </c>
      <c r="D1732" s="3" t="n">
        <v>1442.64</v>
      </c>
      <c r="E1732" s="2" t="inlineStr">
        <is>
          <t>Cash Deposit</t>
        </is>
      </c>
      <c r="F1732" s="2" t="inlineStr">
        <is>
          <t>US</t>
        </is>
      </c>
      <c r="G1732" s="2" t="inlineStr">
        <is>
          <t>Retail</t>
        </is>
      </c>
    </row>
    <row r="1733">
      <c r="A1733" s="4" t="inlineStr">
        <is>
          <t>TXN_001613</t>
        </is>
      </c>
      <c r="B1733" s="4" t="inlineStr">
        <is>
          <t>C_00288</t>
        </is>
      </c>
      <c r="C1733" s="4" t="inlineStr">
        <is>
          <t>2026-04-30</t>
        </is>
      </c>
      <c r="D1733" s="5" t="n">
        <v>909.52</v>
      </c>
      <c r="E1733" s="4" t="inlineStr">
        <is>
          <t>Wire Transfer</t>
        </is>
      </c>
      <c r="F1733" s="4" t="inlineStr">
        <is>
          <t>MX</t>
        </is>
      </c>
      <c r="G1733" s="4" t="inlineStr">
        <is>
          <t>Healthcare</t>
        </is>
      </c>
    </row>
    <row r="1734">
      <c r="A1734" s="2" t="inlineStr">
        <is>
          <t>TXN_001622</t>
        </is>
      </c>
      <c r="B1734" s="2" t="inlineStr">
        <is>
          <t>C_00068</t>
        </is>
      </c>
      <c r="C1734" s="2" t="inlineStr">
        <is>
          <t>2026-04-30</t>
        </is>
      </c>
      <c r="D1734" s="3" t="n">
        <v>1451.72</v>
      </c>
      <c r="E1734" s="2" t="inlineStr">
        <is>
          <t>ACH</t>
        </is>
      </c>
      <c r="F1734" s="2" t="inlineStr">
        <is>
          <t>US</t>
        </is>
      </c>
      <c r="G1734" s="2" t="inlineStr">
        <is>
          <t>Electronics</t>
        </is>
      </c>
    </row>
    <row r="1735">
      <c r="A1735" s="4" t="inlineStr">
        <is>
          <t>TXN_001614</t>
        </is>
      </c>
      <c r="B1735" s="4" t="inlineStr">
        <is>
          <t>C_00160</t>
        </is>
      </c>
      <c r="C1735" s="4" t="inlineStr">
        <is>
          <t>2026-04-30</t>
        </is>
      </c>
      <c r="D1735" s="5" t="n">
        <v>565.1799999999999</v>
      </c>
      <c r="E1735" s="4" t="inlineStr">
        <is>
          <t>ACH</t>
        </is>
      </c>
      <c r="F1735" s="4" t="inlineStr">
        <is>
          <t>US</t>
        </is>
      </c>
      <c r="G1735" s="4" t="inlineStr">
        <is>
          <t>Electronics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8" customWidth="1" min="4" max="4"/>
    <col width="16" customWidth="1" min="5" max="5"/>
  </cols>
  <sheetData>
    <row r="1" ht="22" customHeight="1">
      <c r="A1" s="1" t="inlineStr">
        <is>
          <t>Customer_ID</t>
        </is>
      </c>
      <c r="B1" s="1" t="inlineStr">
        <is>
          <t>Risk_Rating</t>
        </is>
      </c>
      <c r="C1" s="1" t="inlineStr">
        <is>
          <t>KYC_Status</t>
        </is>
      </c>
      <c r="D1" s="1" t="inlineStr">
        <is>
          <t>Account_Age_Months</t>
        </is>
      </c>
      <c r="E1" s="1" t="inlineStr">
        <is>
          <t>Customer_Segment</t>
        </is>
      </c>
    </row>
    <row r="2">
      <c r="A2" s="2" t="inlineStr">
        <is>
          <t>C_00001</t>
        </is>
      </c>
      <c r="B2" s="2" t="inlineStr">
        <is>
          <t>High</t>
        </is>
      </c>
      <c r="C2" s="2" t="inlineStr">
        <is>
          <t>Complete</t>
        </is>
      </c>
      <c r="D2" s="2" t="n">
        <v>16</v>
      </c>
      <c r="E2" s="2" t="inlineStr">
        <is>
          <t>HNI</t>
        </is>
      </c>
    </row>
    <row r="3">
      <c r="A3" s="4" t="inlineStr">
        <is>
          <t>C_00002</t>
        </is>
      </c>
      <c r="B3" s="4" t="inlineStr">
        <is>
          <t>High</t>
        </is>
      </c>
      <c r="C3" s="4" t="inlineStr">
        <is>
          <t>Complete</t>
        </is>
      </c>
      <c r="D3" s="4" t="n">
        <v>94</v>
      </c>
      <c r="E3" s="4" t="inlineStr">
        <is>
          <t>HNI</t>
        </is>
      </c>
    </row>
    <row r="4">
      <c r="A4" s="2" t="inlineStr">
        <is>
          <t>C_00003</t>
        </is>
      </c>
      <c r="B4" s="2" t="inlineStr">
        <is>
          <t>High</t>
        </is>
      </c>
      <c r="C4" s="2" t="inlineStr">
        <is>
          <t>Complete</t>
        </is>
      </c>
      <c r="D4" s="2" t="n">
        <v>80</v>
      </c>
      <c r="E4" s="2" t="inlineStr">
        <is>
          <t>HNI</t>
        </is>
      </c>
    </row>
    <row r="5">
      <c r="A5" s="4" t="inlineStr">
        <is>
          <t>C_00004</t>
        </is>
      </c>
      <c r="B5" s="4" t="inlineStr">
        <is>
          <t>High</t>
        </is>
      </c>
      <c r="C5" s="4" t="inlineStr">
        <is>
          <t>Complete</t>
        </is>
      </c>
      <c r="D5" s="4" t="n">
        <v>56</v>
      </c>
      <c r="E5" s="4" t="inlineStr">
        <is>
          <t>HNI</t>
        </is>
      </c>
    </row>
    <row r="6">
      <c r="A6" s="2" t="inlineStr">
        <is>
          <t>C_00005</t>
        </is>
      </c>
      <c r="B6" s="2" t="inlineStr">
        <is>
          <t>High</t>
        </is>
      </c>
      <c r="C6" s="2" t="inlineStr">
        <is>
          <t>Complete</t>
        </is>
      </c>
      <c r="D6" s="2" t="n">
        <v>55</v>
      </c>
      <c r="E6" s="2" t="inlineStr">
        <is>
          <t>HNI</t>
        </is>
      </c>
    </row>
    <row r="7">
      <c r="A7" s="4" t="inlineStr">
        <is>
          <t>C_00006</t>
        </is>
      </c>
      <c r="B7" s="4" t="inlineStr">
        <is>
          <t>High</t>
        </is>
      </c>
      <c r="C7" s="4" t="inlineStr">
        <is>
          <t>Complete</t>
        </is>
      </c>
      <c r="D7" s="4" t="n">
        <v>103</v>
      </c>
      <c r="E7" s="4" t="inlineStr">
        <is>
          <t>HNI</t>
        </is>
      </c>
    </row>
    <row r="8">
      <c r="A8" s="2" t="inlineStr">
        <is>
          <t>C_00007</t>
        </is>
      </c>
      <c r="B8" s="2" t="inlineStr">
        <is>
          <t>High</t>
        </is>
      </c>
      <c r="C8" s="2" t="inlineStr">
        <is>
          <t>Complete</t>
        </is>
      </c>
      <c r="D8" s="2" t="n">
        <v>15</v>
      </c>
      <c r="E8" s="2" t="inlineStr">
        <is>
          <t>HNI</t>
        </is>
      </c>
    </row>
    <row r="9">
      <c r="A9" s="4" t="inlineStr">
        <is>
          <t>C_00008</t>
        </is>
      </c>
      <c r="B9" s="4" t="inlineStr">
        <is>
          <t>High</t>
        </is>
      </c>
      <c r="C9" s="4" t="inlineStr">
        <is>
          <t>Complete</t>
        </is>
      </c>
      <c r="D9" s="4" t="n">
        <v>85</v>
      </c>
      <c r="E9" s="4" t="inlineStr">
        <is>
          <t>HNI</t>
        </is>
      </c>
    </row>
    <row r="10">
      <c r="A10" s="2" t="inlineStr">
        <is>
          <t>C_00009</t>
        </is>
      </c>
      <c r="B10" s="2" t="inlineStr">
        <is>
          <t>High</t>
        </is>
      </c>
      <c r="C10" s="2" t="inlineStr">
        <is>
          <t>Complete</t>
        </is>
      </c>
      <c r="D10" s="2" t="n">
        <v>28</v>
      </c>
      <c r="E10" s="2" t="inlineStr">
        <is>
          <t>HNI</t>
        </is>
      </c>
    </row>
    <row r="11">
      <c r="A11" s="4" t="inlineStr">
        <is>
          <t>C_00010</t>
        </is>
      </c>
      <c r="B11" s="4" t="inlineStr">
        <is>
          <t>High</t>
        </is>
      </c>
      <c r="C11" s="4" t="inlineStr">
        <is>
          <t>Complete</t>
        </is>
      </c>
      <c r="D11" s="4" t="n">
        <v>16</v>
      </c>
      <c r="E11" s="4" t="inlineStr">
        <is>
          <t>HNI</t>
        </is>
      </c>
    </row>
    <row r="12">
      <c r="A12" s="2" t="inlineStr">
        <is>
          <t>C_00011</t>
        </is>
      </c>
      <c r="B12" s="2" t="inlineStr">
        <is>
          <t>High</t>
        </is>
      </c>
      <c r="C12" s="2" t="inlineStr">
        <is>
          <t>Complete</t>
        </is>
      </c>
      <c r="D12" s="2" t="n">
        <v>66</v>
      </c>
      <c r="E12" s="2" t="inlineStr">
        <is>
          <t>HNI</t>
        </is>
      </c>
    </row>
    <row r="13">
      <c r="A13" s="4" t="inlineStr">
        <is>
          <t>C_00012</t>
        </is>
      </c>
      <c r="B13" s="4" t="inlineStr">
        <is>
          <t>High</t>
        </is>
      </c>
      <c r="C13" s="4" t="inlineStr">
        <is>
          <t>Complete</t>
        </is>
      </c>
      <c r="D13" s="4" t="n">
        <v>117</v>
      </c>
      <c r="E13" s="4" t="inlineStr">
        <is>
          <t>HNI</t>
        </is>
      </c>
    </row>
    <row r="14">
      <c r="A14" s="2" t="inlineStr">
        <is>
          <t>C_00013</t>
        </is>
      </c>
      <c r="B14" s="2" t="inlineStr">
        <is>
          <t>High</t>
        </is>
      </c>
      <c r="C14" s="2" t="inlineStr">
        <is>
          <t>Complete</t>
        </is>
      </c>
      <c r="D14" s="2" t="n">
        <v>89</v>
      </c>
      <c r="E14" s="2" t="inlineStr">
        <is>
          <t>HNI</t>
        </is>
      </c>
    </row>
    <row r="15">
      <c r="A15" s="4" t="inlineStr">
        <is>
          <t>C_00014</t>
        </is>
      </c>
      <c r="B15" s="4" t="inlineStr">
        <is>
          <t>High</t>
        </is>
      </c>
      <c r="C15" s="4" t="inlineStr">
        <is>
          <t>Complete</t>
        </is>
      </c>
      <c r="D15" s="4" t="n">
        <v>92</v>
      </c>
      <c r="E15" s="4" t="inlineStr">
        <is>
          <t>HNI</t>
        </is>
      </c>
    </row>
    <row r="16">
      <c r="A16" s="2" t="inlineStr">
        <is>
          <t>C_00015</t>
        </is>
      </c>
      <c r="B16" s="2" t="inlineStr">
        <is>
          <t>High</t>
        </is>
      </c>
      <c r="C16" s="2" t="inlineStr">
        <is>
          <t>Complete</t>
        </is>
      </c>
      <c r="D16" s="2" t="n">
        <v>87</v>
      </c>
      <c r="E16" s="2" t="inlineStr">
        <is>
          <t>HNI</t>
        </is>
      </c>
    </row>
    <row r="17">
      <c r="A17" s="4" t="inlineStr">
        <is>
          <t>C_00016</t>
        </is>
      </c>
      <c r="B17" s="4" t="inlineStr">
        <is>
          <t>High</t>
        </is>
      </c>
      <c r="C17" s="4" t="inlineStr">
        <is>
          <t>Complete</t>
        </is>
      </c>
      <c r="D17" s="4" t="n">
        <v>95</v>
      </c>
      <c r="E17" s="4" t="inlineStr">
        <is>
          <t>HNI</t>
        </is>
      </c>
    </row>
    <row r="18">
      <c r="A18" s="2" t="inlineStr">
        <is>
          <t>C_00017</t>
        </is>
      </c>
      <c r="B18" s="2" t="inlineStr">
        <is>
          <t>High</t>
        </is>
      </c>
      <c r="C18" s="2" t="inlineStr">
        <is>
          <t>Complete</t>
        </is>
      </c>
      <c r="D18" s="2" t="n">
        <v>64</v>
      </c>
      <c r="E18" s="2" t="inlineStr">
        <is>
          <t>HNI</t>
        </is>
      </c>
    </row>
    <row r="19">
      <c r="A19" s="4" t="inlineStr">
        <is>
          <t>C_00018</t>
        </is>
      </c>
      <c r="B19" s="4" t="inlineStr">
        <is>
          <t>High</t>
        </is>
      </c>
      <c r="C19" s="4" t="inlineStr">
        <is>
          <t>Complete</t>
        </is>
      </c>
      <c r="D19" s="4" t="n">
        <v>20</v>
      </c>
      <c r="E19" s="4" t="inlineStr">
        <is>
          <t>HNI</t>
        </is>
      </c>
    </row>
    <row r="20">
      <c r="A20" s="2" t="inlineStr">
        <is>
          <t>C_00019</t>
        </is>
      </c>
      <c r="B20" s="2" t="inlineStr">
        <is>
          <t>High</t>
        </is>
      </c>
      <c r="C20" s="2" t="inlineStr">
        <is>
          <t>Complete</t>
        </is>
      </c>
      <c r="D20" s="2" t="n">
        <v>101</v>
      </c>
      <c r="E20" s="2" t="inlineStr">
        <is>
          <t>HNI</t>
        </is>
      </c>
    </row>
    <row r="21">
      <c r="A21" s="4" t="inlineStr">
        <is>
          <t>C_00020</t>
        </is>
      </c>
      <c r="B21" s="4" t="inlineStr">
        <is>
          <t>High</t>
        </is>
      </c>
      <c r="C21" s="4" t="inlineStr">
        <is>
          <t>Complete</t>
        </is>
      </c>
      <c r="D21" s="4" t="n">
        <v>57</v>
      </c>
      <c r="E21" s="4" t="inlineStr">
        <is>
          <t>HNI</t>
        </is>
      </c>
    </row>
    <row r="22">
      <c r="A22" s="2" t="inlineStr">
        <is>
          <t>C_00021</t>
        </is>
      </c>
      <c r="B22" s="2" t="inlineStr">
        <is>
          <t>Medium</t>
        </is>
      </c>
      <c r="C22" s="2" t="inlineStr">
        <is>
          <t>Complete</t>
        </is>
      </c>
      <c r="D22" s="2" t="n">
        <v>111</v>
      </c>
      <c r="E22" s="2" t="inlineStr">
        <is>
          <t>Retail</t>
        </is>
      </c>
    </row>
    <row r="23">
      <c r="A23" s="4" t="inlineStr">
        <is>
          <t>C_00022</t>
        </is>
      </c>
      <c r="B23" s="4" t="inlineStr">
        <is>
          <t>Medium</t>
        </is>
      </c>
      <c r="C23" s="4" t="inlineStr">
        <is>
          <t>Complete</t>
        </is>
      </c>
      <c r="D23" s="4" t="n">
        <v>99</v>
      </c>
      <c r="E23" s="4" t="inlineStr">
        <is>
          <t>SMB</t>
        </is>
      </c>
    </row>
    <row r="24">
      <c r="A24" s="2" t="inlineStr">
        <is>
          <t>C_00023</t>
        </is>
      </c>
      <c r="B24" s="2" t="inlineStr">
        <is>
          <t>Medium</t>
        </is>
      </c>
      <c r="C24" s="2" t="inlineStr">
        <is>
          <t>Complete</t>
        </is>
      </c>
      <c r="D24" s="2" t="n">
        <v>31</v>
      </c>
      <c r="E24" s="2" t="inlineStr">
        <is>
          <t>SMB</t>
        </is>
      </c>
    </row>
    <row r="25">
      <c r="A25" s="4" t="inlineStr">
        <is>
          <t>C_00024</t>
        </is>
      </c>
      <c r="B25" s="4" t="inlineStr">
        <is>
          <t>Low</t>
        </is>
      </c>
      <c r="C25" s="4" t="inlineStr">
        <is>
          <t>Complete</t>
        </is>
      </c>
      <c r="D25" s="4" t="n">
        <v>13</v>
      </c>
      <c r="E25" s="4" t="inlineStr">
        <is>
          <t>HNI</t>
        </is>
      </c>
    </row>
    <row r="26">
      <c r="A26" s="2" t="inlineStr">
        <is>
          <t>C_00025</t>
        </is>
      </c>
      <c r="B26" s="2" t="inlineStr">
        <is>
          <t>High</t>
        </is>
      </c>
      <c r="C26" s="2" t="inlineStr">
        <is>
          <t>Pending</t>
        </is>
      </c>
      <c r="D26" s="2" t="n">
        <v>78</v>
      </c>
      <c r="E26" s="2" t="inlineStr">
        <is>
          <t>Retail</t>
        </is>
      </c>
    </row>
    <row r="27">
      <c r="A27" s="4" t="inlineStr">
        <is>
          <t>C_00026</t>
        </is>
      </c>
      <c r="B27" s="4" t="inlineStr">
        <is>
          <t>Low</t>
        </is>
      </c>
      <c r="C27" s="4" t="inlineStr">
        <is>
          <t>Pending</t>
        </is>
      </c>
      <c r="D27" s="4" t="n">
        <v>46</v>
      </c>
      <c r="E27" s="4" t="inlineStr">
        <is>
          <t>Corporate</t>
        </is>
      </c>
    </row>
    <row r="28">
      <c r="A28" s="2" t="inlineStr">
        <is>
          <t>C_00027</t>
        </is>
      </c>
      <c r="B28" s="2" t="inlineStr">
        <is>
          <t>Low</t>
        </is>
      </c>
      <c r="C28" s="2" t="inlineStr">
        <is>
          <t>Expired</t>
        </is>
      </c>
      <c r="D28" s="2" t="n">
        <v>107</v>
      </c>
      <c r="E28" s="2" t="inlineStr">
        <is>
          <t>SMB</t>
        </is>
      </c>
    </row>
    <row r="29">
      <c r="A29" s="4" t="inlineStr">
        <is>
          <t>C_00028</t>
        </is>
      </c>
      <c r="B29" s="4" t="inlineStr">
        <is>
          <t>Medium</t>
        </is>
      </c>
      <c r="C29" s="4" t="inlineStr">
        <is>
          <t>Pending</t>
        </is>
      </c>
      <c r="D29" s="4" t="n">
        <v>28</v>
      </c>
      <c r="E29" s="4" t="inlineStr">
        <is>
          <t>Corporate</t>
        </is>
      </c>
    </row>
    <row r="30">
      <c r="A30" s="2" t="inlineStr">
        <is>
          <t>C_00029</t>
        </is>
      </c>
      <c r="B30" s="2" t="inlineStr">
        <is>
          <t>Low</t>
        </is>
      </c>
      <c r="C30" s="2" t="inlineStr">
        <is>
          <t>Complete</t>
        </is>
      </c>
      <c r="D30" s="2" t="n">
        <v>10</v>
      </c>
      <c r="E30" s="2" t="inlineStr">
        <is>
          <t>SMB</t>
        </is>
      </c>
    </row>
    <row r="31">
      <c r="A31" s="4" t="inlineStr">
        <is>
          <t>C_00030</t>
        </is>
      </c>
      <c r="B31" s="4" t="inlineStr">
        <is>
          <t>Medium</t>
        </is>
      </c>
      <c r="C31" s="4" t="inlineStr">
        <is>
          <t>Complete</t>
        </is>
      </c>
      <c r="D31" s="4" t="n">
        <v>83</v>
      </c>
      <c r="E31" s="4" t="inlineStr">
        <is>
          <t>Corporate</t>
        </is>
      </c>
    </row>
    <row r="32">
      <c r="A32" s="2" t="inlineStr">
        <is>
          <t>C_00031</t>
        </is>
      </c>
      <c r="B32" s="2" t="inlineStr">
        <is>
          <t>High</t>
        </is>
      </c>
      <c r="C32" s="2" t="inlineStr">
        <is>
          <t>Pending</t>
        </is>
      </c>
      <c r="D32" s="2" t="n">
        <v>116</v>
      </c>
      <c r="E32" s="2" t="inlineStr">
        <is>
          <t>SMB</t>
        </is>
      </c>
    </row>
    <row r="33">
      <c r="A33" s="4" t="inlineStr">
        <is>
          <t>C_00032</t>
        </is>
      </c>
      <c r="B33" s="4" t="inlineStr">
        <is>
          <t>Low</t>
        </is>
      </c>
      <c r="C33" s="4" t="inlineStr">
        <is>
          <t>Complete</t>
        </is>
      </c>
      <c r="D33" s="4" t="n">
        <v>48</v>
      </c>
      <c r="E33" s="4" t="inlineStr">
        <is>
          <t>HNI</t>
        </is>
      </c>
    </row>
    <row r="34">
      <c r="A34" s="2" t="inlineStr">
        <is>
          <t>C_00033</t>
        </is>
      </c>
      <c r="B34" s="2" t="inlineStr">
        <is>
          <t>Low</t>
        </is>
      </c>
      <c r="C34" s="2" t="inlineStr">
        <is>
          <t>Complete</t>
        </is>
      </c>
      <c r="D34" s="2" t="n">
        <v>27</v>
      </c>
      <c r="E34" s="2" t="inlineStr">
        <is>
          <t>Corporate</t>
        </is>
      </c>
    </row>
    <row r="35">
      <c r="A35" s="4" t="inlineStr">
        <is>
          <t>C_00034</t>
        </is>
      </c>
      <c r="B35" s="4" t="inlineStr">
        <is>
          <t>Low</t>
        </is>
      </c>
      <c r="C35" s="4" t="inlineStr">
        <is>
          <t>Complete</t>
        </is>
      </c>
      <c r="D35" s="4" t="n">
        <v>60</v>
      </c>
      <c r="E35" s="4" t="inlineStr">
        <is>
          <t>Corporate</t>
        </is>
      </c>
    </row>
    <row r="36">
      <c r="A36" s="2" t="inlineStr">
        <is>
          <t>C_00035</t>
        </is>
      </c>
      <c r="B36" s="2" t="inlineStr">
        <is>
          <t>Low</t>
        </is>
      </c>
      <c r="C36" s="2" t="inlineStr">
        <is>
          <t>Complete</t>
        </is>
      </c>
      <c r="D36" s="2" t="n">
        <v>82</v>
      </c>
      <c r="E36" s="2" t="inlineStr">
        <is>
          <t>SMB</t>
        </is>
      </c>
    </row>
    <row r="37">
      <c r="A37" s="4" t="inlineStr">
        <is>
          <t>C_00036</t>
        </is>
      </c>
      <c r="B37" s="4" t="inlineStr">
        <is>
          <t>High</t>
        </is>
      </c>
      <c r="C37" s="4" t="inlineStr">
        <is>
          <t>Complete</t>
        </is>
      </c>
      <c r="D37" s="4" t="n">
        <v>100</v>
      </c>
      <c r="E37" s="4" t="inlineStr">
        <is>
          <t>Retail</t>
        </is>
      </c>
    </row>
    <row r="38">
      <c r="A38" s="2" t="inlineStr">
        <is>
          <t>C_00037</t>
        </is>
      </c>
      <c r="B38" s="2" t="inlineStr">
        <is>
          <t>Medium</t>
        </is>
      </c>
      <c r="C38" s="2" t="inlineStr">
        <is>
          <t>Pending</t>
        </is>
      </c>
      <c r="D38" s="2" t="n">
        <v>41</v>
      </c>
      <c r="E38" s="2" t="inlineStr">
        <is>
          <t>Retail</t>
        </is>
      </c>
    </row>
    <row r="39">
      <c r="A39" s="4" t="inlineStr">
        <is>
          <t>C_00038</t>
        </is>
      </c>
      <c r="B39" s="4" t="inlineStr">
        <is>
          <t>Medium</t>
        </is>
      </c>
      <c r="C39" s="4" t="inlineStr">
        <is>
          <t>Pending</t>
        </is>
      </c>
      <c r="D39" s="4" t="n">
        <v>97</v>
      </c>
      <c r="E39" s="4" t="inlineStr">
        <is>
          <t>SMB</t>
        </is>
      </c>
    </row>
    <row r="40">
      <c r="A40" s="2" t="inlineStr">
        <is>
          <t>C_00039</t>
        </is>
      </c>
      <c r="B40" s="2" t="inlineStr">
        <is>
          <t>High</t>
        </is>
      </c>
      <c r="C40" s="2" t="inlineStr">
        <is>
          <t>Complete</t>
        </is>
      </c>
      <c r="D40" s="2" t="n">
        <v>38</v>
      </c>
      <c r="E40" s="2" t="inlineStr">
        <is>
          <t>HNI</t>
        </is>
      </c>
    </row>
    <row r="41">
      <c r="A41" s="4" t="inlineStr">
        <is>
          <t>C_00040</t>
        </is>
      </c>
      <c r="B41" s="4" t="inlineStr">
        <is>
          <t>Low</t>
        </is>
      </c>
      <c r="C41" s="4" t="inlineStr">
        <is>
          <t>Pending</t>
        </is>
      </c>
      <c r="D41" s="4" t="n">
        <v>21</v>
      </c>
      <c r="E41" s="4" t="inlineStr">
        <is>
          <t>SMB</t>
        </is>
      </c>
    </row>
    <row r="42">
      <c r="A42" s="2" t="inlineStr">
        <is>
          <t>C_00041</t>
        </is>
      </c>
      <c r="B42" s="2" t="inlineStr">
        <is>
          <t>Medium</t>
        </is>
      </c>
      <c r="C42" s="2" t="inlineStr">
        <is>
          <t>Complete</t>
        </is>
      </c>
      <c r="D42" s="2" t="n">
        <v>6</v>
      </c>
      <c r="E42" s="2" t="inlineStr">
        <is>
          <t>Corporate</t>
        </is>
      </c>
    </row>
    <row r="43">
      <c r="A43" s="4" t="inlineStr">
        <is>
          <t>C_00042</t>
        </is>
      </c>
      <c r="B43" s="4" t="inlineStr">
        <is>
          <t>Medium</t>
        </is>
      </c>
      <c r="C43" s="4" t="inlineStr">
        <is>
          <t>Pending</t>
        </is>
      </c>
      <c r="D43" s="4" t="n">
        <v>81</v>
      </c>
      <c r="E43" s="4" t="inlineStr">
        <is>
          <t>Corporate</t>
        </is>
      </c>
    </row>
    <row r="44">
      <c r="A44" s="2" t="inlineStr">
        <is>
          <t>C_00043</t>
        </is>
      </c>
      <c r="B44" s="2" t="inlineStr">
        <is>
          <t>Low</t>
        </is>
      </c>
      <c r="C44" s="2" t="inlineStr">
        <is>
          <t>Pending</t>
        </is>
      </c>
      <c r="D44" s="2" t="n">
        <v>95</v>
      </c>
      <c r="E44" s="2" t="inlineStr">
        <is>
          <t>Retail</t>
        </is>
      </c>
    </row>
    <row r="45">
      <c r="A45" s="4" t="inlineStr">
        <is>
          <t>C_00044</t>
        </is>
      </c>
      <c r="B45" s="4" t="inlineStr">
        <is>
          <t>Medium</t>
        </is>
      </c>
      <c r="C45" s="4" t="inlineStr">
        <is>
          <t>Complete</t>
        </is>
      </c>
      <c r="D45" s="4" t="n">
        <v>70</v>
      </c>
      <c r="E45" s="4" t="inlineStr">
        <is>
          <t>SMB</t>
        </is>
      </c>
    </row>
    <row r="46">
      <c r="A46" s="2" t="inlineStr">
        <is>
          <t>C_00045</t>
        </is>
      </c>
      <c r="B46" s="2" t="inlineStr">
        <is>
          <t>Low</t>
        </is>
      </c>
      <c r="C46" s="2" t="inlineStr">
        <is>
          <t>Complete</t>
        </is>
      </c>
      <c r="D46" s="2" t="n">
        <v>19</v>
      </c>
      <c r="E46" s="2" t="inlineStr">
        <is>
          <t>Retail</t>
        </is>
      </c>
    </row>
    <row r="47">
      <c r="A47" s="4" t="inlineStr">
        <is>
          <t>C_00046</t>
        </is>
      </c>
      <c r="B47" s="4" t="inlineStr">
        <is>
          <t>Low</t>
        </is>
      </c>
      <c r="C47" s="4" t="inlineStr">
        <is>
          <t>Pending</t>
        </is>
      </c>
      <c r="D47" s="4" t="n">
        <v>59</v>
      </c>
      <c r="E47" s="4" t="inlineStr">
        <is>
          <t>SMB</t>
        </is>
      </c>
    </row>
    <row r="48">
      <c r="A48" s="2" t="inlineStr">
        <is>
          <t>C_00047</t>
        </is>
      </c>
      <c r="B48" s="2" t="inlineStr">
        <is>
          <t>High</t>
        </is>
      </c>
      <c r="C48" s="2" t="inlineStr">
        <is>
          <t>Complete</t>
        </is>
      </c>
      <c r="D48" s="2" t="n">
        <v>93</v>
      </c>
      <c r="E48" s="2" t="inlineStr">
        <is>
          <t>Retail</t>
        </is>
      </c>
    </row>
    <row r="49">
      <c r="A49" s="4" t="inlineStr">
        <is>
          <t>C_00048</t>
        </is>
      </c>
      <c r="B49" s="4" t="inlineStr">
        <is>
          <t>Medium</t>
        </is>
      </c>
      <c r="C49" s="4" t="inlineStr">
        <is>
          <t>Complete</t>
        </is>
      </c>
      <c r="D49" s="4" t="n">
        <v>69</v>
      </c>
      <c r="E49" s="4" t="inlineStr">
        <is>
          <t>SMB</t>
        </is>
      </c>
    </row>
    <row r="50">
      <c r="A50" s="2" t="inlineStr">
        <is>
          <t>C_00049</t>
        </is>
      </c>
      <c r="B50" s="2" t="inlineStr">
        <is>
          <t>Low</t>
        </is>
      </c>
      <c r="C50" s="2" t="inlineStr">
        <is>
          <t>Complete</t>
        </is>
      </c>
      <c r="D50" s="2" t="n">
        <v>40</v>
      </c>
      <c r="E50" s="2" t="inlineStr">
        <is>
          <t>Corporate</t>
        </is>
      </c>
    </row>
    <row r="51">
      <c r="A51" s="4" t="inlineStr">
        <is>
          <t>C_00050</t>
        </is>
      </c>
      <c r="B51" s="4" t="inlineStr">
        <is>
          <t>Medium</t>
        </is>
      </c>
      <c r="C51" s="4" t="inlineStr">
        <is>
          <t>Complete</t>
        </is>
      </c>
      <c r="D51" s="4" t="n">
        <v>55</v>
      </c>
      <c r="E51" s="4" t="inlineStr">
        <is>
          <t>SMB</t>
        </is>
      </c>
    </row>
    <row r="52">
      <c r="A52" s="2" t="inlineStr">
        <is>
          <t>C_00051</t>
        </is>
      </c>
      <c r="B52" s="2" t="inlineStr">
        <is>
          <t>High</t>
        </is>
      </c>
      <c r="C52" s="2" t="inlineStr">
        <is>
          <t>Complete</t>
        </is>
      </c>
      <c r="D52" s="2" t="n">
        <v>52</v>
      </c>
      <c r="E52" s="2" t="inlineStr">
        <is>
          <t>Retail</t>
        </is>
      </c>
    </row>
    <row r="53">
      <c r="A53" s="4" t="inlineStr">
        <is>
          <t>C_00052</t>
        </is>
      </c>
      <c r="B53" s="4" t="inlineStr">
        <is>
          <t>High</t>
        </is>
      </c>
      <c r="C53" s="4" t="inlineStr">
        <is>
          <t>Expired</t>
        </is>
      </c>
      <c r="D53" s="4" t="n">
        <v>32</v>
      </c>
      <c r="E53" s="4" t="inlineStr">
        <is>
          <t>Retail</t>
        </is>
      </c>
    </row>
    <row r="54">
      <c r="A54" s="2" t="inlineStr">
        <is>
          <t>C_00053</t>
        </is>
      </c>
      <c r="B54" s="2" t="inlineStr">
        <is>
          <t>Medium</t>
        </is>
      </c>
      <c r="C54" s="2" t="inlineStr">
        <is>
          <t>Complete</t>
        </is>
      </c>
      <c r="D54" s="2" t="n">
        <v>38</v>
      </c>
      <c r="E54" s="2" t="inlineStr">
        <is>
          <t>HNI</t>
        </is>
      </c>
    </row>
    <row r="55">
      <c r="A55" s="4" t="inlineStr">
        <is>
          <t>C_00054</t>
        </is>
      </c>
      <c r="B55" s="4" t="inlineStr">
        <is>
          <t>High</t>
        </is>
      </c>
      <c r="C55" s="4" t="inlineStr">
        <is>
          <t>Complete</t>
        </is>
      </c>
      <c r="D55" s="4" t="n">
        <v>81</v>
      </c>
      <c r="E55" s="4" t="inlineStr">
        <is>
          <t>SMB</t>
        </is>
      </c>
    </row>
    <row r="56">
      <c r="A56" s="2" t="inlineStr">
        <is>
          <t>C_00055</t>
        </is>
      </c>
      <c r="B56" s="2" t="inlineStr">
        <is>
          <t>Low</t>
        </is>
      </c>
      <c r="C56" s="2" t="inlineStr">
        <is>
          <t>Complete</t>
        </is>
      </c>
      <c r="D56" s="2" t="n">
        <v>95</v>
      </c>
      <c r="E56" s="2" t="inlineStr">
        <is>
          <t>SMB</t>
        </is>
      </c>
    </row>
    <row r="57">
      <c r="A57" s="4" t="inlineStr">
        <is>
          <t>C_00056</t>
        </is>
      </c>
      <c r="B57" s="4" t="inlineStr">
        <is>
          <t>High</t>
        </is>
      </c>
      <c r="C57" s="4" t="inlineStr">
        <is>
          <t>Complete</t>
        </is>
      </c>
      <c r="D57" s="4" t="n">
        <v>52</v>
      </c>
      <c r="E57" s="4" t="inlineStr">
        <is>
          <t>SMB</t>
        </is>
      </c>
    </row>
    <row r="58">
      <c r="A58" s="2" t="inlineStr">
        <is>
          <t>C_00057</t>
        </is>
      </c>
      <c r="B58" s="2" t="inlineStr">
        <is>
          <t>Low</t>
        </is>
      </c>
      <c r="C58" s="2" t="inlineStr">
        <is>
          <t>Pending</t>
        </is>
      </c>
      <c r="D58" s="2" t="n">
        <v>25</v>
      </c>
      <c r="E58" s="2" t="inlineStr">
        <is>
          <t>Retail</t>
        </is>
      </c>
    </row>
    <row r="59">
      <c r="A59" s="4" t="inlineStr">
        <is>
          <t>C_00058</t>
        </is>
      </c>
      <c r="B59" s="4" t="inlineStr">
        <is>
          <t>Low</t>
        </is>
      </c>
      <c r="C59" s="4" t="inlineStr">
        <is>
          <t>Complete</t>
        </is>
      </c>
      <c r="D59" s="4" t="n">
        <v>16</v>
      </c>
      <c r="E59" s="4" t="inlineStr">
        <is>
          <t>Retail</t>
        </is>
      </c>
    </row>
    <row r="60">
      <c r="A60" s="2" t="inlineStr">
        <is>
          <t>C_00059</t>
        </is>
      </c>
      <c r="B60" s="2" t="inlineStr">
        <is>
          <t>Medium</t>
        </is>
      </c>
      <c r="C60" s="2" t="inlineStr">
        <is>
          <t>Pending</t>
        </is>
      </c>
      <c r="D60" s="2" t="n">
        <v>58</v>
      </c>
      <c r="E60" s="2" t="inlineStr">
        <is>
          <t>Corporate</t>
        </is>
      </c>
    </row>
    <row r="61">
      <c r="A61" s="4" t="inlineStr">
        <is>
          <t>C_00060</t>
        </is>
      </c>
      <c r="B61" s="4" t="inlineStr">
        <is>
          <t>Medium</t>
        </is>
      </c>
      <c r="C61" s="4" t="inlineStr">
        <is>
          <t>Complete</t>
        </is>
      </c>
      <c r="D61" s="4" t="n">
        <v>63</v>
      </c>
      <c r="E61" s="4" t="inlineStr">
        <is>
          <t>HNI</t>
        </is>
      </c>
    </row>
    <row r="62">
      <c r="A62" s="2" t="inlineStr">
        <is>
          <t>C_00061</t>
        </is>
      </c>
      <c r="B62" s="2" t="inlineStr">
        <is>
          <t>High</t>
        </is>
      </c>
      <c r="C62" s="2" t="inlineStr">
        <is>
          <t>Complete</t>
        </is>
      </c>
      <c r="D62" s="2" t="n">
        <v>85</v>
      </c>
      <c r="E62" s="2" t="inlineStr">
        <is>
          <t>SMB</t>
        </is>
      </c>
    </row>
    <row r="63">
      <c r="A63" s="4" t="inlineStr">
        <is>
          <t>C_00062</t>
        </is>
      </c>
      <c r="B63" s="4" t="inlineStr">
        <is>
          <t>Low</t>
        </is>
      </c>
      <c r="C63" s="4" t="inlineStr">
        <is>
          <t>Complete</t>
        </is>
      </c>
      <c r="D63" s="4" t="n">
        <v>49</v>
      </c>
      <c r="E63" s="4" t="inlineStr">
        <is>
          <t>Retail</t>
        </is>
      </c>
    </row>
    <row r="64">
      <c r="A64" s="2" t="inlineStr">
        <is>
          <t>C_00063</t>
        </is>
      </c>
      <c r="B64" s="2" t="inlineStr">
        <is>
          <t>Low</t>
        </is>
      </c>
      <c r="C64" s="2" t="inlineStr">
        <is>
          <t>Complete</t>
        </is>
      </c>
      <c r="D64" s="2" t="n">
        <v>77</v>
      </c>
      <c r="E64" s="2" t="inlineStr">
        <is>
          <t>Corporate</t>
        </is>
      </c>
    </row>
    <row r="65">
      <c r="A65" s="4" t="inlineStr">
        <is>
          <t>C_00064</t>
        </is>
      </c>
      <c r="B65" s="4" t="inlineStr">
        <is>
          <t>Medium</t>
        </is>
      </c>
      <c r="C65" s="4" t="inlineStr">
        <is>
          <t>Complete</t>
        </is>
      </c>
      <c r="D65" s="4" t="n">
        <v>15</v>
      </c>
      <c r="E65" s="4" t="inlineStr">
        <is>
          <t>HNI</t>
        </is>
      </c>
    </row>
    <row r="66">
      <c r="A66" s="2" t="inlineStr">
        <is>
          <t>C_00065</t>
        </is>
      </c>
      <c r="B66" s="2" t="inlineStr">
        <is>
          <t>Low</t>
        </is>
      </c>
      <c r="C66" s="2" t="inlineStr">
        <is>
          <t>Complete</t>
        </is>
      </c>
      <c r="D66" s="2" t="n">
        <v>115</v>
      </c>
      <c r="E66" s="2" t="inlineStr">
        <is>
          <t>SMB</t>
        </is>
      </c>
    </row>
    <row r="67">
      <c r="A67" s="4" t="inlineStr">
        <is>
          <t>C_00066</t>
        </is>
      </c>
      <c r="B67" s="4" t="inlineStr">
        <is>
          <t>Low</t>
        </is>
      </c>
      <c r="C67" s="4" t="inlineStr">
        <is>
          <t>Expired</t>
        </is>
      </c>
      <c r="D67" s="4" t="n">
        <v>85</v>
      </c>
      <c r="E67" s="4" t="inlineStr">
        <is>
          <t>SMB</t>
        </is>
      </c>
    </row>
    <row r="68">
      <c r="A68" s="2" t="inlineStr">
        <is>
          <t>C_00067</t>
        </is>
      </c>
      <c r="B68" s="2" t="inlineStr">
        <is>
          <t>Low</t>
        </is>
      </c>
      <c r="C68" s="2" t="inlineStr">
        <is>
          <t>Complete</t>
        </is>
      </c>
      <c r="D68" s="2" t="n">
        <v>116</v>
      </c>
      <c r="E68" s="2" t="inlineStr">
        <is>
          <t>Corporate</t>
        </is>
      </c>
    </row>
    <row r="69">
      <c r="A69" s="4" t="inlineStr">
        <is>
          <t>C_00068</t>
        </is>
      </c>
      <c r="B69" s="4" t="inlineStr">
        <is>
          <t>Low</t>
        </is>
      </c>
      <c r="C69" s="4" t="inlineStr">
        <is>
          <t>Pending</t>
        </is>
      </c>
      <c r="D69" s="4" t="n">
        <v>87</v>
      </c>
      <c r="E69" s="4" t="inlineStr">
        <is>
          <t>Retail</t>
        </is>
      </c>
    </row>
    <row r="70">
      <c r="A70" s="2" t="inlineStr">
        <is>
          <t>C_00069</t>
        </is>
      </c>
      <c r="B70" s="2" t="inlineStr">
        <is>
          <t>Medium</t>
        </is>
      </c>
      <c r="C70" s="2" t="inlineStr">
        <is>
          <t>Complete</t>
        </is>
      </c>
      <c r="D70" s="2" t="n">
        <v>37</v>
      </c>
      <c r="E70" s="2" t="inlineStr">
        <is>
          <t>Corporate</t>
        </is>
      </c>
    </row>
    <row r="71">
      <c r="A71" s="4" t="inlineStr">
        <is>
          <t>C_00070</t>
        </is>
      </c>
      <c r="B71" s="4" t="inlineStr">
        <is>
          <t>Low</t>
        </is>
      </c>
      <c r="C71" s="4" t="inlineStr">
        <is>
          <t>Complete</t>
        </is>
      </c>
      <c r="D71" s="4" t="n">
        <v>108</v>
      </c>
      <c r="E71" s="4" t="inlineStr">
        <is>
          <t>SMB</t>
        </is>
      </c>
    </row>
    <row r="72">
      <c r="A72" s="2" t="inlineStr">
        <is>
          <t>C_00071</t>
        </is>
      </c>
      <c r="B72" s="2" t="inlineStr">
        <is>
          <t>Low</t>
        </is>
      </c>
      <c r="C72" s="2" t="inlineStr">
        <is>
          <t>Complete</t>
        </is>
      </c>
      <c r="D72" s="2" t="n">
        <v>29</v>
      </c>
      <c r="E72" s="2" t="inlineStr">
        <is>
          <t>Corporate</t>
        </is>
      </c>
    </row>
    <row r="73">
      <c r="A73" s="4" t="inlineStr">
        <is>
          <t>C_00072</t>
        </is>
      </c>
      <c r="B73" s="4" t="inlineStr">
        <is>
          <t>Medium</t>
        </is>
      </c>
      <c r="C73" s="4" t="inlineStr">
        <is>
          <t>Complete</t>
        </is>
      </c>
      <c r="D73" s="4" t="n">
        <v>72</v>
      </c>
      <c r="E73" s="4" t="inlineStr">
        <is>
          <t>Corporate</t>
        </is>
      </c>
    </row>
    <row r="74">
      <c r="A74" s="2" t="inlineStr">
        <is>
          <t>C_00073</t>
        </is>
      </c>
      <c r="B74" s="2" t="inlineStr">
        <is>
          <t>Medium</t>
        </is>
      </c>
      <c r="C74" s="2" t="inlineStr">
        <is>
          <t>Complete</t>
        </is>
      </c>
      <c r="D74" s="2" t="n">
        <v>103</v>
      </c>
      <c r="E74" s="2" t="inlineStr">
        <is>
          <t>SMB</t>
        </is>
      </c>
    </row>
    <row r="75">
      <c r="A75" s="4" t="inlineStr">
        <is>
          <t>C_00074</t>
        </is>
      </c>
      <c r="B75" s="4" t="inlineStr">
        <is>
          <t>Low</t>
        </is>
      </c>
      <c r="C75" s="4" t="inlineStr">
        <is>
          <t>Pending</t>
        </is>
      </c>
      <c r="D75" s="4" t="n">
        <v>88</v>
      </c>
      <c r="E75" s="4" t="inlineStr">
        <is>
          <t>SMB</t>
        </is>
      </c>
    </row>
    <row r="76">
      <c r="A76" s="2" t="inlineStr">
        <is>
          <t>C_00075</t>
        </is>
      </c>
      <c r="B76" s="2" t="inlineStr">
        <is>
          <t>Medium</t>
        </is>
      </c>
      <c r="C76" s="2" t="inlineStr">
        <is>
          <t>Complete</t>
        </is>
      </c>
      <c r="D76" s="2" t="n">
        <v>77</v>
      </c>
      <c r="E76" s="2" t="inlineStr">
        <is>
          <t>Retail</t>
        </is>
      </c>
    </row>
    <row r="77">
      <c r="A77" s="4" t="inlineStr">
        <is>
          <t>C_00076</t>
        </is>
      </c>
      <c r="B77" s="4" t="inlineStr">
        <is>
          <t>Low</t>
        </is>
      </c>
      <c r="C77" s="4" t="inlineStr">
        <is>
          <t>Complete</t>
        </is>
      </c>
      <c r="D77" s="4" t="n">
        <v>80</v>
      </c>
      <c r="E77" s="4" t="inlineStr">
        <is>
          <t>Retail</t>
        </is>
      </c>
    </row>
    <row r="78">
      <c r="A78" s="2" t="inlineStr">
        <is>
          <t>C_00077</t>
        </is>
      </c>
      <c r="B78" s="2" t="inlineStr">
        <is>
          <t>Medium</t>
        </is>
      </c>
      <c r="C78" s="2" t="inlineStr">
        <is>
          <t>Complete</t>
        </is>
      </c>
      <c r="D78" s="2" t="n">
        <v>53</v>
      </c>
      <c r="E78" s="2" t="inlineStr">
        <is>
          <t>Corporate</t>
        </is>
      </c>
    </row>
    <row r="79">
      <c r="A79" s="4" t="inlineStr">
        <is>
          <t>C_00078</t>
        </is>
      </c>
      <c r="B79" s="4" t="inlineStr">
        <is>
          <t>Medium</t>
        </is>
      </c>
      <c r="C79" s="4" t="inlineStr">
        <is>
          <t>Complete</t>
        </is>
      </c>
      <c r="D79" s="4" t="n">
        <v>62</v>
      </c>
      <c r="E79" s="4" t="inlineStr">
        <is>
          <t>Retail</t>
        </is>
      </c>
    </row>
    <row r="80">
      <c r="A80" s="2" t="inlineStr">
        <is>
          <t>C_00079</t>
        </is>
      </c>
      <c r="B80" s="2" t="inlineStr">
        <is>
          <t>Low</t>
        </is>
      </c>
      <c r="C80" s="2" t="inlineStr">
        <is>
          <t>Complete</t>
        </is>
      </c>
      <c r="D80" s="2" t="n">
        <v>22</v>
      </c>
      <c r="E80" s="2" t="inlineStr">
        <is>
          <t>SMB</t>
        </is>
      </c>
    </row>
    <row r="81">
      <c r="A81" s="4" t="inlineStr">
        <is>
          <t>C_00080</t>
        </is>
      </c>
      <c r="B81" s="4" t="inlineStr">
        <is>
          <t>Medium</t>
        </is>
      </c>
      <c r="C81" s="4" t="inlineStr">
        <is>
          <t>Complete</t>
        </is>
      </c>
      <c r="D81" s="4" t="n">
        <v>72</v>
      </c>
      <c r="E81" s="4" t="inlineStr">
        <is>
          <t>Retail</t>
        </is>
      </c>
    </row>
    <row r="82">
      <c r="A82" s="2" t="inlineStr">
        <is>
          <t>C_00081</t>
        </is>
      </c>
      <c r="B82" s="2" t="inlineStr">
        <is>
          <t>Medium</t>
        </is>
      </c>
      <c r="C82" s="2" t="inlineStr">
        <is>
          <t>Complete</t>
        </is>
      </c>
      <c r="D82" s="2" t="n">
        <v>111</v>
      </c>
      <c r="E82" s="2" t="inlineStr">
        <is>
          <t>Retail</t>
        </is>
      </c>
    </row>
    <row r="83">
      <c r="A83" s="4" t="inlineStr">
        <is>
          <t>C_00082</t>
        </is>
      </c>
      <c r="B83" s="4" t="inlineStr">
        <is>
          <t>High</t>
        </is>
      </c>
      <c r="C83" s="4" t="inlineStr">
        <is>
          <t>Complete</t>
        </is>
      </c>
      <c r="D83" s="4" t="n">
        <v>45</v>
      </c>
      <c r="E83" s="4" t="inlineStr">
        <is>
          <t>SMB</t>
        </is>
      </c>
    </row>
    <row r="84">
      <c r="A84" s="2" t="inlineStr">
        <is>
          <t>C_00083</t>
        </is>
      </c>
      <c r="B84" s="2" t="inlineStr">
        <is>
          <t>Medium</t>
        </is>
      </c>
      <c r="C84" s="2" t="inlineStr">
        <is>
          <t>Complete</t>
        </is>
      </c>
      <c r="D84" s="2" t="n">
        <v>8</v>
      </c>
      <c r="E84" s="2" t="inlineStr">
        <is>
          <t>Retail</t>
        </is>
      </c>
    </row>
    <row r="85">
      <c r="A85" s="4" t="inlineStr">
        <is>
          <t>C_00084</t>
        </is>
      </c>
      <c r="B85" s="4" t="inlineStr">
        <is>
          <t>Low</t>
        </is>
      </c>
      <c r="C85" s="4" t="inlineStr">
        <is>
          <t>Expired</t>
        </is>
      </c>
      <c r="D85" s="4" t="n">
        <v>60</v>
      </c>
      <c r="E85" s="4" t="inlineStr">
        <is>
          <t>SMB</t>
        </is>
      </c>
    </row>
    <row r="86">
      <c r="A86" s="2" t="inlineStr">
        <is>
          <t>C_00085</t>
        </is>
      </c>
      <c r="B86" s="2" t="inlineStr">
        <is>
          <t>Low</t>
        </is>
      </c>
      <c r="C86" s="2" t="inlineStr">
        <is>
          <t>Pending</t>
        </is>
      </c>
      <c r="D86" s="2" t="n">
        <v>15</v>
      </c>
      <c r="E86" s="2" t="inlineStr">
        <is>
          <t>Retail</t>
        </is>
      </c>
    </row>
    <row r="87">
      <c r="A87" s="4" t="inlineStr">
        <is>
          <t>C_00086</t>
        </is>
      </c>
      <c r="B87" s="4" t="inlineStr">
        <is>
          <t>Low</t>
        </is>
      </c>
      <c r="C87" s="4" t="inlineStr">
        <is>
          <t>Complete</t>
        </is>
      </c>
      <c r="D87" s="4" t="n">
        <v>61</v>
      </c>
      <c r="E87" s="4" t="inlineStr">
        <is>
          <t>Corporate</t>
        </is>
      </c>
    </row>
    <row r="88">
      <c r="A88" s="2" t="inlineStr">
        <is>
          <t>C_00087</t>
        </is>
      </c>
      <c r="B88" s="2" t="inlineStr">
        <is>
          <t>Low</t>
        </is>
      </c>
      <c r="C88" s="2" t="inlineStr">
        <is>
          <t>Expired</t>
        </is>
      </c>
      <c r="D88" s="2" t="n">
        <v>71</v>
      </c>
      <c r="E88" s="2" t="inlineStr">
        <is>
          <t>Retail</t>
        </is>
      </c>
    </row>
    <row r="89">
      <c r="A89" s="4" t="inlineStr">
        <is>
          <t>C_00088</t>
        </is>
      </c>
      <c r="B89" s="4" t="inlineStr">
        <is>
          <t>Medium</t>
        </is>
      </c>
      <c r="C89" s="4" t="inlineStr">
        <is>
          <t>Complete</t>
        </is>
      </c>
      <c r="D89" s="4" t="n">
        <v>36</v>
      </c>
      <c r="E89" s="4" t="inlineStr">
        <is>
          <t>Corporate</t>
        </is>
      </c>
    </row>
    <row r="90">
      <c r="A90" s="2" t="inlineStr">
        <is>
          <t>C_00089</t>
        </is>
      </c>
      <c r="B90" s="2" t="inlineStr">
        <is>
          <t>High</t>
        </is>
      </c>
      <c r="C90" s="2" t="inlineStr">
        <is>
          <t>Complete</t>
        </is>
      </c>
      <c r="D90" s="2" t="n">
        <v>65</v>
      </c>
      <c r="E90" s="2" t="inlineStr">
        <is>
          <t>SMB</t>
        </is>
      </c>
    </row>
    <row r="91">
      <c r="A91" s="4" t="inlineStr">
        <is>
          <t>C_00090</t>
        </is>
      </c>
      <c r="B91" s="4" t="inlineStr">
        <is>
          <t>High</t>
        </is>
      </c>
      <c r="C91" s="4" t="inlineStr">
        <is>
          <t>Complete</t>
        </is>
      </c>
      <c r="D91" s="4" t="n">
        <v>8</v>
      </c>
      <c r="E91" s="4" t="inlineStr">
        <is>
          <t>Retail</t>
        </is>
      </c>
    </row>
    <row r="92">
      <c r="A92" s="2" t="inlineStr">
        <is>
          <t>C_00091</t>
        </is>
      </c>
      <c r="B92" s="2" t="inlineStr">
        <is>
          <t>Low</t>
        </is>
      </c>
      <c r="C92" s="2" t="inlineStr">
        <is>
          <t>Pending</t>
        </is>
      </c>
      <c r="D92" s="2" t="n">
        <v>108</v>
      </c>
      <c r="E92" s="2" t="inlineStr">
        <is>
          <t>Retail</t>
        </is>
      </c>
    </row>
    <row r="93">
      <c r="A93" s="4" t="inlineStr">
        <is>
          <t>C_00092</t>
        </is>
      </c>
      <c r="B93" s="4" t="inlineStr">
        <is>
          <t>Medium</t>
        </is>
      </c>
      <c r="C93" s="4" t="inlineStr">
        <is>
          <t>Complete</t>
        </is>
      </c>
      <c r="D93" s="4" t="n">
        <v>69</v>
      </c>
      <c r="E93" s="4" t="inlineStr">
        <is>
          <t>Retail</t>
        </is>
      </c>
    </row>
    <row r="94">
      <c r="A94" s="2" t="inlineStr">
        <is>
          <t>C_00093</t>
        </is>
      </c>
      <c r="B94" s="2" t="inlineStr">
        <is>
          <t>Low</t>
        </is>
      </c>
      <c r="C94" s="2" t="inlineStr">
        <is>
          <t>Complete</t>
        </is>
      </c>
      <c r="D94" s="2" t="n">
        <v>82</v>
      </c>
      <c r="E94" s="2" t="inlineStr">
        <is>
          <t>SMB</t>
        </is>
      </c>
    </row>
    <row r="95">
      <c r="A95" s="4" t="inlineStr">
        <is>
          <t>C_00094</t>
        </is>
      </c>
      <c r="B95" s="4" t="inlineStr">
        <is>
          <t>Low</t>
        </is>
      </c>
      <c r="C95" s="4" t="inlineStr">
        <is>
          <t>Complete</t>
        </is>
      </c>
      <c r="D95" s="4" t="n">
        <v>81</v>
      </c>
      <c r="E95" s="4" t="inlineStr">
        <is>
          <t>Retail</t>
        </is>
      </c>
    </row>
    <row r="96">
      <c r="A96" s="2" t="inlineStr">
        <is>
          <t>C_00095</t>
        </is>
      </c>
      <c r="B96" s="2" t="inlineStr">
        <is>
          <t>Medium</t>
        </is>
      </c>
      <c r="C96" s="2" t="inlineStr">
        <is>
          <t>Pending</t>
        </is>
      </c>
      <c r="D96" s="2" t="n">
        <v>93</v>
      </c>
      <c r="E96" s="2" t="inlineStr">
        <is>
          <t>HNI</t>
        </is>
      </c>
    </row>
    <row r="97">
      <c r="A97" s="4" t="inlineStr">
        <is>
          <t>C_00096</t>
        </is>
      </c>
      <c r="B97" s="4" t="inlineStr">
        <is>
          <t>Low</t>
        </is>
      </c>
      <c r="C97" s="4" t="inlineStr">
        <is>
          <t>Complete</t>
        </is>
      </c>
      <c r="D97" s="4" t="n">
        <v>110</v>
      </c>
      <c r="E97" s="4" t="inlineStr">
        <is>
          <t>SMB</t>
        </is>
      </c>
    </row>
    <row r="98">
      <c r="A98" s="2" t="inlineStr">
        <is>
          <t>C_00097</t>
        </is>
      </c>
      <c r="B98" s="2" t="inlineStr">
        <is>
          <t>High</t>
        </is>
      </c>
      <c r="C98" s="2" t="inlineStr">
        <is>
          <t>Complete</t>
        </is>
      </c>
      <c r="D98" s="2" t="n">
        <v>10</v>
      </c>
      <c r="E98" s="2" t="inlineStr">
        <is>
          <t>Retail</t>
        </is>
      </c>
    </row>
    <row r="99">
      <c r="A99" s="4" t="inlineStr">
        <is>
          <t>C_00098</t>
        </is>
      </c>
      <c r="B99" s="4" t="inlineStr">
        <is>
          <t>Low</t>
        </is>
      </c>
      <c r="C99" s="4" t="inlineStr">
        <is>
          <t>Complete</t>
        </is>
      </c>
      <c r="D99" s="4" t="n">
        <v>48</v>
      </c>
      <c r="E99" s="4" t="inlineStr">
        <is>
          <t>SMB</t>
        </is>
      </c>
    </row>
    <row r="100">
      <c r="A100" s="2" t="inlineStr">
        <is>
          <t>C_00099</t>
        </is>
      </c>
      <c r="B100" s="2" t="inlineStr">
        <is>
          <t>Low</t>
        </is>
      </c>
      <c r="C100" s="2" t="inlineStr">
        <is>
          <t>Pending</t>
        </is>
      </c>
      <c r="D100" s="2" t="n">
        <v>98</v>
      </c>
      <c r="E100" s="2" t="inlineStr">
        <is>
          <t>SMB</t>
        </is>
      </c>
    </row>
    <row r="101">
      <c r="A101" s="4" t="inlineStr">
        <is>
          <t>C_00100</t>
        </is>
      </c>
      <c r="B101" s="4" t="inlineStr">
        <is>
          <t>High</t>
        </is>
      </c>
      <c r="C101" s="4" t="inlineStr">
        <is>
          <t>Complete</t>
        </is>
      </c>
      <c r="D101" s="4" t="n">
        <v>114</v>
      </c>
      <c r="E101" s="4" t="inlineStr">
        <is>
          <t>Retail</t>
        </is>
      </c>
    </row>
    <row r="102">
      <c r="A102" s="2" t="inlineStr">
        <is>
          <t>C_00101</t>
        </is>
      </c>
      <c r="B102" s="2" t="inlineStr">
        <is>
          <t>Medium</t>
        </is>
      </c>
      <c r="C102" s="2" t="inlineStr">
        <is>
          <t>Complete</t>
        </is>
      </c>
      <c r="D102" s="2" t="n">
        <v>64</v>
      </c>
      <c r="E102" s="2" t="inlineStr">
        <is>
          <t>SMB</t>
        </is>
      </c>
    </row>
    <row r="103">
      <c r="A103" s="4" t="inlineStr">
        <is>
          <t>C_00102</t>
        </is>
      </c>
      <c r="B103" s="4" t="inlineStr">
        <is>
          <t>High</t>
        </is>
      </c>
      <c r="C103" s="4" t="inlineStr">
        <is>
          <t>Complete</t>
        </is>
      </c>
      <c r="D103" s="4" t="n">
        <v>112</v>
      </c>
      <c r="E103" s="4" t="inlineStr">
        <is>
          <t>HNI</t>
        </is>
      </c>
    </row>
    <row r="104">
      <c r="A104" s="2" t="inlineStr">
        <is>
          <t>C_00103</t>
        </is>
      </c>
      <c r="B104" s="2" t="inlineStr">
        <is>
          <t>Low</t>
        </is>
      </c>
      <c r="C104" s="2" t="inlineStr">
        <is>
          <t>Complete</t>
        </is>
      </c>
      <c r="D104" s="2" t="n">
        <v>11</v>
      </c>
      <c r="E104" s="2" t="inlineStr">
        <is>
          <t>SMB</t>
        </is>
      </c>
    </row>
    <row r="105">
      <c r="A105" s="4" t="inlineStr">
        <is>
          <t>C_00104</t>
        </is>
      </c>
      <c r="B105" s="4" t="inlineStr">
        <is>
          <t>Low</t>
        </is>
      </c>
      <c r="C105" s="4" t="inlineStr">
        <is>
          <t>Complete</t>
        </is>
      </c>
      <c r="D105" s="4" t="n">
        <v>119</v>
      </c>
      <c r="E105" s="4" t="inlineStr">
        <is>
          <t>HNI</t>
        </is>
      </c>
    </row>
    <row r="106">
      <c r="A106" s="2" t="inlineStr">
        <is>
          <t>C_00105</t>
        </is>
      </c>
      <c r="B106" s="2" t="inlineStr">
        <is>
          <t>Low</t>
        </is>
      </c>
      <c r="C106" s="2" t="inlineStr">
        <is>
          <t>Expired</t>
        </is>
      </c>
      <c r="D106" s="2" t="n">
        <v>91</v>
      </c>
      <c r="E106" s="2" t="inlineStr">
        <is>
          <t>Retail</t>
        </is>
      </c>
    </row>
    <row r="107">
      <c r="A107" s="4" t="inlineStr">
        <is>
          <t>C_00106</t>
        </is>
      </c>
      <c r="B107" s="4" t="inlineStr">
        <is>
          <t>High</t>
        </is>
      </c>
      <c r="C107" s="4" t="inlineStr">
        <is>
          <t>Expired</t>
        </is>
      </c>
      <c r="D107" s="4" t="n">
        <v>107</v>
      </c>
      <c r="E107" s="4" t="inlineStr">
        <is>
          <t>Retail</t>
        </is>
      </c>
    </row>
    <row r="108">
      <c r="A108" s="2" t="inlineStr">
        <is>
          <t>C_00107</t>
        </is>
      </c>
      <c r="B108" s="2" t="inlineStr">
        <is>
          <t>Low</t>
        </is>
      </c>
      <c r="C108" s="2" t="inlineStr">
        <is>
          <t>Complete</t>
        </is>
      </c>
      <c r="D108" s="2" t="n">
        <v>42</v>
      </c>
      <c r="E108" s="2" t="inlineStr">
        <is>
          <t>SMB</t>
        </is>
      </c>
    </row>
    <row r="109">
      <c r="A109" s="4" t="inlineStr">
        <is>
          <t>C_00108</t>
        </is>
      </c>
      <c r="B109" s="4" t="inlineStr">
        <is>
          <t>Low</t>
        </is>
      </c>
      <c r="C109" s="4" t="inlineStr">
        <is>
          <t>Pending</t>
        </is>
      </c>
      <c r="D109" s="4" t="n">
        <v>81</v>
      </c>
      <c r="E109" s="4" t="inlineStr">
        <is>
          <t>SMB</t>
        </is>
      </c>
    </row>
    <row r="110">
      <c r="A110" s="2" t="inlineStr">
        <is>
          <t>C_00109</t>
        </is>
      </c>
      <c r="B110" s="2" t="inlineStr">
        <is>
          <t>Low</t>
        </is>
      </c>
      <c r="C110" s="2" t="inlineStr">
        <is>
          <t>Complete</t>
        </is>
      </c>
      <c r="D110" s="2" t="n">
        <v>16</v>
      </c>
      <c r="E110" s="2" t="inlineStr">
        <is>
          <t>HNI</t>
        </is>
      </c>
    </row>
    <row r="111">
      <c r="A111" s="4" t="inlineStr">
        <is>
          <t>C_00110</t>
        </is>
      </c>
      <c r="B111" s="4" t="inlineStr">
        <is>
          <t>Medium</t>
        </is>
      </c>
      <c r="C111" s="4" t="inlineStr">
        <is>
          <t>Pending</t>
        </is>
      </c>
      <c r="D111" s="4" t="n">
        <v>35</v>
      </c>
      <c r="E111" s="4" t="inlineStr">
        <is>
          <t>SMB</t>
        </is>
      </c>
    </row>
    <row r="112">
      <c r="A112" s="2" t="inlineStr">
        <is>
          <t>C_00111</t>
        </is>
      </c>
      <c r="B112" s="2" t="inlineStr">
        <is>
          <t>Low</t>
        </is>
      </c>
      <c r="C112" s="2" t="inlineStr">
        <is>
          <t>Expired</t>
        </is>
      </c>
      <c r="D112" s="2" t="n">
        <v>33</v>
      </c>
      <c r="E112" s="2" t="inlineStr">
        <is>
          <t>HNI</t>
        </is>
      </c>
    </row>
    <row r="113">
      <c r="A113" s="4" t="inlineStr">
        <is>
          <t>C_00112</t>
        </is>
      </c>
      <c r="B113" s="4" t="inlineStr">
        <is>
          <t>Low</t>
        </is>
      </c>
      <c r="C113" s="4" t="inlineStr">
        <is>
          <t>Complete</t>
        </is>
      </c>
      <c r="D113" s="4" t="n">
        <v>100</v>
      </c>
      <c r="E113" s="4" t="inlineStr">
        <is>
          <t>Retail</t>
        </is>
      </c>
    </row>
    <row r="114">
      <c r="A114" s="2" t="inlineStr">
        <is>
          <t>C_00113</t>
        </is>
      </c>
      <c r="B114" s="2" t="inlineStr">
        <is>
          <t>High</t>
        </is>
      </c>
      <c r="C114" s="2" t="inlineStr">
        <is>
          <t>Complete</t>
        </is>
      </c>
      <c r="D114" s="2" t="n">
        <v>26</v>
      </c>
      <c r="E114" s="2" t="inlineStr">
        <is>
          <t>Corporate</t>
        </is>
      </c>
    </row>
    <row r="115">
      <c r="A115" s="4" t="inlineStr">
        <is>
          <t>C_00114</t>
        </is>
      </c>
      <c r="B115" s="4" t="inlineStr">
        <is>
          <t>Low</t>
        </is>
      </c>
      <c r="C115" s="4" t="inlineStr">
        <is>
          <t>Complete</t>
        </is>
      </c>
      <c r="D115" s="4" t="n">
        <v>105</v>
      </c>
      <c r="E115" s="4" t="inlineStr">
        <is>
          <t>Corporate</t>
        </is>
      </c>
    </row>
    <row r="116">
      <c r="A116" s="2" t="inlineStr">
        <is>
          <t>C_00115</t>
        </is>
      </c>
      <c r="B116" s="2" t="inlineStr">
        <is>
          <t>Low</t>
        </is>
      </c>
      <c r="C116" s="2" t="inlineStr">
        <is>
          <t>Complete</t>
        </is>
      </c>
      <c r="D116" s="2" t="n">
        <v>41</v>
      </c>
      <c r="E116" s="2" t="inlineStr">
        <is>
          <t>Retail</t>
        </is>
      </c>
    </row>
    <row r="117">
      <c r="A117" s="4" t="inlineStr">
        <is>
          <t>C_00116</t>
        </is>
      </c>
      <c r="B117" s="4" t="inlineStr">
        <is>
          <t>High</t>
        </is>
      </c>
      <c r="C117" s="4" t="inlineStr">
        <is>
          <t>Pending</t>
        </is>
      </c>
      <c r="D117" s="4" t="n">
        <v>116</v>
      </c>
      <c r="E117" s="4" t="inlineStr">
        <is>
          <t>Retail</t>
        </is>
      </c>
    </row>
    <row r="118">
      <c r="A118" s="2" t="inlineStr">
        <is>
          <t>C_00117</t>
        </is>
      </c>
      <c r="B118" s="2" t="inlineStr">
        <is>
          <t>Low</t>
        </is>
      </c>
      <c r="C118" s="2" t="inlineStr">
        <is>
          <t>Complete</t>
        </is>
      </c>
      <c r="D118" s="2" t="n">
        <v>22</v>
      </c>
      <c r="E118" s="2" t="inlineStr">
        <is>
          <t>SMB</t>
        </is>
      </c>
    </row>
    <row r="119">
      <c r="A119" s="4" t="inlineStr">
        <is>
          <t>C_00118</t>
        </is>
      </c>
      <c r="B119" s="4" t="inlineStr">
        <is>
          <t>High</t>
        </is>
      </c>
      <c r="C119" s="4" t="inlineStr">
        <is>
          <t>Complete</t>
        </is>
      </c>
      <c r="D119" s="4" t="n">
        <v>32</v>
      </c>
      <c r="E119" s="4" t="inlineStr">
        <is>
          <t>Retail</t>
        </is>
      </c>
    </row>
    <row r="120">
      <c r="A120" s="2" t="inlineStr">
        <is>
          <t>C_00119</t>
        </is>
      </c>
      <c r="B120" s="2" t="inlineStr">
        <is>
          <t>Low</t>
        </is>
      </c>
      <c r="C120" s="2" t="inlineStr">
        <is>
          <t>Complete</t>
        </is>
      </c>
      <c r="D120" s="2" t="n">
        <v>83</v>
      </c>
      <c r="E120" s="2" t="inlineStr">
        <is>
          <t>Retail</t>
        </is>
      </c>
    </row>
    <row r="121">
      <c r="A121" s="4" t="inlineStr">
        <is>
          <t>C_00120</t>
        </is>
      </c>
      <c r="B121" s="4" t="inlineStr">
        <is>
          <t>High</t>
        </is>
      </c>
      <c r="C121" s="4" t="inlineStr">
        <is>
          <t>Complete</t>
        </is>
      </c>
      <c r="D121" s="4" t="n">
        <v>63</v>
      </c>
      <c r="E121" s="4" t="inlineStr">
        <is>
          <t>Retail</t>
        </is>
      </c>
    </row>
    <row r="122">
      <c r="A122" s="2" t="inlineStr">
        <is>
          <t>C_00121</t>
        </is>
      </c>
      <c r="B122" s="2" t="inlineStr">
        <is>
          <t>High</t>
        </is>
      </c>
      <c r="C122" s="2" t="inlineStr">
        <is>
          <t>Pending</t>
        </is>
      </c>
      <c r="D122" s="2" t="n">
        <v>72</v>
      </c>
      <c r="E122" s="2" t="inlineStr">
        <is>
          <t>Corporate</t>
        </is>
      </c>
    </row>
    <row r="123">
      <c r="A123" s="4" t="inlineStr">
        <is>
          <t>C_00122</t>
        </is>
      </c>
      <c r="B123" s="4" t="inlineStr">
        <is>
          <t>Low</t>
        </is>
      </c>
      <c r="C123" s="4" t="inlineStr">
        <is>
          <t>Complete</t>
        </is>
      </c>
      <c r="D123" s="4" t="n">
        <v>97</v>
      </c>
      <c r="E123" s="4" t="inlineStr">
        <is>
          <t>HNI</t>
        </is>
      </c>
    </row>
    <row r="124">
      <c r="A124" s="2" t="inlineStr">
        <is>
          <t>C_00123</t>
        </is>
      </c>
      <c r="B124" s="2" t="inlineStr">
        <is>
          <t>Low</t>
        </is>
      </c>
      <c r="C124" s="2" t="inlineStr">
        <is>
          <t>Pending</t>
        </is>
      </c>
      <c r="D124" s="2" t="n">
        <v>90</v>
      </c>
      <c r="E124" s="2" t="inlineStr">
        <is>
          <t>Retail</t>
        </is>
      </c>
    </row>
    <row r="125">
      <c r="A125" s="4" t="inlineStr">
        <is>
          <t>C_00124</t>
        </is>
      </c>
      <c r="B125" s="4" t="inlineStr">
        <is>
          <t>Medium</t>
        </is>
      </c>
      <c r="C125" s="4" t="inlineStr">
        <is>
          <t>Complete</t>
        </is>
      </c>
      <c r="D125" s="4" t="n">
        <v>20</v>
      </c>
      <c r="E125" s="4" t="inlineStr">
        <is>
          <t>SMB</t>
        </is>
      </c>
    </row>
    <row r="126">
      <c r="A126" s="2" t="inlineStr">
        <is>
          <t>C_00125</t>
        </is>
      </c>
      <c r="B126" s="2" t="inlineStr">
        <is>
          <t>Medium</t>
        </is>
      </c>
      <c r="C126" s="2" t="inlineStr">
        <is>
          <t>Expired</t>
        </is>
      </c>
      <c r="D126" s="2" t="n">
        <v>51</v>
      </c>
      <c r="E126" s="2" t="inlineStr">
        <is>
          <t>Retail</t>
        </is>
      </c>
    </row>
    <row r="127">
      <c r="A127" s="4" t="inlineStr">
        <is>
          <t>C_00126</t>
        </is>
      </c>
      <c r="B127" s="4" t="inlineStr">
        <is>
          <t>High</t>
        </is>
      </c>
      <c r="C127" s="4" t="inlineStr">
        <is>
          <t>Complete</t>
        </is>
      </c>
      <c r="D127" s="4" t="n">
        <v>61</v>
      </c>
      <c r="E127" s="4" t="inlineStr">
        <is>
          <t>Retail</t>
        </is>
      </c>
    </row>
    <row r="128">
      <c r="A128" s="2" t="inlineStr">
        <is>
          <t>C_00127</t>
        </is>
      </c>
      <c r="B128" s="2" t="inlineStr">
        <is>
          <t>Medium</t>
        </is>
      </c>
      <c r="C128" s="2" t="inlineStr">
        <is>
          <t>Complete</t>
        </is>
      </c>
      <c r="D128" s="2" t="n">
        <v>114</v>
      </c>
      <c r="E128" s="2" t="inlineStr">
        <is>
          <t>Retail</t>
        </is>
      </c>
    </row>
    <row r="129">
      <c r="A129" s="4" t="inlineStr">
        <is>
          <t>C_00128</t>
        </is>
      </c>
      <c r="B129" s="4" t="inlineStr">
        <is>
          <t>Medium</t>
        </is>
      </c>
      <c r="C129" s="4" t="inlineStr">
        <is>
          <t>Complete</t>
        </is>
      </c>
      <c r="D129" s="4" t="n">
        <v>111</v>
      </c>
      <c r="E129" s="4" t="inlineStr">
        <is>
          <t>HNI</t>
        </is>
      </c>
    </row>
    <row r="130">
      <c r="A130" s="2" t="inlineStr">
        <is>
          <t>C_00129</t>
        </is>
      </c>
      <c r="B130" s="2" t="inlineStr">
        <is>
          <t>Low</t>
        </is>
      </c>
      <c r="C130" s="2" t="inlineStr">
        <is>
          <t>Complete</t>
        </is>
      </c>
      <c r="D130" s="2" t="n">
        <v>69</v>
      </c>
      <c r="E130" s="2" t="inlineStr">
        <is>
          <t>SMB</t>
        </is>
      </c>
    </row>
    <row r="131">
      <c r="A131" s="4" t="inlineStr">
        <is>
          <t>C_00130</t>
        </is>
      </c>
      <c r="B131" s="4" t="inlineStr">
        <is>
          <t>Low</t>
        </is>
      </c>
      <c r="C131" s="4" t="inlineStr">
        <is>
          <t>Complete</t>
        </is>
      </c>
      <c r="D131" s="4" t="n">
        <v>18</v>
      </c>
      <c r="E131" s="4" t="inlineStr">
        <is>
          <t>HNI</t>
        </is>
      </c>
    </row>
    <row r="132">
      <c r="A132" s="2" t="inlineStr">
        <is>
          <t>C_00131</t>
        </is>
      </c>
      <c r="B132" s="2" t="inlineStr">
        <is>
          <t>Medium</t>
        </is>
      </c>
      <c r="C132" s="2" t="inlineStr">
        <is>
          <t>Complete</t>
        </is>
      </c>
      <c r="D132" s="2" t="n">
        <v>53</v>
      </c>
      <c r="E132" s="2" t="inlineStr">
        <is>
          <t>Corporate</t>
        </is>
      </c>
    </row>
    <row r="133">
      <c r="A133" s="4" t="inlineStr">
        <is>
          <t>C_00132</t>
        </is>
      </c>
      <c r="B133" s="4" t="inlineStr">
        <is>
          <t>Low</t>
        </is>
      </c>
      <c r="C133" s="4" t="inlineStr">
        <is>
          <t>Expired</t>
        </is>
      </c>
      <c r="D133" s="4" t="n">
        <v>73</v>
      </c>
      <c r="E133" s="4" t="inlineStr">
        <is>
          <t>Retail</t>
        </is>
      </c>
    </row>
    <row r="134">
      <c r="A134" s="2" t="inlineStr">
        <is>
          <t>C_00133</t>
        </is>
      </c>
      <c r="B134" s="2" t="inlineStr">
        <is>
          <t>Low</t>
        </is>
      </c>
      <c r="C134" s="2" t="inlineStr">
        <is>
          <t>Expired</t>
        </is>
      </c>
      <c r="D134" s="2" t="n">
        <v>97</v>
      </c>
      <c r="E134" s="2" t="inlineStr">
        <is>
          <t>Corporate</t>
        </is>
      </c>
    </row>
    <row r="135">
      <c r="A135" s="4" t="inlineStr">
        <is>
          <t>C_00134</t>
        </is>
      </c>
      <c r="B135" s="4" t="inlineStr">
        <is>
          <t>Low</t>
        </is>
      </c>
      <c r="C135" s="4" t="inlineStr">
        <is>
          <t>Complete</t>
        </is>
      </c>
      <c r="D135" s="4" t="n">
        <v>95</v>
      </c>
      <c r="E135" s="4" t="inlineStr">
        <is>
          <t>SMB</t>
        </is>
      </c>
    </row>
    <row r="136">
      <c r="A136" s="2" t="inlineStr">
        <is>
          <t>C_00135</t>
        </is>
      </c>
      <c r="B136" s="2" t="inlineStr">
        <is>
          <t>High</t>
        </is>
      </c>
      <c r="C136" s="2" t="inlineStr">
        <is>
          <t>Complete</t>
        </is>
      </c>
      <c r="D136" s="2" t="n">
        <v>18</v>
      </c>
      <c r="E136" s="2" t="inlineStr">
        <is>
          <t>SMB</t>
        </is>
      </c>
    </row>
    <row r="137">
      <c r="A137" s="4" t="inlineStr">
        <is>
          <t>C_00136</t>
        </is>
      </c>
      <c r="B137" s="4" t="inlineStr">
        <is>
          <t>Low</t>
        </is>
      </c>
      <c r="C137" s="4" t="inlineStr">
        <is>
          <t>Pending</t>
        </is>
      </c>
      <c r="D137" s="4" t="n">
        <v>96</v>
      </c>
      <c r="E137" s="4" t="inlineStr">
        <is>
          <t>Retail</t>
        </is>
      </c>
    </row>
    <row r="138">
      <c r="A138" s="2" t="inlineStr">
        <is>
          <t>C_00137</t>
        </is>
      </c>
      <c r="B138" s="2" t="inlineStr">
        <is>
          <t>Low</t>
        </is>
      </c>
      <c r="C138" s="2" t="inlineStr">
        <is>
          <t>Complete</t>
        </is>
      </c>
      <c r="D138" s="2" t="n">
        <v>66</v>
      </c>
      <c r="E138" s="2" t="inlineStr">
        <is>
          <t>SMB</t>
        </is>
      </c>
    </row>
    <row r="139">
      <c r="A139" s="4" t="inlineStr">
        <is>
          <t>C_00138</t>
        </is>
      </c>
      <c r="B139" s="4" t="inlineStr">
        <is>
          <t>Medium</t>
        </is>
      </c>
      <c r="C139" s="4" t="inlineStr">
        <is>
          <t>Complete</t>
        </is>
      </c>
      <c r="D139" s="4" t="n">
        <v>104</v>
      </c>
      <c r="E139" s="4" t="inlineStr">
        <is>
          <t>HNI</t>
        </is>
      </c>
    </row>
    <row r="140">
      <c r="A140" s="2" t="inlineStr">
        <is>
          <t>C_00139</t>
        </is>
      </c>
      <c r="B140" s="2" t="inlineStr">
        <is>
          <t>Medium</t>
        </is>
      </c>
      <c r="C140" s="2" t="inlineStr">
        <is>
          <t>Complete</t>
        </is>
      </c>
      <c r="D140" s="2" t="n">
        <v>53</v>
      </c>
      <c r="E140" s="2" t="inlineStr">
        <is>
          <t>Retail</t>
        </is>
      </c>
    </row>
    <row r="141">
      <c r="A141" s="4" t="inlineStr">
        <is>
          <t>C_00140</t>
        </is>
      </c>
      <c r="B141" s="4" t="inlineStr">
        <is>
          <t>Low</t>
        </is>
      </c>
      <c r="C141" s="4" t="inlineStr">
        <is>
          <t>Complete</t>
        </is>
      </c>
      <c r="D141" s="4" t="n">
        <v>54</v>
      </c>
      <c r="E141" s="4" t="inlineStr">
        <is>
          <t>HNI</t>
        </is>
      </c>
    </row>
    <row r="142">
      <c r="A142" s="2" t="inlineStr">
        <is>
          <t>C_00141</t>
        </is>
      </c>
      <c r="B142" s="2" t="inlineStr">
        <is>
          <t>Low</t>
        </is>
      </c>
      <c r="C142" s="2" t="inlineStr">
        <is>
          <t>Complete</t>
        </is>
      </c>
      <c r="D142" s="2" t="n">
        <v>104</v>
      </c>
      <c r="E142" s="2" t="inlineStr">
        <is>
          <t>HNI</t>
        </is>
      </c>
    </row>
    <row r="143">
      <c r="A143" s="4" t="inlineStr">
        <is>
          <t>C_00142</t>
        </is>
      </c>
      <c r="B143" s="4" t="inlineStr">
        <is>
          <t>Low</t>
        </is>
      </c>
      <c r="C143" s="4" t="inlineStr">
        <is>
          <t>Complete</t>
        </is>
      </c>
      <c r="D143" s="4" t="n">
        <v>34</v>
      </c>
      <c r="E143" s="4" t="inlineStr">
        <is>
          <t>SMB</t>
        </is>
      </c>
    </row>
    <row r="144">
      <c r="A144" s="2" t="inlineStr">
        <is>
          <t>C_00143</t>
        </is>
      </c>
      <c r="B144" s="2" t="inlineStr">
        <is>
          <t>Low</t>
        </is>
      </c>
      <c r="C144" s="2" t="inlineStr">
        <is>
          <t>Complete</t>
        </is>
      </c>
      <c r="D144" s="2" t="n">
        <v>91</v>
      </c>
      <c r="E144" s="2" t="inlineStr">
        <is>
          <t>HNI</t>
        </is>
      </c>
    </row>
    <row r="145">
      <c r="A145" s="4" t="inlineStr">
        <is>
          <t>C_00144</t>
        </is>
      </c>
      <c r="B145" s="4" t="inlineStr">
        <is>
          <t>High</t>
        </is>
      </c>
      <c r="C145" s="4" t="inlineStr">
        <is>
          <t>Pending</t>
        </is>
      </c>
      <c r="D145" s="4" t="n">
        <v>18</v>
      </c>
      <c r="E145" s="4" t="inlineStr">
        <is>
          <t>HNI</t>
        </is>
      </c>
    </row>
    <row r="146">
      <c r="A146" s="2" t="inlineStr">
        <is>
          <t>C_00145</t>
        </is>
      </c>
      <c r="B146" s="2" t="inlineStr">
        <is>
          <t>High</t>
        </is>
      </c>
      <c r="C146" s="2" t="inlineStr">
        <is>
          <t>Complete</t>
        </is>
      </c>
      <c r="D146" s="2" t="n">
        <v>73</v>
      </c>
      <c r="E146" s="2" t="inlineStr">
        <is>
          <t>SMB</t>
        </is>
      </c>
    </row>
    <row r="147">
      <c r="A147" s="4" t="inlineStr">
        <is>
          <t>C_00146</t>
        </is>
      </c>
      <c r="B147" s="4" t="inlineStr">
        <is>
          <t>Low</t>
        </is>
      </c>
      <c r="C147" s="4" t="inlineStr">
        <is>
          <t>Complete</t>
        </is>
      </c>
      <c r="D147" s="4" t="n">
        <v>100</v>
      </c>
      <c r="E147" s="4" t="inlineStr">
        <is>
          <t>Retail</t>
        </is>
      </c>
    </row>
    <row r="148">
      <c r="A148" s="2" t="inlineStr">
        <is>
          <t>C_00147</t>
        </is>
      </c>
      <c r="B148" s="2" t="inlineStr">
        <is>
          <t>Low</t>
        </is>
      </c>
      <c r="C148" s="2" t="inlineStr">
        <is>
          <t>Complete</t>
        </is>
      </c>
      <c r="D148" s="2" t="n">
        <v>22</v>
      </c>
      <c r="E148" s="2" t="inlineStr">
        <is>
          <t>HNI</t>
        </is>
      </c>
    </row>
    <row r="149">
      <c r="A149" s="4" t="inlineStr">
        <is>
          <t>C_00148</t>
        </is>
      </c>
      <c r="B149" s="4" t="inlineStr">
        <is>
          <t>High</t>
        </is>
      </c>
      <c r="C149" s="4" t="inlineStr">
        <is>
          <t>Expired</t>
        </is>
      </c>
      <c r="D149" s="4" t="n">
        <v>24</v>
      </c>
      <c r="E149" s="4" t="inlineStr">
        <is>
          <t>SMB</t>
        </is>
      </c>
    </row>
    <row r="150">
      <c r="A150" s="2" t="inlineStr">
        <is>
          <t>C_00149</t>
        </is>
      </c>
      <c r="B150" s="2" t="inlineStr">
        <is>
          <t>Low</t>
        </is>
      </c>
      <c r="C150" s="2" t="inlineStr">
        <is>
          <t>Complete</t>
        </is>
      </c>
      <c r="D150" s="2" t="n">
        <v>23</v>
      </c>
      <c r="E150" s="2" t="inlineStr">
        <is>
          <t>SMB</t>
        </is>
      </c>
    </row>
    <row r="151">
      <c r="A151" s="4" t="inlineStr">
        <is>
          <t>C_00150</t>
        </is>
      </c>
      <c r="B151" s="4" t="inlineStr">
        <is>
          <t>Low</t>
        </is>
      </c>
      <c r="C151" s="4" t="inlineStr">
        <is>
          <t>Complete</t>
        </is>
      </c>
      <c r="D151" s="4" t="n">
        <v>8</v>
      </c>
      <c r="E151" s="4" t="inlineStr">
        <is>
          <t>SMB</t>
        </is>
      </c>
    </row>
    <row r="152">
      <c r="A152" s="2" t="inlineStr">
        <is>
          <t>C_00151</t>
        </is>
      </c>
      <c r="B152" s="2" t="inlineStr">
        <is>
          <t>Medium</t>
        </is>
      </c>
      <c r="C152" s="2" t="inlineStr">
        <is>
          <t>Complete</t>
        </is>
      </c>
      <c r="D152" s="2" t="n">
        <v>25</v>
      </c>
      <c r="E152" s="2" t="inlineStr">
        <is>
          <t>Retail</t>
        </is>
      </c>
    </row>
    <row r="153">
      <c r="A153" s="4" t="inlineStr">
        <is>
          <t>C_00152</t>
        </is>
      </c>
      <c r="B153" s="4" t="inlineStr">
        <is>
          <t>Medium</t>
        </is>
      </c>
      <c r="C153" s="4" t="inlineStr">
        <is>
          <t>Complete</t>
        </is>
      </c>
      <c r="D153" s="4" t="n">
        <v>73</v>
      </c>
      <c r="E153" s="4" t="inlineStr">
        <is>
          <t>SMB</t>
        </is>
      </c>
    </row>
    <row r="154">
      <c r="A154" s="2" t="inlineStr">
        <is>
          <t>C_00153</t>
        </is>
      </c>
      <c r="B154" s="2" t="inlineStr">
        <is>
          <t>Medium</t>
        </is>
      </c>
      <c r="C154" s="2" t="inlineStr">
        <is>
          <t>Pending</t>
        </is>
      </c>
      <c r="D154" s="2" t="n">
        <v>50</v>
      </c>
      <c r="E154" s="2" t="inlineStr">
        <is>
          <t>Corporate</t>
        </is>
      </c>
    </row>
    <row r="155">
      <c r="A155" s="4" t="inlineStr">
        <is>
          <t>C_00154</t>
        </is>
      </c>
      <c r="B155" s="4" t="inlineStr">
        <is>
          <t>Medium</t>
        </is>
      </c>
      <c r="C155" s="4" t="inlineStr">
        <is>
          <t>Complete</t>
        </is>
      </c>
      <c r="D155" s="4" t="n">
        <v>63</v>
      </c>
      <c r="E155" s="4" t="inlineStr">
        <is>
          <t>HNI</t>
        </is>
      </c>
    </row>
    <row r="156">
      <c r="A156" s="2" t="inlineStr">
        <is>
          <t>C_00155</t>
        </is>
      </c>
      <c r="B156" s="2" t="inlineStr">
        <is>
          <t>Medium</t>
        </is>
      </c>
      <c r="C156" s="2" t="inlineStr">
        <is>
          <t>Expired</t>
        </is>
      </c>
      <c r="D156" s="2" t="n">
        <v>103</v>
      </c>
      <c r="E156" s="2" t="inlineStr">
        <is>
          <t>Corporate</t>
        </is>
      </c>
    </row>
    <row r="157">
      <c r="A157" s="4" t="inlineStr">
        <is>
          <t>C_00156</t>
        </is>
      </c>
      <c r="B157" s="4" t="inlineStr">
        <is>
          <t>Medium</t>
        </is>
      </c>
      <c r="C157" s="4" t="inlineStr">
        <is>
          <t>Complete</t>
        </is>
      </c>
      <c r="D157" s="4" t="n">
        <v>26</v>
      </c>
      <c r="E157" s="4" t="inlineStr">
        <is>
          <t>SMB</t>
        </is>
      </c>
    </row>
    <row r="158">
      <c r="A158" s="2" t="inlineStr">
        <is>
          <t>C_00157</t>
        </is>
      </c>
      <c r="B158" s="2" t="inlineStr">
        <is>
          <t>High</t>
        </is>
      </c>
      <c r="C158" s="2" t="inlineStr">
        <is>
          <t>Complete</t>
        </is>
      </c>
      <c r="D158" s="2" t="n">
        <v>34</v>
      </c>
      <c r="E158" s="2" t="inlineStr">
        <is>
          <t>Retail</t>
        </is>
      </c>
    </row>
    <row r="159">
      <c r="A159" s="4" t="inlineStr">
        <is>
          <t>C_00158</t>
        </is>
      </c>
      <c r="B159" s="4" t="inlineStr">
        <is>
          <t>Medium</t>
        </is>
      </c>
      <c r="C159" s="4" t="inlineStr">
        <is>
          <t>Complete</t>
        </is>
      </c>
      <c r="D159" s="4" t="n">
        <v>53</v>
      </c>
      <c r="E159" s="4" t="inlineStr">
        <is>
          <t>HNI</t>
        </is>
      </c>
    </row>
    <row r="160">
      <c r="A160" s="2" t="inlineStr">
        <is>
          <t>C_00159</t>
        </is>
      </c>
      <c r="B160" s="2" t="inlineStr">
        <is>
          <t>Low</t>
        </is>
      </c>
      <c r="C160" s="2" t="inlineStr">
        <is>
          <t>Complete</t>
        </is>
      </c>
      <c r="D160" s="2" t="n">
        <v>48</v>
      </c>
      <c r="E160" s="2" t="inlineStr">
        <is>
          <t>Retail</t>
        </is>
      </c>
    </row>
    <row r="161">
      <c r="A161" s="4" t="inlineStr">
        <is>
          <t>C_00160</t>
        </is>
      </c>
      <c r="B161" s="4" t="inlineStr">
        <is>
          <t>High</t>
        </is>
      </c>
      <c r="C161" s="4" t="inlineStr">
        <is>
          <t>Complete</t>
        </is>
      </c>
      <c r="D161" s="4" t="n">
        <v>17</v>
      </c>
      <c r="E161" s="4" t="inlineStr">
        <is>
          <t>HNI</t>
        </is>
      </c>
    </row>
    <row r="162">
      <c r="A162" s="2" t="inlineStr">
        <is>
          <t>C_00161</t>
        </is>
      </c>
      <c r="B162" s="2" t="inlineStr">
        <is>
          <t>Low</t>
        </is>
      </c>
      <c r="C162" s="2" t="inlineStr">
        <is>
          <t>Expired</t>
        </is>
      </c>
      <c r="D162" s="2" t="n">
        <v>11</v>
      </c>
      <c r="E162" s="2" t="inlineStr">
        <is>
          <t>Retail</t>
        </is>
      </c>
    </row>
    <row r="163">
      <c r="A163" s="4" t="inlineStr">
        <is>
          <t>C_00162</t>
        </is>
      </c>
      <c r="B163" s="4" t="inlineStr">
        <is>
          <t>Low</t>
        </is>
      </c>
      <c r="C163" s="4" t="inlineStr">
        <is>
          <t>Expired</t>
        </is>
      </c>
      <c r="D163" s="4" t="n">
        <v>17</v>
      </c>
      <c r="E163" s="4" t="inlineStr">
        <is>
          <t>Corporate</t>
        </is>
      </c>
    </row>
    <row r="164">
      <c r="A164" s="2" t="inlineStr">
        <is>
          <t>C_00163</t>
        </is>
      </c>
      <c r="B164" s="2" t="inlineStr">
        <is>
          <t>High</t>
        </is>
      </c>
      <c r="C164" s="2" t="inlineStr">
        <is>
          <t>Expired</t>
        </is>
      </c>
      <c r="D164" s="2" t="n">
        <v>108</v>
      </c>
      <c r="E164" s="2" t="inlineStr">
        <is>
          <t>Corporate</t>
        </is>
      </c>
    </row>
    <row r="165">
      <c r="A165" s="4" t="inlineStr">
        <is>
          <t>C_00164</t>
        </is>
      </c>
      <c r="B165" s="4" t="inlineStr">
        <is>
          <t>Low</t>
        </is>
      </c>
      <c r="C165" s="4" t="inlineStr">
        <is>
          <t>Expired</t>
        </is>
      </c>
      <c r="D165" s="4" t="n">
        <v>97</v>
      </c>
      <c r="E165" s="4" t="inlineStr">
        <is>
          <t>Retail</t>
        </is>
      </c>
    </row>
    <row r="166">
      <c r="A166" s="2" t="inlineStr">
        <is>
          <t>C_00165</t>
        </is>
      </c>
      <c r="B166" s="2" t="inlineStr">
        <is>
          <t>Medium</t>
        </is>
      </c>
      <c r="C166" s="2" t="inlineStr">
        <is>
          <t>Pending</t>
        </is>
      </c>
      <c r="D166" s="2" t="n">
        <v>79</v>
      </c>
      <c r="E166" s="2" t="inlineStr">
        <is>
          <t>SMB</t>
        </is>
      </c>
    </row>
    <row r="167">
      <c r="A167" s="4" t="inlineStr">
        <is>
          <t>C_00166</t>
        </is>
      </c>
      <c r="B167" s="4" t="inlineStr">
        <is>
          <t>Medium</t>
        </is>
      </c>
      <c r="C167" s="4" t="inlineStr">
        <is>
          <t>Pending</t>
        </is>
      </c>
      <c r="D167" s="4" t="n">
        <v>21</v>
      </c>
      <c r="E167" s="4" t="inlineStr">
        <is>
          <t>Corporate</t>
        </is>
      </c>
    </row>
    <row r="168">
      <c r="A168" s="2" t="inlineStr">
        <is>
          <t>C_00167</t>
        </is>
      </c>
      <c r="B168" s="2" t="inlineStr">
        <is>
          <t>Medium</t>
        </is>
      </c>
      <c r="C168" s="2" t="inlineStr">
        <is>
          <t>Complete</t>
        </is>
      </c>
      <c r="D168" s="2" t="n">
        <v>64</v>
      </c>
      <c r="E168" s="2" t="inlineStr">
        <is>
          <t>Retail</t>
        </is>
      </c>
    </row>
    <row r="169">
      <c r="A169" s="4" t="inlineStr">
        <is>
          <t>C_00168</t>
        </is>
      </c>
      <c r="B169" s="4" t="inlineStr">
        <is>
          <t>High</t>
        </is>
      </c>
      <c r="C169" s="4" t="inlineStr">
        <is>
          <t>Expired</t>
        </is>
      </c>
      <c r="D169" s="4" t="n">
        <v>58</v>
      </c>
      <c r="E169" s="4" t="inlineStr">
        <is>
          <t>HNI</t>
        </is>
      </c>
    </row>
    <row r="170">
      <c r="A170" s="2" t="inlineStr">
        <is>
          <t>C_00169</t>
        </is>
      </c>
      <c r="B170" s="2" t="inlineStr">
        <is>
          <t>Medium</t>
        </is>
      </c>
      <c r="C170" s="2" t="inlineStr">
        <is>
          <t>Complete</t>
        </is>
      </c>
      <c r="D170" s="2" t="n">
        <v>78</v>
      </c>
      <c r="E170" s="2" t="inlineStr">
        <is>
          <t>Corporate</t>
        </is>
      </c>
    </row>
    <row r="171">
      <c r="A171" s="4" t="inlineStr">
        <is>
          <t>C_00170</t>
        </is>
      </c>
      <c r="B171" s="4" t="inlineStr">
        <is>
          <t>Low</t>
        </is>
      </c>
      <c r="C171" s="4" t="inlineStr">
        <is>
          <t>Complete</t>
        </is>
      </c>
      <c r="D171" s="4" t="n">
        <v>21</v>
      </c>
      <c r="E171" s="4" t="inlineStr">
        <is>
          <t>Retail</t>
        </is>
      </c>
    </row>
    <row r="172">
      <c r="A172" s="2" t="inlineStr">
        <is>
          <t>C_00171</t>
        </is>
      </c>
      <c r="B172" s="2" t="inlineStr">
        <is>
          <t>Low</t>
        </is>
      </c>
      <c r="C172" s="2" t="inlineStr">
        <is>
          <t>Complete</t>
        </is>
      </c>
      <c r="D172" s="2" t="n">
        <v>53</v>
      </c>
      <c r="E172" s="2" t="inlineStr">
        <is>
          <t>Retail</t>
        </is>
      </c>
    </row>
    <row r="173">
      <c r="A173" s="4" t="inlineStr">
        <is>
          <t>C_00172</t>
        </is>
      </c>
      <c r="B173" s="4" t="inlineStr">
        <is>
          <t>Medium</t>
        </is>
      </c>
      <c r="C173" s="4" t="inlineStr">
        <is>
          <t>Complete</t>
        </is>
      </c>
      <c r="D173" s="4" t="n">
        <v>47</v>
      </c>
      <c r="E173" s="4" t="inlineStr">
        <is>
          <t>SMB</t>
        </is>
      </c>
    </row>
    <row r="174">
      <c r="A174" s="2" t="inlineStr">
        <is>
          <t>C_00173</t>
        </is>
      </c>
      <c r="B174" s="2" t="inlineStr">
        <is>
          <t>Medium</t>
        </is>
      </c>
      <c r="C174" s="2" t="inlineStr">
        <is>
          <t>Complete</t>
        </is>
      </c>
      <c r="D174" s="2" t="n">
        <v>43</v>
      </c>
      <c r="E174" s="2" t="inlineStr">
        <is>
          <t>Corporate</t>
        </is>
      </c>
    </row>
    <row r="175">
      <c r="A175" s="4" t="inlineStr">
        <is>
          <t>C_00174</t>
        </is>
      </c>
      <c r="B175" s="4" t="inlineStr">
        <is>
          <t>Low</t>
        </is>
      </c>
      <c r="C175" s="4" t="inlineStr">
        <is>
          <t>Complete</t>
        </is>
      </c>
      <c r="D175" s="4" t="n">
        <v>84</v>
      </c>
      <c r="E175" s="4" t="inlineStr">
        <is>
          <t>Retail</t>
        </is>
      </c>
    </row>
    <row r="176">
      <c r="A176" s="2" t="inlineStr">
        <is>
          <t>C_00175</t>
        </is>
      </c>
      <c r="B176" s="2" t="inlineStr">
        <is>
          <t>Low</t>
        </is>
      </c>
      <c r="C176" s="2" t="inlineStr">
        <is>
          <t>Complete</t>
        </is>
      </c>
      <c r="D176" s="2" t="n">
        <v>114</v>
      </c>
      <c r="E176" s="2" t="inlineStr">
        <is>
          <t>Corporate</t>
        </is>
      </c>
    </row>
    <row r="177">
      <c r="A177" s="4" t="inlineStr">
        <is>
          <t>C_00176</t>
        </is>
      </c>
      <c r="B177" s="4" t="inlineStr">
        <is>
          <t>Medium</t>
        </is>
      </c>
      <c r="C177" s="4" t="inlineStr">
        <is>
          <t>Expired</t>
        </is>
      </c>
      <c r="D177" s="4" t="n">
        <v>60</v>
      </c>
      <c r="E177" s="4" t="inlineStr">
        <is>
          <t>HNI</t>
        </is>
      </c>
    </row>
    <row r="178">
      <c r="A178" s="2" t="inlineStr">
        <is>
          <t>C_00177</t>
        </is>
      </c>
      <c r="B178" s="2" t="inlineStr">
        <is>
          <t>Medium</t>
        </is>
      </c>
      <c r="C178" s="2" t="inlineStr">
        <is>
          <t>Complete</t>
        </is>
      </c>
      <c r="D178" s="2" t="n">
        <v>67</v>
      </c>
      <c r="E178" s="2" t="inlineStr">
        <is>
          <t>SMB</t>
        </is>
      </c>
    </row>
    <row r="179">
      <c r="A179" s="4" t="inlineStr">
        <is>
          <t>C_00178</t>
        </is>
      </c>
      <c r="B179" s="4" t="inlineStr">
        <is>
          <t>High</t>
        </is>
      </c>
      <c r="C179" s="4" t="inlineStr">
        <is>
          <t>Expired</t>
        </is>
      </c>
      <c r="D179" s="4" t="n">
        <v>80</v>
      </c>
      <c r="E179" s="4" t="inlineStr">
        <is>
          <t>SMB</t>
        </is>
      </c>
    </row>
    <row r="180">
      <c r="A180" s="2" t="inlineStr">
        <is>
          <t>C_00179</t>
        </is>
      </c>
      <c r="B180" s="2" t="inlineStr">
        <is>
          <t>Low</t>
        </is>
      </c>
      <c r="C180" s="2" t="inlineStr">
        <is>
          <t>Pending</t>
        </is>
      </c>
      <c r="D180" s="2" t="n">
        <v>66</v>
      </c>
      <c r="E180" s="2" t="inlineStr">
        <is>
          <t>SMB</t>
        </is>
      </c>
    </row>
    <row r="181">
      <c r="A181" s="4" t="inlineStr">
        <is>
          <t>C_00180</t>
        </is>
      </c>
      <c r="B181" s="4" t="inlineStr">
        <is>
          <t>Medium</t>
        </is>
      </c>
      <c r="C181" s="4" t="inlineStr">
        <is>
          <t>Complete</t>
        </is>
      </c>
      <c r="D181" s="4" t="n">
        <v>38</v>
      </c>
      <c r="E181" s="4" t="inlineStr">
        <is>
          <t>Retail</t>
        </is>
      </c>
    </row>
    <row r="182">
      <c r="A182" s="2" t="inlineStr">
        <is>
          <t>C_00181</t>
        </is>
      </c>
      <c r="B182" s="2" t="inlineStr">
        <is>
          <t>Low</t>
        </is>
      </c>
      <c r="C182" s="2" t="inlineStr">
        <is>
          <t>Pending</t>
        </is>
      </c>
      <c r="D182" s="2" t="n">
        <v>29</v>
      </c>
      <c r="E182" s="2" t="inlineStr">
        <is>
          <t>Retail</t>
        </is>
      </c>
    </row>
    <row r="183">
      <c r="A183" s="4" t="inlineStr">
        <is>
          <t>C_00182</t>
        </is>
      </c>
      <c r="B183" s="4" t="inlineStr">
        <is>
          <t>Medium</t>
        </is>
      </c>
      <c r="C183" s="4" t="inlineStr">
        <is>
          <t>Pending</t>
        </is>
      </c>
      <c r="D183" s="4" t="n">
        <v>104</v>
      </c>
      <c r="E183" s="4" t="inlineStr">
        <is>
          <t>SMB</t>
        </is>
      </c>
    </row>
    <row r="184">
      <c r="A184" s="2" t="inlineStr">
        <is>
          <t>C_00183</t>
        </is>
      </c>
      <c r="B184" s="2" t="inlineStr">
        <is>
          <t>High</t>
        </is>
      </c>
      <c r="C184" s="2" t="inlineStr">
        <is>
          <t>Complete</t>
        </is>
      </c>
      <c r="D184" s="2" t="n">
        <v>76</v>
      </c>
      <c r="E184" s="2" t="inlineStr">
        <is>
          <t>HNI</t>
        </is>
      </c>
    </row>
    <row r="185">
      <c r="A185" s="4" t="inlineStr">
        <is>
          <t>C_00184</t>
        </is>
      </c>
      <c r="B185" s="4" t="inlineStr">
        <is>
          <t>Medium</t>
        </is>
      </c>
      <c r="C185" s="4" t="inlineStr">
        <is>
          <t>Complete</t>
        </is>
      </c>
      <c r="D185" s="4" t="n">
        <v>88</v>
      </c>
      <c r="E185" s="4" t="inlineStr">
        <is>
          <t>SMB</t>
        </is>
      </c>
    </row>
    <row r="186">
      <c r="A186" s="2" t="inlineStr">
        <is>
          <t>C_00185</t>
        </is>
      </c>
      <c r="B186" s="2" t="inlineStr">
        <is>
          <t>Medium</t>
        </is>
      </c>
      <c r="C186" s="2" t="inlineStr">
        <is>
          <t>Complete</t>
        </is>
      </c>
      <c r="D186" s="2" t="n">
        <v>112</v>
      </c>
      <c r="E186" s="2" t="inlineStr">
        <is>
          <t>SMB</t>
        </is>
      </c>
    </row>
    <row r="187">
      <c r="A187" s="4" t="inlineStr">
        <is>
          <t>C_00186</t>
        </is>
      </c>
      <c r="B187" s="4" t="inlineStr">
        <is>
          <t>Medium</t>
        </is>
      </c>
      <c r="C187" s="4" t="inlineStr">
        <is>
          <t>Complete</t>
        </is>
      </c>
      <c r="D187" s="4" t="n">
        <v>115</v>
      </c>
      <c r="E187" s="4" t="inlineStr">
        <is>
          <t>HNI</t>
        </is>
      </c>
    </row>
    <row r="188">
      <c r="A188" s="2" t="inlineStr">
        <is>
          <t>C_00187</t>
        </is>
      </c>
      <c r="B188" s="2" t="inlineStr">
        <is>
          <t>Low</t>
        </is>
      </c>
      <c r="C188" s="2" t="inlineStr">
        <is>
          <t>Pending</t>
        </is>
      </c>
      <c r="D188" s="2" t="n">
        <v>73</v>
      </c>
      <c r="E188" s="2" t="inlineStr">
        <is>
          <t>SMB</t>
        </is>
      </c>
    </row>
    <row r="189">
      <c r="A189" s="4" t="inlineStr">
        <is>
          <t>C_00188</t>
        </is>
      </c>
      <c r="B189" s="4" t="inlineStr">
        <is>
          <t>Low</t>
        </is>
      </c>
      <c r="C189" s="4" t="inlineStr">
        <is>
          <t>Pending</t>
        </is>
      </c>
      <c r="D189" s="4" t="n">
        <v>96</v>
      </c>
      <c r="E189" s="4" t="inlineStr">
        <is>
          <t>HNI</t>
        </is>
      </c>
    </row>
    <row r="190">
      <c r="A190" s="2" t="inlineStr">
        <is>
          <t>C_00189</t>
        </is>
      </c>
      <c r="B190" s="2" t="inlineStr">
        <is>
          <t>High</t>
        </is>
      </c>
      <c r="C190" s="2" t="inlineStr">
        <is>
          <t>Expired</t>
        </is>
      </c>
      <c r="D190" s="2" t="n">
        <v>34</v>
      </c>
      <c r="E190" s="2" t="inlineStr">
        <is>
          <t>Retail</t>
        </is>
      </c>
    </row>
    <row r="191">
      <c r="A191" s="4" t="inlineStr">
        <is>
          <t>C_00190</t>
        </is>
      </c>
      <c r="B191" s="4" t="inlineStr">
        <is>
          <t>Medium</t>
        </is>
      </c>
      <c r="C191" s="4" t="inlineStr">
        <is>
          <t>Complete</t>
        </is>
      </c>
      <c r="D191" s="4" t="n">
        <v>16</v>
      </c>
      <c r="E191" s="4" t="inlineStr">
        <is>
          <t>Retail</t>
        </is>
      </c>
    </row>
    <row r="192">
      <c r="A192" s="2" t="inlineStr">
        <is>
          <t>C_00191</t>
        </is>
      </c>
      <c r="B192" s="2" t="inlineStr">
        <is>
          <t>Medium</t>
        </is>
      </c>
      <c r="C192" s="2" t="inlineStr">
        <is>
          <t>Complete</t>
        </is>
      </c>
      <c r="D192" s="2" t="n">
        <v>25</v>
      </c>
      <c r="E192" s="2" t="inlineStr">
        <is>
          <t>Retail</t>
        </is>
      </c>
    </row>
    <row r="193">
      <c r="A193" s="4" t="inlineStr">
        <is>
          <t>C_00192</t>
        </is>
      </c>
      <c r="B193" s="4" t="inlineStr">
        <is>
          <t>Low</t>
        </is>
      </c>
      <c r="C193" s="4" t="inlineStr">
        <is>
          <t>Complete</t>
        </is>
      </c>
      <c r="D193" s="4" t="n">
        <v>71</v>
      </c>
      <c r="E193" s="4" t="inlineStr">
        <is>
          <t>Retail</t>
        </is>
      </c>
    </row>
    <row r="194">
      <c r="A194" s="2" t="inlineStr">
        <is>
          <t>C_00193</t>
        </is>
      </c>
      <c r="B194" s="2" t="inlineStr">
        <is>
          <t>Low</t>
        </is>
      </c>
      <c r="C194" s="2" t="inlineStr">
        <is>
          <t>Complete</t>
        </is>
      </c>
      <c r="D194" s="2" t="n">
        <v>65</v>
      </c>
      <c r="E194" s="2" t="inlineStr">
        <is>
          <t>Corporate</t>
        </is>
      </c>
    </row>
    <row r="195">
      <c r="A195" s="4" t="inlineStr">
        <is>
          <t>C_00194</t>
        </is>
      </c>
      <c r="B195" s="4" t="inlineStr">
        <is>
          <t>Medium</t>
        </is>
      </c>
      <c r="C195" s="4" t="inlineStr">
        <is>
          <t>Pending</t>
        </is>
      </c>
      <c r="D195" s="4" t="n">
        <v>97</v>
      </c>
      <c r="E195" s="4" t="inlineStr">
        <is>
          <t>HNI</t>
        </is>
      </c>
    </row>
    <row r="196">
      <c r="A196" s="2" t="inlineStr">
        <is>
          <t>C_00195</t>
        </is>
      </c>
      <c r="B196" s="2" t="inlineStr">
        <is>
          <t>Medium</t>
        </is>
      </c>
      <c r="C196" s="2" t="inlineStr">
        <is>
          <t>Complete</t>
        </is>
      </c>
      <c r="D196" s="2" t="n">
        <v>74</v>
      </c>
      <c r="E196" s="2" t="inlineStr">
        <is>
          <t>Retail</t>
        </is>
      </c>
    </row>
    <row r="197">
      <c r="A197" s="4" t="inlineStr">
        <is>
          <t>C_00196</t>
        </is>
      </c>
      <c r="B197" s="4" t="inlineStr">
        <is>
          <t>Low</t>
        </is>
      </c>
      <c r="C197" s="4" t="inlineStr">
        <is>
          <t>Expired</t>
        </is>
      </c>
      <c r="D197" s="4" t="n">
        <v>19</v>
      </c>
      <c r="E197" s="4" t="inlineStr">
        <is>
          <t>HNI</t>
        </is>
      </c>
    </row>
    <row r="198">
      <c r="A198" s="2" t="inlineStr">
        <is>
          <t>C_00197</t>
        </is>
      </c>
      <c r="B198" s="2" t="inlineStr">
        <is>
          <t>Medium</t>
        </is>
      </c>
      <c r="C198" s="2" t="inlineStr">
        <is>
          <t>Complete</t>
        </is>
      </c>
      <c r="D198" s="2" t="n">
        <v>15</v>
      </c>
      <c r="E198" s="2" t="inlineStr">
        <is>
          <t>Corporate</t>
        </is>
      </c>
    </row>
    <row r="199">
      <c r="A199" s="4" t="inlineStr">
        <is>
          <t>C_00198</t>
        </is>
      </c>
      <c r="B199" s="4" t="inlineStr">
        <is>
          <t>Low</t>
        </is>
      </c>
      <c r="C199" s="4" t="inlineStr">
        <is>
          <t>Complete</t>
        </is>
      </c>
      <c r="D199" s="4" t="n">
        <v>53</v>
      </c>
      <c r="E199" s="4" t="inlineStr">
        <is>
          <t>Corporate</t>
        </is>
      </c>
    </row>
    <row r="200">
      <c r="A200" s="2" t="inlineStr">
        <is>
          <t>C_00199</t>
        </is>
      </c>
      <c r="B200" s="2" t="inlineStr">
        <is>
          <t>High</t>
        </is>
      </c>
      <c r="C200" s="2" t="inlineStr">
        <is>
          <t>Pending</t>
        </is>
      </c>
      <c r="D200" s="2" t="n">
        <v>82</v>
      </c>
      <c r="E200" s="2" t="inlineStr">
        <is>
          <t>Retail</t>
        </is>
      </c>
    </row>
    <row r="201">
      <c r="A201" s="4" t="inlineStr">
        <is>
          <t>C_00200</t>
        </is>
      </c>
      <c r="B201" s="4" t="inlineStr">
        <is>
          <t>Medium</t>
        </is>
      </c>
      <c r="C201" s="4" t="inlineStr">
        <is>
          <t>Complete</t>
        </is>
      </c>
      <c r="D201" s="4" t="n">
        <v>108</v>
      </c>
      <c r="E201" s="4" t="inlineStr">
        <is>
          <t>Corporate</t>
        </is>
      </c>
    </row>
    <row r="202">
      <c r="A202" s="2" t="inlineStr">
        <is>
          <t>C_00201</t>
        </is>
      </c>
      <c r="B202" s="2" t="inlineStr">
        <is>
          <t>Medium</t>
        </is>
      </c>
      <c r="C202" s="2" t="inlineStr">
        <is>
          <t>Pending</t>
        </is>
      </c>
      <c r="D202" s="2" t="n">
        <v>36</v>
      </c>
      <c r="E202" s="2" t="inlineStr">
        <is>
          <t>SMB</t>
        </is>
      </c>
    </row>
    <row r="203">
      <c r="A203" s="4" t="inlineStr">
        <is>
          <t>C_00202</t>
        </is>
      </c>
      <c r="B203" s="4" t="inlineStr">
        <is>
          <t>Medium</t>
        </is>
      </c>
      <c r="C203" s="4" t="inlineStr">
        <is>
          <t>Complete</t>
        </is>
      </c>
      <c r="D203" s="4" t="n">
        <v>41</v>
      </c>
      <c r="E203" s="4" t="inlineStr">
        <is>
          <t>SMB</t>
        </is>
      </c>
    </row>
    <row r="204">
      <c r="A204" s="2" t="inlineStr">
        <is>
          <t>C_00203</t>
        </is>
      </c>
      <c r="B204" s="2" t="inlineStr">
        <is>
          <t>Low</t>
        </is>
      </c>
      <c r="C204" s="2" t="inlineStr">
        <is>
          <t>Complete</t>
        </is>
      </c>
      <c r="D204" s="2" t="n">
        <v>22</v>
      </c>
      <c r="E204" s="2" t="inlineStr">
        <is>
          <t>HNI</t>
        </is>
      </c>
    </row>
    <row r="205">
      <c r="A205" s="4" t="inlineStr">
        <is>
          <t>C_00204</t>
        </is>
      </c>
      <c r="B205" s="4" t="inlineStr">
        <is>
          <t>Low</t>
        </is>
      </c>
      <c r="C205" s="4" t="inlineStr">
        <is>
          <t>Expired</t>
        </is>
      </c>
      <c r="D205" s="4" t="n">
        <v>55</v>
      </c>
      <c r="E205" s="4" t="inlineStr">
        <is>
          <t>SMB</t>
        </is>
      </c>
    </row>
    <row r="206">
      <c r="A206" s="2" t="inlineStr">
        <is>
          <t>C_00205</t>
        </is>
      </c>
      <c r="B206" s="2" t="inlineStr">
        <is>
          <t>Medium</t>
        </is>
      </c>
      <c r="C206" s="2" t="inlineStr">
        <is>
          <t>Complete</t>
        </is>
      </c>
      <c r="D206" s="2" t="n">
        <v>89</v>
      </c>
      <c r="E206" s="2" t="inlineStr">
        <is>
          <t>Retail</t>
        </is>
      </c>
    </row>
    <row r="207">
      <c r="A207" s="4" t="inlineStr">
        <is>
          <t>C_00206</t>
        </is>
      </c>
      <c r="B207" s="4" t="inlineStr">
        <is>
          <t>Low</t>
        </is>
      </c>
      <c r="C207" s="4" t="inlineStr">
        <is>
          <t>Complete</t>
        </is>
      </c>
      <c r="D207" s="4" t="n">
        <v>112</v>
      </c>
      <c r="E207" s="4" t="inlineStr">
        <is>
          <t>HNI</t>
        </is>
      </c>
    </row>
    <row r="208">
      <c r="A208" s="2" t="inlineStr">
        <is>
          <t>C_00207</t>
        </is>
      </c>
      <c r="B208" s="2" t="inlineStr">
        <is>
          <t>Low</t>
        </is>
      </c>
      <c r="C208" s="2" t="inlineStr">
        <is>
          <t>Pending</t>
        </is>
      </c>
      <c r="D208" s="2" t="n">
        <v>60</v>
      </c>
      <c r="E208" s="2" t="inlineStr">
        <is>
          <t>SMB</t>
        </is>
      </c>
    </row>
    <row r="209">
      <c r="A209" s="4" t="inlineStr">
        <is>
          <t>C_00208</t>
        </is>
      </c>
      <c r="B209" s="4" t="inlineStr">
        <is>
          <t>Low</t>
        </is>
      </c>
      <c r="C209" s="4" t="inlineStr">
        <is>
          <t>Complete</t>
        </is>
      </c>
      <c r="D209" s="4" t="n">
        <v>118</v>
      </c>
      <c r="E209" s="4" t="inlineStr">
        <is>
          <t>SMB</t>
        </is>
      </c>
    </row>
    <row r="210">
      <c r="A210" s="2" t="inlineStr">
        <is>
          <t>C_00209</t>
        </is>
      </c>
      <c r="B210" s="2" t="inlineStr">
        <is>
          <t>Low</t>
        </is>
      </c>
      <c r="C210" s="2" t="inlineStr">
        <is>
          <t>Pending</t>
        </is>
      </c>
      <c r="D210" s="2" t="n">
        <v>114</v>
      </c>
      <c r="E210" s="2" t="inlineStr">
        <is>
          <t>HNI</t>
        </is>
      </c>
    </row>
    <row r="211">
      <c r="A211" s="4" t="inlineStr">
        <is>
          <t>C_00210</t>
        </is>
      </c>
      <c r="B211" s="4" t="inlineStr">
        <is>
          <t>Low</t>
        </is>
      </c>
      <c r="C211" s="4" t="inlineStr">
        <is>
          <t>Complete</t>
        </is>
      </c>
      <c r="D211" s="4" t="n">
        <v>102</v>
      </c>
      <c r="E211" s="4" t="inlineStr">
        <is>
          <t>Retail</t>
        </is>
      </c>
    </row>
    <row r="212">
      <c r="A212" s="2" t="inlineStr">
        <is>
          <t>C_00211</t>
        </is>
      </c>
      <c r="B212" s="2" t="inlineStr">
        <is>
          <t>High</t>
        </is>
      </c>
      <c r="C212" s="2" t="inlineStr">
        <is>
          <t>Complete</t>
        </is>
      </c>
      <c r="D212" s="2" t="n">
        <v>19</v>
      </c>
      <c r="E212" s="2" t="inlineStr">
        <is>
          <t>Retail</t>
        </is>
      </c>
    </row>
    <row r="213">
      <c r="A213" s="4" t="inlineStr">
        <is>
          <t>C_00212</t>
        </is>
      </c>
      <c r="B213" s="4" t="inlineStr">
        <is>
          <t>Low</t>
        </is>
      </c>
      <c r="C213" s="4" t="inlineStr">
        <is>
          <t>Complete</t>
        </is>
      </c>
      <c r="D213" s="4" t="n">
        <v>84</v>
      </c>
      <c r="E213" s="4" t="inlineStr">
        <is>
          <t>Retail</t>
        </is>
      </c>
    </row>
    <row r="214">
      <c r="A214" s="2" t="inlineStr">
        <is>
          <t>C_00213</t>
        </is>
      </c>
      <c r="B214" s="2" t="inlineStr">
        <is>
          <t>Medium</t>
        </is>
      </c>
      <c r="C214" s="2" t="inlineStr">
        <is>
          <t>Complete</t>
        </is>
      </c>
      <c r="D214" s="2" t="n">
        <v>57</v>
      </c>
      <c r="E214" s="2" t="inlineStr">
        <is>
          <t>Retail</t>
        </is>
      </c>
    </row>
    <row r="215">
      <c r="A215" s="4" t="inlineStr">
        <is>
          <t>C_00214</t>
        </is>
      </c>
      <c r="B215" s="4" t="inlineStr">
        <is>
          <t>Medium</t>
        </is>
      </c>
      <c r="C215" s="4" t="inlineStr">
        <is>
          <t>Pending</t>
        </is>
      </c>
      <c r="D215" s="4" t="n">
        <v>39</v>
      </c>
      <c r="E215" s="4" t="inlineStr">
        <is>
          <t>SMB</t>
        </is>
      </c>
    </row>
    <row r="216">
      <c r="A216" s="2" t="inlineStr">
        <is>
          <t>C_00215</t>
        </is>
      </c>
      <c r="B216" s="2" t="inlineStr">
        <is>
          <t>High</t>
        </is>
      </c>
      <c r="C216" s="2" t="inlineStr">
        <is>
          <t>Complete</t>
        </is>
      </c>
      <c r="D216" s="2" t="n">
        <v>56</v>
      </c>
      <c r="E216" s="2" t="inlineStr">
        <is>
          <t>Retail</t>
        </is>
      </c>
    </row>
    <row r="217">
      <c r="A217" s="4" t="inlineStr">
        <is>
          <t>C_00216</t>
        </is>
      </c>
      <c r="B217" s="4" t="inlineStr">
        <is>
          <t>Low</t>
        </is>
      </c>
      <c r="C217" s="4" t="inlineStr">
        <is>
          <t>Complete</t>
        </is>
      </c>
      <c r="D217" s="4" t="n">
        <v>110</v>
      </c>
      <c r="E217" s="4" t="inlineStr">
        <is>
          <t>SMB</t>
        </is>
      </c>
    </row>
    <row r="218">
      <c r="A218" s="2" t="inlineStr">
        <is>
          <t>C_00217</t>
        </is>
      </c>
      <c r="B218" s="2" t="inlineStr">
        <is>
          <t>Medium</t>
        </is>
      </c>
      <c r="C218" s="2" t="inlineStr">
        <is>
          <t>Pending</t>
        </is>
      </c>
      <c r="D218" s="2" t="n">
        <v>18</v>
      </c>
      <c r="E218" s="2" t="inlineStr">
        <is>
          <t>SMB</t>
        </is>
      </c>
    </row>
    <row r="219">
      <c r="A219" s="4" t="inlineStr">
        <is>
          <t>C_00218</t>
        </is>
      </c>
      <c r="B219" s="4" t="inlineStr">
        <is>
          <t>Low</t>
        </is>
      </c>
      <c r="C219" s="4" t="inlineStr">
        <is>
          <t>Expired</t>
        </is>
      </c>
      <c r="D219" s="4" t="n">
        <v>106</v>
      </c>
      <c r="E219" s="4" t="inlineStr">
        <is>
          <t>Retail</t>
        </is>
      </c>
    </row>
    <row r="220">
      <c r="A220" s="2" t="inlineStr">
        <is>
          <t>C_00219</t>
        </is>
      </c>
      <c r="B220" s="2" t="inlineStr">
        <is>
          <t>Medium</t>
        </is>
      </c>
      <c r="C220" s="2" t="inlineStr">
        <is>
          <t>Complete</t>
        </is>
      </c>
      <c r="D220" s="2" t="n">
        <v>101</v>
      </c>
      <c r="E220" s="2" t="inlineStr">
        <is>
          <t>Corporate</t>
        </is>
      </c>
    </row>
    <row r="221">
      <c r="A221" s="4" t="inlineStr">
        <is>
          <t>C_00220</t>
        </is>
      </c>
      <c r="B221" s="4" t="inlineStr">
        <is>
          <t>Low</t>
        </is>
      </c>
      <c r="C221" s="4" t="inlineStr">
        <is>
          <t>Complete</t>
        </is>
      </c>
      <c r="D221" s="4" t="n">
        <v>119</v>
      </c>
      <c r="E221" s="4" t="inlineStr">
        <is>
          <t>SMB</t>
        </is>
      </c>
    </row>
    <row r="222">
      <c r="A222" s="2" t="inlineStr">
        <is>
          <t>C_00221</t>
        </is>
      </c>
      <c r="B222" s="2" t="inlineStr">
        <is>
          <t>Low</t>
        </is>
      </c>
      <c r="C222" s="2" t="inlineStr">
        <is>
          <t>Complete</t>
        </is>
      </c>
      <c r="D222" s="2" t="n">
        <v>80</v>
      </c>
      <c r="E222" s="2" t="inlineStr">
        <is>
          <t>Retail</t>
        </is>
      </c>
    </row>
    <row r="223">
      <c r="A223" s="4" t="inlineStr">
        <is>
          <t>C_00222</t>
        </is>
      </c>
      <c r="B223" s="4" t="inlineStr">
        <is>
          <t>Medium</t>
        </is>
      </c>
      <c r="C223" s="4" t="inlineStr">
        <is>
          <t>Complete</t>
        </is>
      </c>
      <c r="D223" s="4" t="n">
        <v>108</v>
      </c>
      <c r="E223" s="4" t="inlineStr">
        <is>
          <t>Corporate</t>
        </is>
      </c>
    </row>
    <row r="224">
      <c r="A224" s="2" t="inlineStr">
        <is>
          <t>C_00223</t>
        </is>
      </c>
      <c r="B224" s="2" t="inlineStr">
        <is>
          <t>High</t>
        </is>
      </c>
      <c r="C224" s="2" t="inlineStr">
        <is>
          <t>Complete</t>
        </is>
      </c>
      <c r="D224" s="2" t="n">
        <v>33</v>
      </c>
      <c r="E224" s="2" t="inlineStr">
        <is>
          <t>Retail</t>
        </is>
      </c>
    </row>
    <row r="225">
      <c r="A225" s="4" t="inlineStr">
        <is>
          <t>C_00224</t>
        </is>
      </c>
      <c r="B225" s="4" t="inlineStr">
        <is>
          <t>Low</t>
        </is>
      </c>
      <c r="C225" s="4" t="inlineStr">
        <is>
          <t>Complete</t>
        </is>
      </c>
      <c r="D225" s="4" t="n">
        <v>94</v>
      </c>
      <c r="E225" s="4" t="inlineStr">
        <is>
          <t>HNI</t>
        </is>
      </c>
    </row>
    <row r="226">
      <c r="A226" s="2" t="inlineStr">
        <is>
          <t>C_00225</t>
        </is>
      </c>
      <c r="B226" s="2" t="inlineStr">
        <is>
          <t>Medium</t>
        </is>
      </c>
      <c r="C226" s="2" t="inlineStr">
        <is>
          <t>Complete</t>
        </is>
      </c>
      <c r="D226" s="2" t="n">
        <v>109</v>
      </c>
      <c r="E226" s="2" t="inlineStr">
        <is>
          <t>Retail</t>
        </is>
      </c>
    </row>
    <row r="227">
      <c r="A227" s="4" t="inlineStr">
        <is>
          <t>C_00226</t>
        </is>
      </c>
      <c r="B227" s="4" t="inlineStr">
        <is>
          <t>Low</t>
        </is>
      </c>
      <c r="C227" s="4" t="inlineStr">
        <is>
          <t>Complete</t>
        </is>
      </c>
      <c r="D227" s="4" t="n">
        <v>10</v>
      </c>
      <c r="E227" s="4" t="inlineStr">
        <is>
          <t>HNI</t>
        </is>
      </c>
    </row>
    <row r="228">
      <c r="A228" s="2" t="inlineStr">
        <is>
          <t>C_00227</t>
        </is>
      </c>
      <c r="B228" s="2" t="inlineStr">
        <is>
          <t>Low</t>
        </is>
      </c>
      <c r="C228" s="2" t="inlineStr">
        <is>
          <t>Complete</t>
        </is>
      </c>
      <c r="D228" s="2" t="n">
        <v>11</v>
      </c>
      <c r="E228" s="2" t="inlineStr">
        <is>
          <t>Retail</t>
        </is>
      </c>
    </row>
    <row r="229">
      <c r="A229" s="4" t="inlineStr">
        <is>
          <t>C_00228</t>
        </is>
      </c>
      <c r="B229" s="4" t="inlineStr">
        <is>
          <t>Medium</t>
        </is>
      </c>
      <c r="C229" s="4" t="inlineStr">
        <is>
          <t>Complete</t>
        </is>
      </c>
      <c r="D229" s="4" t="n">
        <v>97</v>
      </c>
      <c r="E229" s="4" t="inlineStr">
        <is>
          <t>HNI</t>
        </is>
      </c>
    </row>
    <row r="230">
      <c r="A230" s="2" t="inlineStr">
        <is>
          <t>C_00229</t>
        </is>
      </c>
      <c r="B230" s="2" t="inlineStr">
        <is>
          <t>High</t>
        </is>
      </c>
      <c r="C230" s="2" t="inlineStr">
        <is>
          <t>Complete</t>
        </is>
      </c>
      <c r="D230" s="2" t="n">
        <v>102</v>
      </c>
      <c r="E230" s="2" t="inlineStr">
        <is>
          <t>Retail</t>
        </is>
      </c>
    </row>
    <row r="231">
      <c r="A231" s="4" t="inlineStr">
        <is>
          <t>C_00230</t>
        </is>
      </c>
      <c r="B231" s="4" t="inlineStr">
        <is>
          <t>Low</t>
        </is>
      </c>
      <c r="C231" s="4" t="inlineStr">
        <is>
          <t>Complete</t>
        </is>
      </c>
      <c r="D231" s="4" t="n">
        <v>97</v>
      </c>
      <c r="E231" s="4" t="inlineStr">
        <is>
          <t>Corporate</t>
        </is>
      </c>
    </row>
    <row r="232">
      <c r="A232" s="2" t="inlineStr">
        <is>
          <t>C_00231</t>
        </is>
      </c>
      <c r="B232" s="2" t="inlineStr">
        <is>
          <t>High</t>
        </is>
      </c>
      <c r="C232" s="2" t="inlineStr">
        <is>
          <t>Expired</t>
        </is>
      </c>
      <c r="D232" s="2" t="n">
        <v>94</v>
      </c>
      <c r="E232" s="2" t="inlineStr">
        <is>
          <t>Retail</t>
        </is>
      </c>
    </row>
    <row r="233">
      <c r="A233" s="4" t="inlineStr">
        <is>
          <t>C_00232</t>
        </is>
      </c>
      <c r="B233" s="4" t="inlineStr">
        <is>
          <t>High</t>
        </is>
      </c>
      <c r="C233" s="4" t="inlineStr">
        <is>
          <t>Pending</t>
        </is>
      </c>
      <c r="D233" s="4" t="n">
        <v>101</v>
      </c>
      <c r="E233" s="4" t="inlineStr">
        <is>
          <t>Corporate</t>
        </is>
      </c>
    </row>
    <row r="234">
      <c r="A234" s="2" t="inlineStr">
        <is>
          <t>C_00233</t>
        </is>
      </c>
      <c r="B234" s="2" t="inlineStr">
        <is>
          <t>Low</t>
        </is>
      </c>
      <c r="C234" s="2" t="inlineStr">
        <is>
          <t>Complete</t>
        </is>
      </c>
      <c r="D234" s="2" t="n">
        <v>29</v>
      </c>
      <c r="E234" s="2" t="inlineStr">
        <is>
          <t>SMB</t>
        </is>
      </c>
    </row>
    <row r="235">
      <c r="A235" s="4" t="inlineStr">
        <is>
          <t>C_00234</t>
        </is>
      </c>
      <c r="B235" s="4" t="inlineStr">
        <is>
          <t>Low</t>
        </is>
      </c>
      <c r="C235" s="4" t="inlineStr">
        <is>
          <t>Complete</t>
        </is>
      </c>
      <c r="D235" s="4" t="n">
        <v>63</v>
      </c>
      <c r="E235" s="4" t="inlineStr">
        <is>
          <t>Corporate</t>
        </is>
      </c>
    </row>
    <row r="236">
      <c r="A236" s="2" t="inlineStr">
        <is>
          <t>C_00235</t>
        </is>
      </c>
      <c r="B236" s="2" t="inlineStr">
        <is>
          <t>Medium</t>
        </is>
      </c>
      <c r="C236" s="2" t="inlineStr">
        <is>
          <t>Pending</t>
        </is>
      </c>
      <c r="D236" s="2" t="n">
        <v>77</v>
      </c>
      <c r="E236" s="2" t="inlineStr">
        <is>
          <t>SMB</t>
        </is>
      </c>
    </row>
    <row r="237">
      <c r="A237" s="4" t="inlineStr">
        <is>
          <t>C_00236</t>
        </is>
      </c>
      <c r="B237" s="4" t="inlineStr">
        <is>
          <t>Low</t>
        </is>
      </c>
      <c r="C237" s="4" t="inlineStr">
        <is>
          <t>Expired</t>
        </is>
      </c>
      <c r="D237" s="4" t="n">
        <v>23</v>
      </c>
      <c r="E237" s="4" t="inlineStr">
        <is>
          <t>SMB</t>
        </is>
      </c>
    </row>
    <row r="238">
      <c r="A238" s="2" t="inlineStr">
        <is>
          <t>C_00237</t>
        </is>
      </c>
      <c r="B238" s="2" t="inlineStr">
        <is>
          <t>Medium</t>
        </is>
      </c>
      <c r="C238" s="2" t="inlineStr">
        <is>
          <t>Pending</t>
        </is>
      </c>
      <c r="D238" s="2" t="n">
        <v>28</v>
      </c>
      <c r="E238" s="2" t="inlineStr">
        <is>
          <t>Retail</t>
        </is>
      </c>
    </row>
    <row r="239">
      <c r="A239" s="4" t="inlineStr">
        <is>
          <t>C_00238</t>
        </is>
      </c>
      <c r="B239" s="4" t="inlineStr">
        <is>
          <t>Low</t>
        </is>
      </c>
      <c r="C239" s="4" t="inlineStr">
        <is>
          <t>Complete</t>
        </is>
      </c>
      <c r="D239" s="4" t="n">
        <v>86</v>
      </c>
      <c r="E239" s="4" t="inlineStr">
        <is>
          <t>Retail</t>
        </is>
      </c>
    </row>
    <row r="240">
      <c r="A240" s="2" t="inlineStr">
        <is>
          <t>C_00239</t>
        </is>
      </c>
      <c r="B240" s="2" t="inlineStr">
        <is>
          <t>Medium</t>
        </is>
      </c>
      <c r="C240" s="2" t="inlineStr">
        <is>
          <t>Expired</t>
        </is>
      </c>
      <c r="D240" s="2" t="n">
        <v>75</v>
      </c>
      <c r="E240" s="2" t="inlineStr">
        <is>
          <t>Corporate</t>
        </is>
      </c>
    </row>
    <row r="241">
      <c r="A241" s="4" t="inlineStr">
        <is>
          <t>C_00240</t>
        </is>
      </c>
      <c r="B241" s="4" t="inlineStr">
        <is>
          <t>Medium</t>
        </is>
      </c>
      <c r="C241" s="4" t="inlineStr">
        <is>
          <t>Complete</t>
        </is>
      </c>
      <c r="D241" s="4" t="n">
        <v>76</v>
      </c>
      <c r="E241" s="4" t="inlineStr">
        <is>
          <t>Retail</t>
        </is>
      </c>
    </row>
    <row r="242">
      <c r="A242" s="2" t="inlineStr">
        <is>
          <t>C_00241</t>
        </is>
      </c>
      <c r="B242" s="2" t="inlineStr">
        <is>
          <t>Low</t>
        </is>
      </c>
      <c r="C242" s="2" t="inlineStr">
        <is>
          <t>Complete</t>
        </is>
      </c>
      <c r="D242" s="2" t="n">
        <v>106</v>
      </c>
      <c r="E242" s="2" t="inlineStr">
        <is>
          <t>Retail</t>
        </is>
      </c>
    </row>
    <row r="243">
      <c r="A243" s="4" t="inlineStr">
        <is>
          <t>C_00242</t>
        </is>
      </c>
      <c r="B243" s="4" t="inlineStr">
        <is>
          <t>Low</t>
        </is>
      </c>
      <c r="C243" s="4" t="inlineStr">
        <is>
          <t>Pending</t>
        </is>
      </c>
      <c r="D243" s="4" t="n">
        <v>25</v>
      </c>
      <c r="E243" s="4" t="inlineStr">
        <is>
          <t>SMB</t>
        </is>
      </c>
    </row>
    <row r="244">
      <c r="A244" s="2" t="inlineStr">
        <is>
          <t>C_00243</t>
        </is>
      </c>
      <c r="B244" s="2" t="inlineStr">
        <is>
          <t>Low</t>
        </is>
      </c>
      <c r="C244" s="2" t="inlineStr">
        <is>
          <t>Complete</t>
        </is>
      </c>
      <c r="D244" s="2" t="n">
        <v>26</v>
      </c>
      <c r="E244" s="2" t="inlineStr">
        <is>
          <t>Corporate</t>
        </is>
      </c>
    </row>
    <row r="245">
      <c r="A245" s="4" t="inlineStr">
        <is>
          <t>C_00244</t>
        </is>
      </c>
      <c r="B245" s="4" t="inlineStr">
        <is>
          <t>Low</t>
        </is>
      </c>
      <c r="C245" s="4" t="inlineStr">
        <is>
          <t>Expired</t>
        </is>
      </c>
      <c r="D245" s="4" t="n">
        <v>58</v>
      </c>
      <c r="E245" s="4" t="inlineStr">
        <is>
          <t>SMB</t>
        </is>
      </c>
    </row>
    <row r="246">
      <c r="A246" s="2" t="inlineStr">
        <is>
          <t>C_00245</t>
        </is>
      </c>
      <c r="B246" s="2" t="inlineStr">
        <is>
          <t>Medium</t>
        </is>
      </c>
      <c r="C246" s="2" t="inlineStr">
        <is>
          <t>Pending</t>
        </is>
      </c>
      <c r="D246" s="2" t="n">
        <v>78</v>
      </c>
      <c r="E246" s="2" t="inlineStr">
        <is>
          <t>Retail</t>
        </is>
      </c>
    </row>
    <row r="247">
      <c r="A247" s="4" t="inlineStr">
        <is>
          <t>C_00246</t>
        </is>
      </c>
      <c r="B247" s="4" t="inlineStr">
        <is>
          <t>High</t>
        </is>
      </c>
      <c r="C247" s="4" t="inlineStr">
        <is>
          <t>Complete</t>
        </is>
      </c>
      <c r="D247" s="4" t="n">
        <v>22</v>
      </c>
      <c r="E247" s="4" t="inlineStr">
        <is>
          <t>SMB</t>
        </is>
      </c>
    </row>
    <row r="248">
      <c r="A248" s="2" t="inlineStr">
        <is>
          <t>C_00247</t>
        </is>
      </c>
      <c r="B248" s="2" t="inlineStr">
        <is>
          <t>Low</t>
        </is>
      </c>
      <c r="C248" s="2" t="inlineStr">
        <is>
          <t>Expired</t>
        </is>
      </c>
      <c r="D248" s="2" t="n">
        <v>40</v>
      </c>
      <c r="E248" s="2" t="inlineStr">
        <is>
          <t>SMB</t>
        </is>
      </c>
    </row>
    <row r="249">
      <c r="A249" s="4" t="inlineStr">
        <is>
          <t>C_00248</t>
        </is>
      </c>
      <c r="B249" s="4" t="inlineStr">
        <is>
          <t>Low</t>
        </is>
      </c>
      <c r="C249" s="4" t="inlineStr">
        <is>
          <t>Complete</t>
        </is>
      </c>
      <c r="D249" s="4" t="n">
        <v>85</v>
      </c>
      <c r="E249" s="4" t="inlineStr">
        <is>
          <t>SMB</t>
        </is>
      </c>
    </row>
    <row r="250">
      <c r="A250" s="2" t="inlineStr">
        <is>
          <t>C_00249</t>
        </is>
      </c>
      <c r="B250" s="2" t="inlineStr">
        <is>
          <t>Low</t>
        </is>
      </c>
      <c r="C250" s="2" t="inlineStr">
        <is>
          <t>Complete</t>
        </is>
      </c>
      <c r="D250" s="2" t="n">
        <v>113</v>
      </c>
      <c r="E250" s="2" t="inlineStr">
        <is>
          <t>SMB</t>
        </is>
      </c>
    </row>
    <row r="251">
      <c r="A251" s="4" t="inlineStr">
        <is>
          <t>C_00250</t>
        </is>
      </c>
      <c r="B251" s="4" t="inlineStr">
        <is>
          <t>Low</t>
        </is>
      </c>
      <c r="C251" s="4" t="inlineStr">
        <is>
          <t>Complete</t>
        </is>
      </c>
      <c r="D251" s="4" t="n">
        <v>63</v>
      </c>
      <c r="E251" s="4" t="inlineStr">
        <is>
          <t>SMB</t>
        </is>
      </c>
    </row>
    <row r="252">
      <c r="A252" s="2" t="inlineStr">
        <is>
          <t>C_00251</t>
        </is>
      </c>
      <c r="B252" s="2" t="inlineStr">
        <is>
          <t>Medium</t>
        </is>
      </c>
      <c r="C252" s="2" t="inlineStr">
        <is>
          <t>Complete</t>
        </is>
      </c>
      <c r="D252" s="2" t="n">
        <v>60</v>
      </c>
      <c r="E252" s="2" t="inlineStr">
        <is>
          <t>HNI</t>
        </is>
      </c>
    </row>
    <row r="253">
      <c r="A253" s="4" t="inlineStr">
        <is>
          <t>C_00252</t>
        </is>
      </c>
      <c r="B253" s="4" t="inlineStr">
        <is>
          <t>Low</t>
        </is>
      </c>
      <c r="C253" s="4" t="inlineStr">
        <is>
          <t>Complete</t>
        </is>
      </c>
      <c r="D253" s="4" t="n">
        <v>21</v>
      </c>
      <c r="E253" s="4" t="inlineStr">
        <is>
          <t>HNI</t>
        </is>
      </c>
    </row>
    <row r="254">
      <c r="A254" s="2" t="inlineStr">
        <is>
          <t>C_00253</t>
        </is>
      </c>
      <c r="B254" s="2" t="inlineStr">
        <is>
          <t>High</t>
        </is>
      </c>
      <c r="C254" s="2" t="inlineStr">
        <is>
          <t>Complete</t>
        </is>
      </c>
      <c r="D254" s="2" t="n">
        <v>40</v>
      </c>
      <c r="E254" s="2" t="inlineStr">
        <is>
          <t>Retail</t>
        </is>
      </c>
    </row>
    <row r="255">
      <c r="A255" s="4" t="inlineStr">
        <is>
          <t>C_00254</t>
        </is>
      </c>
      <c r="B255" s="4" t="inlineStr">
        <is>
          <t>Medium</t>
        </is>
      </c>
      <c r="C255" s="4" t="inlineStr">
        <is>
          <t>Complete</t>
        </is>
      </c>
      <c r="D255" s="4" t="n">
        <v>75</v>
      </c>
      <c r="E255" s="4" t="inlineStr">
        <is>
          <t>Corporate</t>
        </is>
      </c>
    </row>
    <row r="256">
      <c r="A256" s="2" t="inlineStr">
        <is>
          <t>C_00255</t>
        </is>
      </c>
      <c r="B256" s="2" t="inlineStr">
        <is>
          <t>Low</t>
        </is>
      </c>
      <c r="C256" s="2" t="inlineStr">
        <is>
          <t>Complete</t>
        </is>
      </c>
      <c r="D256" s="2" t="n">
        <v>52</v>
      </c>
      <c r="E256" s="2" t="inlineStr">
        <is>
          <t>HNI</t>
        </is>
      </c>
    </row>
    <row r="257">
      <c r="A257" s="4" t="inlineStr">
        <is>
          <t>C_00256</t>
        </is>
      </c>
      <c r="B257" s="4" t="inlineStr">
        <is>
          <t>Low</t>
        </is>
      </c>
      <c r="C257" s="4" t="inlineStr">
        <is>
          <t>Complete</t>
        </is>
      </c>
      <c r="D257" s="4" t="n">
        <v>30</v>
      </c>
      <c r="E257" s="4" t="inlineStr">
        <is>
          <t>HNI</t>
        </is>
      </c>
    </row>
    <row r="258">
      <c r="A258" s="2" t="inlineStr">
        <is>
          <t>C_00257</t>
        </is>
      </c>
      <c r="B258" s="2" t="inlineStr">
        <is>
          <t>High</t>
        </is>
      </c>
      <c r="C258" s="2" t="inlineStr">
        <is>
          <t>Complete</t>
        </is>
      </c>
      <c r="D258" s="2" t="n">
        <v>42</v>
      </c>
      <c r="E258" s="2" t="inlineStr">
        <is>
          <t>SMB</t>
        </is>
      </c>
    </row>
    <row r="259">
      <c r="A259" s="4" t="inlineStr">
        <is>
          <t>C_00258</t>
        </is>
      </c>
      <c r="B259" s="4" t="inlineStr">
        <is>
          <t>High</t>
        </is>
      </c>
      <c r="C259" s="4" t="inlineStr">
        <is>
          <t>Complete</t>
        </is>
      </c>
      <c r="D259" s="4" t="n">
        <v>53</v>
      </c>
      <c r="E259" s="4" t="inlineStr">
        <is>
          <t>Retail</t>
        </is>
      </c>
    </row>
    <row r="260">
      <c r="A260" s="2" t="inlineStr">
        <is>
          <t>C_00259</t>
        </is>
      </c>
      <c r="B260" s="2" t="inlineStr">
        <is>
          <t>Low</t>
        </is>
      </c>
      <c r="C260" s="2" t="inlineStr">
        <is>
          <t>Complete</t>
        </is>
      </c>
      <c r="D260" s="2" t="n">
        <v>31</v>
      </c>
      <c r="E260" s="2" t="inlineStr">
        <is>
          <t>Retail</t>
        </is>
      </c>
    </row>
    <row r="261">
      <c r="A261" s="4" t="inlineStr">
        <is>
          <t>C_00260</t>
        </is>
      </c>
      <c r="B261" s="4" t="inlineStr">
        <is>
          <t>Low</t>
        </is>
      </c>
      <c r="C261" s="4" t="inlineStr">
        <is>
          <t>Complete</t>
        </is>
      </c>
      <c r="D261" s="4" t="n">
        <v>70</v>
      </c>
      <c r="E261" s="4" t="inlineStr">
        <is>
          <t>SMB</t>
        </is>
      </c>
    </row>
    <row r="262">
      <c r="A262" s="2" t="inlineStr">
        <is>
          <t>C_00261</t>
        </is>
      </c>
      <c r="B262" s="2" t="inlineStr">
        <is>
          <t>Medium</t>
        </is>
      </c>
      <c r="C262" s="2" t="inlineStr">
        <is>
          <t>Pending</t>
        </is>
      </c>
      <c r="D262" s="2" t="n">
        <v>79</v>
      </c>
      <c r="E262" s="2" t="inlineStr">
        <is>
          <t>SMB</t>
        </is>
      </c>
    </row>
    <row r="263">
      <c r="A263" s="4" t="inlineStr">
        <is>
          <t>C_00262</t>
        </is>
      </c>
      <c r="B263" s="4" t="inlineStr">
        <is>
          <t>Medium</t>
        </is>
      </c>
      <c r="C263" s="4" t="inlineStr">
        <is>
          <t>Complete</t>
        </is>
      </c>
      <c r="D263" s="4" t="n">
        <v>42</v>
      </c>
      <c r="E263" s="4" t="inlineStr">
        <is>
          <t>SMB</t>
        </is>
      </c>
    </row>
    <row r="264">
      <c r="A264" s="2" t="inlineStr">
        <is>
          <t>C_00263</t>
        </is>
      </c>
      <c r="B264" s="2" t="inlineStr">
        <is>
          <t>Low</t>
        </is>
      </c>
      <c r="C264" s="2" t="inlineStr">
        <is>
          <t>Pending</t>
        </is>
      </c>
      <c r="D264" s="2" t="n">
        <v>68</v>
      </c>
      <c r="E264" s="2" t="inlineStr">
        <is>
          <t>SMB</t>
        </is>
      </c>
    </row>
    <row r="265">
      <c r="A265" s="4" t="inlineStr">
        <is>
          <t>C_00264</t>
        </is>
      </c>
      <c r="B265" s="4" t="inlineStr">
        <is>
          <t>Low</t>
        </is>
      </c>
      <c r="C265" s="4" t="inlineStr">
        <is>
          <t>Complete</t>
        </is>
      </c>
      <c r="D265" s="4" t="n">
        <v>77</v>
      </c>
      <c r="E265" s="4" t="inlineStr">
        <is>
          <t>SMB</t>
        </is>
      </c>
    </row>
    <row r="266">
      <c r="A266" s="2" t="inlineStr">
        <is>
          <t>C_00265</t>
        </is>
      </c>
      <c r="B266" s="2" t="inlineStr">
        <is>
          <t>Medium</t>
        </is>
      </c>
      <c r="C266" s="2" t="inlineStr">
        <is>
          <t>Complete</t>
        </is>
      </c>
      <c r="D266" s="2" t="n">
        <v>64</v>
      </c>
      <c r="E266" s="2" t="inlineStr">
        <is>
          <t>HNI</t>
        </is>
      </c>
    </row>
    <row r="267">
      <c r="A267" s="4" t="inlineStr">
        <is>
          <t>C_00266</t>
        </is>
      </c>
      <c r="B267" s="4" t="inlineStr">
        <is>
          <t>Medium</t>
        </is>
      </c>
      <c r="C267" s="4" t="inlineStr">
        <is>
          <t>Pending</t>
        </is>
      </c>
      <c r="D267" s="4" t="n">
        <v>107</v>
      </c>
      <c r="E267" s="4" t="inlineStr">
        <is>
          <t>SMB</t>
        </is>
      </c>
    </row>
    <row r="268">
      <c r="A268" s="2" t="inlineStr">
        <is>
          <t>C_00267</t>
        </is>
      </c>
      <c r="B268" s="2" t="inlineStr">
        <is>
          <t>Low</t>
        </is>
      </c>
      <c r="C268" s="2" t="inlineStr">
        <is>
          <t>Expired</t>
        </is>
      </c>
      <c r="D268" s="2" t="n">
        <v>63</v>
      </c>
      <c r="E268" s="2" t="inlineStr">
        <is>
          <t>HNI</t>
        </is>
      </c>
    </row>
    <row r="269">
      <c r="A269" s="4" t="inlineStr">
        <is>
          <t>C_00268</t>
        </is>
      </c>
      <c r="B269" s="4" t="inlineStr">
        <is>
          <t>Medium</t>
        </is>
      </c>
      <c r="C269" s="4" t="inlineStr">
        <is>
          <t>Complete</t>
        </is>
      </c>
      <c r="D269" s="4" t="n">
        <v>97</v>
      </c>
      <c r="E269" s="4" t="inlineStr">
        <is>
          <t>Retail</t>
        </is>
      </c>
    </row>
    <row r="270">
      <c r="A270" s="2" t="inlineStr">
        <is>
          <t>C_00269</t>
        </is>
      </c>
      <c r="B270" s="2" t="inlineStr">
        <is>
          <t>Low</t>
        </is>
      </c>
      <c r="C270" s="2" t="inlineStr">
        <is>
          <t>Complete</t>
        </is>
      </c>
      <c r="D270" s="2" t="n">
        <v>101</v>
      </c>
      <c r="E270" s="2" t="inlineStr">
        <is>
          <t>SMB</t>
        </is>
      </c>
    </row>
    <row r="271">
      <c r="A271" s="4" t="inlineStr">
        <is>
          <t>C_00270</t>
        </is>
      </c>
      <c r="B271" s="4" t="inlineStr">
        <is>
          <t>Low</t>
        </is>
      </c>
      <c r="C271" s="4" t="inlineStr">
        <is>
          <t>Complete</t>
        </is>
      </c>
      <c r="D271" s="4" t="n">
        <v>19</v>
      </c>
      <c r="E271" s="4" t="inlineStr">
        <is>
          <t>Retail</t>
        </is>
      </c>
    </row>
    <row r="272">
      <c r="A272" s="2" t="inlineStr">
        <is>
          <t>C_00271</t>
        </is>
      </c>
      <c r="B272" s="2" t="inlineStr">
        <is>
          <t>Low</t>
        </is>
      </c>
      <c r="C272" s="2" t="inlineStr">
        <is>
          <t>Complete</t>
        </is>
      </c>
      <c r="D272" s="2" t="n">
        <v>101</v>
      </c>
      <c r="E272" s="2" t="inlineStr">
        <is>
          <t>HNI</t>
        </is>
      </c>
    </row>
    <row r="273">
      <c r="A273" s="4" t="inlineStr">
        <is>
          <t>C_00272</t>
        </is>
      </c>
      <c r="B273" s="4" t="inlineStr">
        <is>
          <t>Medium</t>
        </is>
      </c>
      <c r="C273" s="4" t="inlineStr">
        <is>
          <t>Complete</t>
        </is>
      </c>
      <c r="D273" s="4" t="n">
        <v>37</v>
      </c>
      <c r="E273" s="4" t="inlineStr">
        <is>
          <t>Retail</t>
        </is>
      </c>
    </row>
    <row r="274">
      <c r="A274" s="2" t="inlineStr">
        <is>
          <t>C_00273</t>
        </is>
      </c>
      <c r="B274" s="2" t="inlineStr">
        <is>
          <t>Medium</t>
        </is>
      </c>
      <c r="C274" s="2" t="inlineStr">
        <is>
          <t>Complete</t>
        </is>
      </c>
      <c r="D274" s="2" t="n">
        <v>25</v>
      </c>
      <c r="E274" s="2" t="inlineStr">
        <is>
          <t>SMB</t>
        </is>
      </c>
    </row>
    <row r="275">
      <c r="A275" s="4" t="inlineStr">
        <is>
          <t>C_00274</t>
        </is>
      </c>
      <c r="B275" s="4" t="inlineStr">
        <is>
          <t>Medium</t>
        </is>
      </c>
      <c r="C275" s="4" t="inlineStr">
        <is>
          <t>Complete</t>
        </is>
      </c>
      <c r="D275" s="4" t="n">
        <v>90</v>
      </c>
      <c r="E275" s="4" t="inlineStr">
        <is>
          <t>Retail</t>
        </is>
      </c>
    </row>
    <row r="276">
      <c r="A276" s="2" t="inlineStr">
        <is>
          <t>C_00275</t>
        </is>
      </c>
      <c r="B276" s="2" t="inlineStr">
        <is>
          <t>High</t>
        </is>
      </c>
      <c r="C276" s="2" t="inlineStr">
        <is>
          <t>Complete</t>
        </is>
      </c>
      <c r="D276" s="2" t="n">
        <v>100</v>
      </c>
      <c r="E276" s="2" t="inlineStr">
        <is>
          <t>SMB</t>
        </is>
      </c>
    </row>
    <row r="277">
      <c r="A277" s="4" t="inlineStr">
        <is>
          <t>C_00276</t>
        </is>
      </c>
      <c r="B277" s="4" t="inlineStr">
        <is>
          <t>Medium</t>
        </is>
      </c>
      <c r="C277" s="4" t="inlineStr">
        <is>
          <t>Expired</t>
        </is>
      </c>
      <c r="D277" s="4" t="n">
        <v>48</v>
      </c>
      <c r="E277" s="4" t="inlineStr">
        <is>
          <t>SMB</t>
        </is>
      </c>
    </row>
    <row r="278">
      <c r="A278" s="2" t="inlineStr">
        <is>
          <t>C_00277</t>
        </is>
      </c>
      <c r="B278" s="2" t="inlineStr">
        <is>
          <t>Medium</t>
        </is>
      </c>
      <c r="C278" s="2" t="inlineStr">
        <is>
          <t>Complete</t>
        </is>
      </c>
      <c r="D278" s="2" t="n">
        <v>74</v>
      </c>
      <c r="E278" s="2" t="inlineStr">
        <is>
          <t>Retail</t>
        </is>
      </c>
    </row>
    <row r="279">
      <c r="A279" s="4" t="inlineStr">
        <is>
          <t>C_00278</t>
        </is>
      </c>
      <c r="B279" s="4" t="inlineStr">
        <is>
          <t>Medium</t>
        </is>
      </c>
      <c r="C279" s="4" t="inlineStr">
        <is>
          <t>Complete</t>
        </is>
      </c>
      <c r="D279" s="4" t="n">
        <v>47</v>
      </c>
      <c r="E279" s="4" t="inlineStr">
        <is>
          <t>SMB</t>
        </is>
      </c>
    </row>
    <row r="280">
      <c r="A280" s="2" t="inlineStr">
        <is>
          <t>C_00279</t>
        </is>
      </c>
      <c r="B280" s="2" t="inlineStr">
        <is>
          <t>Medium</t>
        </is>
      </c>
      <c r="C280" s="2" t="inlineStr">
        <is>
          <t>Expired</t>
        </is>
      </c>
      <c r="D280" s="2" t="n">
        <v>119</v>
      </c>
      <c r="E280" s="2" t="inlineStr">
        <is>
          <t>Retail</t>
        </is>
      </c>
    </row>
    <row r="281">
      <c r="A281" s="4" t="inlineStr">
        <is>
          <t>C_00280</t>
        </is>
      </c>
      <c r="B281" s="4" t="inlineStr">
        <is>
          <t>Low</t>
        </is>
      </c>
      <c r="C281" s="4" t="inlineStr">
        <is>
          <t>Pending</t>
        </is>
      </c>
      <c r="D281" s="4" t="n">
        <v>41</v>
      </c>
      <c r="E281" s="4" t="inlineStr">
        <is>
          <t>SMB</t>
        </is>
      </c>
    </row>
    <row r="282">
      <c r="A282" s="2" t="inlineStr">
        <is>
          <t>C_00281</t>
        </is>
      </c>
      <c r="B282" s="2" t="inlineStr">
        <is>
          <t>Medium</t>
        </is>
      </c>
      <c r="C282" s="2" t="inlineStr">
        <is>
          <t>Pending</t>
        </is>
      </c>
      <c r="D282" s="2" t="n">
        <v>86</v>
      </c>
      <c r="E282" s="2" t="inlineStr">
        <is>
          <t>Retail</t>
        </is>
      </c>
    </row>
    <row r="283">
      <c r="A283" s="4" t="inlineStr">
        <is>
          <t>C_00282</t>
        </is>
      </c>
      <c r="B283" s="4" t="inlineStr">
        <is>
          <t>Medium</t>
        </is>
      </c>
      <c r="C283" s="4" t="inlineStr">
        <is>
          <t>Complete</t>
        </is>
      </c>
      <c r="D283" s="4" t="n">
        <v>79</v>
      </c>
      <c r="E283" s="4" t="inlineStr">
        <is>
          <t>HNI</t>
        </is>
      </c>
    </row>
    <row r="284">
      <c r="A284" s="2" t="inlineStr">
        <is>
          <t>C_00283</t>
        </is>
      </c>
      <c r="B284" s="2" t="inlineStr">
        <is>
          <t>Low</t>
        </is>
      </c>
      <c r="C284" s="2" t="inlineStr">
        <is>
          <t>Complete</t>
        </is>
      </c>
      <c r="D284" s="2" t="n">
        <v>29</v>
      </c>
      <c r="E284" s="2" t="inlineStr">
        <is>
          <t>Corporate</t>
        </is>
      </c>
    </row>
    <row r="285">
      <c r="A285" s="4" t="inlineStr">
        <is>
          <t>C_00284</t>
        </is>
      </c>
      <c r="B285" s="4" t="inlineStr">
        <is>
          <t>Medium</t>
        </is>
      </c>
      <c r="C285" s="4" t="inlineStr">
        <is>
          <t>Complete</t>
        </is>
      </c>
      <c r="D285" s="4" t="n">
        <v>24</v>
      </c>
      <c r="E285" s="4" t="inlineStr">
        <is>
          <t>SMB</t>
        </is>
      </c>
    </row>
    <row r="286">
      <c r="A286" s="2" t="inlineStr">
        <is>
          <t>C_00285</t>
        </is>
      </c>
      <c r="B286" s="2" t="inlineStr">
        <is>
          <t>Medium</t>
        </is>
      </c>
      <c r="C286" s="2" t="inlineStr">
        <is>
          <t>Complete</t>
        </is>
      </c>
      <c r="D286" s="2" t="n">
        <v>101</v>
      </c>
      <c r="E286" s="2" t="inlineStr">
        <is>
          <t>SMB</t>
        </is>
      </c>
    </row>
    <row r="287">
      <c r="A287" s="4" t="inlineStr">
        <is>
          <t>C_00286</t>
        </is>
      </c>
      <c r="B287" s="4" t="inlineStr">
        <is>
          <t>High</t>
        </is>
      </c>
      <c r="C287" s="4" t="inlineStr">
        <is>
          <t>Expired</t>
        </is>
      </c>
      <c r="D287" s="4" t="n">
        <v>69</v>
      </c>
      <c r="E287" s="4" t="inlineStr">
        <is>
          <t>HNI</t>
        </is>
      </c>
    </row>
    <row r="288">
      <c r="A288" s="2" t="inlineStr">
        <is>
          <t>C_00287</t>
        </is>
      </c>
      <c r="B288" s="2" t="inlineStr">
        <is>
          <t>Low</t>
        </is>
      </c>
      <c r="C288" s="2" t="inlineStr">
        <is>
          <t>Expired</t>
        </is>
      </c>
      <c r="D288" s="2" t="n">
        <v>118</v>
      </c>
      <c r="E288" s="2" t="inlineStr">
        <is>
          <t>Corporate</t>
        </is>
      </c>
    </row>
    <row r="289">
      <c r="A289" s="4" t="inlineStr">
        <is>
          <t>C_00288</t>
        </is>
      </c>
      <c r="B289" s="4" t="inlineStr">
        <is>
          <t>Medium</t>
        </is>
      </c>
      <c r="C289" s="4" t="inlineStr">
        <is>
          <t>Complete</t>
        </is>
      </c>
      <c r="D289" s="4" t="n">
        <v>57</v>
      </c>
      <c r="E289" s="4" t="inlineStr">
        <is>
          <t>SMB</t>
        </is>
      </c>
    </row>
    <row r="290">
      <c r="A290" s="2" t="inlineStr">
        <is>
          <t>C_00289</t>
        </is>
      </c>
      <c r="B290" s="2" t="inlineStr">
        <is>
          <t>High</t>
        </is>
      </c>
      <c r="C290" s="2" t="inlineStr">
        <is>
          <t>Complete</t>
        </is>
      </c>
      <c r="D290" s="2" t="n">
        <v>15</v>
      </c>
      <c r="E290" s="2" t="inlineStr">
        <is>
          <t>Retail</t>
        </is>
      </c>
    </row>
    <row r="291">
      <c r="A291" s="4" t="inlineStr">
        <is>
          <t>C_00290</t>
        </is>
      </c>
      <c r="B291" s="4" t="inlineStr">
        <is>
          <t>High</t>
        </is>
      </c>
      <c r="C291" s="4" t="inlineStr">
        <is>
          <t>Pending</t>
        </is>
      </c>
      <c r="D291" s="4" t="n">
        <v>55</v>
      </c>
      <c r="E291" s="4" t="inlineStr">
        <is>
          <t>Retail</t>
        </is>
      </c>
    </row>
    <row r="292">
      <c r="A292" s="2" t="inlineStr">
        <is>
          <t>C_00291</t>
        </is>
      </c>
      <c r="B292" s="2" t="inlineStr">
        <is>
          <t>Low</t>
        </is>
      </c>
      <c r="C292" s="2" t="inlineStr">
        <is>
          <t>Complete</t>
        </is>
      </c>
      <c r="D292" s="2" t="n">
        <v>23</v>
      </c>
      <c r="E292" s="2" t="inlineStr">
        <is>
          <t>HNI</t>
        </is>
      </c>
    </row>
    <row r="293">
      <c r="A293" s="4" t="inlineStr">
        <is>
          <t>C_00292</t>
        </is>
      </c>
      <c r="B293" s="4" t="inlineStr">
        <is>
          <t>Low</t>
        </is>
      </c>
      <c r="C293" s="4" t="inlineStr">
        <is>
          <t>Complete</t>
        </is>
      </c>
      <c r="D293" s="4" t="n">
        <v>109</v>
      </c>
      <c r="E293" s="4" t="inlineStr">
        <is>
          <t>Retail</t>
        </is>
      </c>
    </row>
    <row r="294">
      <c r="A294" s="2" t="inlineStr">
        <is>
          <t>C_00293</t>
        </is>
      </c>
      <c r="B294" s="2" t="inlineStr">
        <is>
          <t>High</t>
        </is>
      </c>
      <c r="C294" s="2" t="inlineStr">
        <is>
          <t>Complete</t>
        </is>
      </c>
      <c r="D294" s="2" t="n">
        <v>32</v>
      </c>
      <c r="E294" s="2" t="inlineStr">
        <is>
          <t>SMB</t>
        </is>
      </c>
    </row>
    <row r="295">
      <c r="A295" s="4" t="inlineStr">
        <is>
          <t>C_00294</t>
        </is>
      </c>
      <c r="B295" s="4" t="inlineStr">
        <is>
          <t>Low</t>
        </is>
      </c>
      <c r="C295" s="4" t="inlineStr">
        <is>
          <t>Complete</t>
        </is>
      </c>
      <c r="D295" s="4" t="n">
        <v>61</v>
      </c>
      <c r="E295" s="4" t="inlineStr">
        <is>
          <t>Retail</t>
        </is>
      </c>
    </row>
    <row r="296">
      <c r="A296" s="2" t="inlineStr">
        <is>
          <t>C_00295</t>
        </is>
      </c>
      <c r="B296" s="2" t="inlineStr">
        <is>
          <t>High</t>
        </is>
      </c>
      <c r="C296" s="2" t="inlineStr">
        <is>
          <t>Complete</t>
        </is>
      </c>
      <c r="D296" s="2" t="n">
        <v>62</v>
      </c>
      <c r="E296" s="2" t="inlineStr">
        <is>
          <t>Corporate</t>
        </is>
      </c>
    </row>
    <row r="297">
      <c r="A297" s="4" t="inlineStr">
        <is>
          <t>C_00296</t>
        </is>
      </c>
      <c r="B297" s="4" t="inlineStr">
        <is>
          <t>Low</t>
        </is>
      </c>
      <c r="C297" s="4" t="inlineStr">
        <is>
          <t>Complete</t>
        </is>
      </c>
      <c r="D297" s="4" t="n">
        <v>33</v>
      </c>
      <c r="E297" s="4" t="inlineStr">
        <is>
          <t>Retail</t>
        </is>
      </c>
    </row>
    <row r="298">
      <c r="A298" s="2" t="inlineStr">
        <is>
          <t>C_00297</t>
        </is>
      </c>
      <c r="B298" s="2" t="inlineStr">
        <is>
          <t>High</t>
        </is>
      </c>
      <c r="C298" s="2" t="inlineStr">
        <is>
          <t>Expired</t>
        </is>
      </c>
      <c r="D298" s="2" t="n">
        <v>78</v>
      </c>
      <c r="E298" s="2" t="inlineStr">
        <is>
          <t>HNI</t>
        </is>
      </c>
    </row>
    <row r="299">
      <c r="A299" s="4" t="inlineStr">
        <is>
          <t>C_00298</t>
        </is>
      </c>
      <c r="B299" s="4" t="inlineStr">
        <is>
          <t>Medium</t>
        </is>
      </c>
      <c r="C299" s="4" t="inlineStr">
        <is>
          <t>Complete</t>
        </is>
      </c>
      <c r="D299" s="4" t="n">
        <v>82</v>
      </c>
      <c r="E299" s="4" t="inlineStr">
        <is>
          <t>SMB</t>
        </is>
      </c>
    </row>
    <row r="300">
      <c r="A300" s="2" t="inlineStr">
        <is>
          <t>C_00299</t>
        </is>
      </c>
      <c r="B300" s="2" t="inlineStr">
        <is>
          <t>Medium</t>
        </is>
      </c>
      <c r="C300" s="2" t="inlineStr">
        <is>
          <t>Pending</t>
        </is>
      </c>
      <c r="D300" s="2" t="n">
        <v>12</v>
      </c>
      <c r="E300" s="2" t="inlineStr">
        <is>
          <t>SMB</t>
        </is>
      </c>
    </row>
    <row r="301">
      <c r="A301" s="4" t="inlineStr">
        <is>
          <t>C_00300</t>
        </is>
      </c>
      <c r="B301" s="4" t="inlineStr">
        <is>
          <t>Medium</t>
        </is>
      </c>
      <c r="C301" s="4" t="inlineStr">
        <is>
          <t>Complete</t>
        </is>
      </c>
      <c r="D301" s="4" t="n">
        <v>67</v>
      </c>
      <c r="E301" s="4" t="inlineStr">
        <is>
          <t>Corporate</t>
        </is>
      </c>
    </row>
  </sheetData>
  <conditionalFormatting sqref="B2:B301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3" customWidth="1" min="4" max="4"/>
    <col width="11" customWidth="1" min="5" max="5"/>
    <col width="20" customWidth="1" min="6" max="6"/>
  </cols>
  <sheetData>
    <row r="1" ht="22" customHeight="1">
      <c r="A1" s="1" t="inlineStr">
        <is>
          <t>Alert_ID</t>
        </is>
      </c>
      <c r="B1" s="1" t="inlineStr">
        <is>
          <t>Transaction_ID</t>
        </is>
      </c>
      <c r="C1" s="1" t="inlineStr">
        <is>
          <t>Alert_Type</t>
        </is>
      </c>
      <c r="D1" s="1" t="inlineStr">
        <is>
          <t>Alert_Date</t>
        </is>
      </c>
      <c r="E1" s="1" t="inlineStr">
        <is>
          <t>Status</t>
        </is>
      </c>
      <c r="F1" s="1" t="inlineStr">
        <is>
          <t>Resolution_Time_Days</t>
        </is>
      </c>
    </row>
    <row r="2">
      <c r="A2" s="2" t="inlineStr">
        <is>
          <t>ALT_00001</t>
        </is>
      </c>
      <c r="B2" s="2" t="inlineStr">
        <is>
          <t>TXN_001727</t>
        </is>
      </c>
      <c r="C2" s="2" t="inlineStr">
        <is>
          <t>Structuring</t>
        </is>
      </c>
      <c r="D2" s="2" t="inlineStr">
        <is>
          <t>2026-02-10</t>
        </is>
      </c>
      <c r="E2" s="2" t="inlineStr">
        <is>
          <t>Closed</t>
        </is>
      </c>
      <c r="F2" s="2" t="inlineStr">
        <is>
          <t>1</t>
        </is>
      </c>
    </row>
    <row r="3">
      <c r="A3" s="4" t="inlineStr">
        <is>
          <t>ALT_00002</t>
        </is>
      </c>
      <c r="B3" s="4" t="inlineStr">
        <is>
          <t>TXN_001701</t>
        </is>
      </c>
      <c r="C3" s="4" t="inlineStr">
        <is>
          <t>Structuring</t>
        </is>
      </c>
      <c r="D3" s="4" t="inlineStr">
        <is>
          <t>2026-02-10</t>
        </is>
      </c>
      <c r="E3" s="4" t="inlineStr">
        <is>
          <t>Closed</t>
        </is>
      </c>
      <c r="F3" s="4" t="inlineStr">
        <is>
          <t>2</t>
        </is>
      </c>
    </row>
    <row r="4">
      <c r="A4" s="2" t="inlineStr">
        <is>
          <t>ALT_00003</t>
        </is>
      </c>
      <c r="B4" s="2" t="inlineStr">
        <is>
          <t>TXN_001719</t>
        </is>
      </c>
      <c r="C4" s="2" t="inlineStr">
        <is>
          <t>Structuring</t>
        </is>
      </c>
      <c r="D4" s="2" t="inlineStr">
        <is>
          <t>2026-02-10</t>
        </is>
      </c>
      <c r="E4" s="2" t="inlineStr">
        <is>
          <t>Closed</t>
        </is>
      </c>
      <c r="F4" s="2" t="inlineStr">
        <is>
          <t>2</t>
        </is>
      </c>
    </row>
    <row r="5">
      <c r="A5" s="4" t="inlineStr">
        <is>
          <t>ALT_00004</t>
        </is>
      </c>
      <c r="B5" s="4" t="inlineStr">
        <is>
          <t>TXN_001717</t>
        </is>
      </c>
      <c r="C5" s="4" t="inlineStr">
        <is>
          <t>Structuring</t>
        </is>
      </c>
      <c r="D5" s="4" t="inlineStr">
        <is>
          <t>2026-02-10</t>
        </is>
      </c>
      <c r="E5" s="4" t="inlineStr">
        <is>
          <t>Closed</t>
        </is>
      </c>
      <c r="F5" s="4" t="inlineStr">
        <is>
          <t>1</t>
        </is>
      </c>
    </row>
    <row r="6">
      <c r="A6" s="2" t="inlineStr">
        <is>
          <t>ALT_00005</t>
        </is>
      </c>
      <c r="B6" s="2" t="inlineStr">
        <is>
          <t>TXN_001715</t>
        </is>
      </c>
      <c r="C6" s="2" t="inlineStr">
        <is>
          <t>Structuring</t>
        </is>
      </c>
      <c r="D6" s="2" t="inlineStr">
        <is>
          <t>2026-02-10</t>
        </is>
      </c>
      <c r="E6" s="2" t="inlineStr">
        <is>
          <t>Closed</t>
        </is>
      </c>
      <c r="F6" s="2" t="inlineStr">
        <is>
          <t>2</t>
        </is>
      </c>
    </row>
    <row r="7">
      <c r="A7" s="4" t="inlineStr">
        <is>
          <t>ALT_00006</t>
        </is>
      </c>
      <c r="B7" s="4" t="inlineStr">
        <is>
          <t>TXN_001710</t>
        </is>
      </c>
      <c r="C7" s="4" t="inlineStr">
        <is>
          <t>Structuring</t>
        </is>
      </c>
      <c r="D7" s="4" t="inlineStr">
        <is>
          <t>2026-02-10</t>
        </is>
      </c>
      <c r="E7" s="4" t="inlineStr">
        <is>
          <t>Closed</t>
        </is>
      </c>
      <c r="F7" s="4" t="inlineStr">
        <is>
          <t>2</t>
        </is>
      </c>
    </row>
    <row r="8">
      <c r="A8" s="2" t="inlineStr">
        <is>
          <t>ALT_00007</t>
        </is>
      </c>
      <c r="B8" s="2" t="inlineStr">
        <is>
          <t>TXN_001708</t>
        </is>
      </c>
      <c r="C8" s="2" t="inlineStr">
        <is>
          <t>Structuring</t>
        </is>
      </c>
      <c r="D8" s="2" t="inlineStr">
        <is>
          <t>2026-02-10</t>
        </is>
      </c>
      <c r="E8" s="2" t="inlineStr">
        <is>
          <t>Open</t>
        </is>
      </c>
      <c r="F8" s="2" t="inlineStr"/>
    </row>
    <row r="9">
      <c r="A9" s="4" t="inlineStr">
        <is>
          <t>ALT_00008</t>
        </is>
      </c>
      <c r="B9" s="4" t="inlineStr">
        <is>
          <t>TXN_001698</t>
        </is>
      </c>
      <c r="C9" s="4" t="inlineStr">
        <is>
          <t>Structuring</t>
        </is>
      </c>
      <c r="D9" s="4" t="inlineStr">
        <is>
          <t>2026-02-10</t>
        </is>
      </c>
      <c r="E9" s="4" t="inlineStr">
        <is>
          <t>Closed</t>
        </is>
      </c>
      <c r="F9" s="4" t="inlineStr">
        <is>
          <t>2</t>
        </is>
      </c>
    </row>
    <row r="10">
      <c r="A10" s="2" t="inlineStr">
        <is>
          <t>ALT_00009</t>
        </is>
      </c>
      <c r="B10" s="2" t="inlineStr">
        <is>
          <t>TXN_001684</t>
        </is>
      </c>
      <c r="C10" s="2" t="inlineStr">
        <is>
          <t>Structuring</t>
        </is>
      </c>
      <c r="D10" s="2" t="inlineStr">
        <is>
          <t>2026-02-10</t>
        </is>
      </c>
      <c r="E10" s="2" t="inlineStr">
        <is>
          <t>Open</t>
        </is>
      </c>
      <c r="F10" s="2" t="inlineStr"/>
    </row>
    <row r="11">
      <c r="A11" s="4" t="inlineStr">
        <is>
          <t>ALT_00010</t>
        </is>
      </c>
      <c r="B11" s="4" t="inlineStr">
        <is>
          <t>TXN_001693</t>
        </is>
      </c>
      <c r="C11" s="4" t="inlineStr">
        <is>
          <t>Structuring</t>
        </is>
      </c>
      <c r="D11" s="4" t="inlineStr">
        <is>
          <t>2026-02-10</t>
        </is>
      </c>
      <c r="E11" s="4" t="inlineStr">
        <is>
          <t>Closed</t>
        </is>
      </c>
      <c r="F11" s="4" t="inlineStr">
        <is>
          <t>3</t>
        </is>
      </c>
    </row>
    <row r="12">
      <c r="A12" s="2" t="inlineStr">
        <is>
          <t>ALT_00011</t>
        </is>
      </c>
      <c r="B12" s="2" t="inlineStr">
        <is>
          <t>TXN_001686</t>
        </is>
      </c>
      <c r="C12" s="2" t="inlineStr">
        <is>
          <t>Structuring</t>
        </is>
      </c>
      <c r="D12" s="2" t="inlineStr">
        <is>
          <t>2026-02-10</t>
        </is>
      </c>
      <c r="E12" s="2" t="inlineStr">
        <is>
          <t>Closed</t>
        </is>
      </c>
      <c r="F12" s="2" t="inlineStr">
        <is>
          <t>3</t>
        </is>
      </c>
    </row>
    <row r="13">
      <c r="A13" s="4" t="inlineStr">
        <is>
          <t>ALT_00012</t>
        </is>
      </c>
      <c r="B13" s="4" t="inlineStr">
        <is>
          <t>TXN_001679</t>
        </is>
      </c>
      <c r="C13" s="4" t="inlineStr">
        <is>
          <t>Structuring</t>
        </is>
      </c>
      <c r="D13" s="4" t="inlineStr">
        <is>
          <t>2026-02-10</t>
        </is>
      </c>
      <c r="E13" s="4" t="inlineStr">
        <is>
          <t>Open</t>
        </is>
      </c>
      <c r="F13" s="4" t="inlineStr"/>
    </row>
    <row r="14">
      <c r="A14" s="2" t="inlineStr">
        <is>
          <t>ALT_00013</t>
        </is>
      </c>
      <c r="B14" s="2" t="inlineStr">
        <is>
          <t>TXN_001678</t>
        </is>
      </c>
      <c r="C14" s="2" t="inlineStr">
        <is>
          <t>Structuring</t>
        </is>
      </c>
      <c r="D14" s="2" t="inlineStr">
        <is>
          <t>2026-02-10</t>
        </is>
      </c>
      <c r="E14" s="2" t="inlineStr">
        <is>
          <t>Open</t>
        </is>
      </c>
      <c r="F14" s="2" t="inlineStr"/>
    </row>
    <row r="15">
      <c r="A15" s="4" t="inlineStr">
        <is>
          <t>ALT_00014</t>
        </is>
      </c>
      <c r="B15" s="4" t="inlineStr">
        <is>
          <t>TXN_001729</t>
        </is>
      </c>
      <c r="C15" s="4" t="inlineStr">
        <is>
          <t>Structuring</t>
        </is>
      </c>
      <c r="D15" s="4" t="inlineStr">
        <is>
          <t>2026-02-10</t>
        </is>
      </c>
      <c r="E15" s="4" t="inlineStr">
        <is>
          <t>Closed</t>
        </is>
      </c>
      <c r="F15" s="4" t="inlineStr">
        <is>
          <t>1</t>
        </is>
      </c>
    </row>
    <row r="16">
      <c r="A16" s="2" t="inlineStr">
        <is>
          <t>ALT_00015</t>
        </is>
      </c>
      <c r="B16" s="2" t="inlineStr">
        <is>
          <t>TXN_001672</t>
        </is>
      </c>
      <c r="C16" s="2" t="inlineStr">
        <is>
          <t>Structuring</t>
        </is>
      </c>
      <c r="D16" s="2" t="inlineStr">
        <is>
          <t>2026-02-10</t>
        </is>
      </c>
      <c r="E16" s="2" t="inlineStr">
        <is>
          <t>Closed</t>
        </is>
      </c>
      <c r="F16" s="2" t="inlineStr">
        <is>
          <t>2</t>
        </is>
      </c>
    </row>
    <row r="17">
      <c r="A17" s="4" t="inlineStr">
        <is>
          <t>ALT_00016</t>
        </is>
      </c>
      <c r="B17" s="4" t="inlineStr">
        <is>
          <t>TXN_001670</t>
        </is>
      </c>
      <c r="C17" s="4" t="inlineStr">
        <is>
          <t>Structuring</t>
        </is>
      </c>
      <c r="D17" s="4" t="inlineStr">
        <is>
          <t>2026-02-10</t>
        </is>
      </c>
      <c r="E17" s="4" t="inlineStr">
        <is>
          <t>Closed</t>
        </is>
      </c>
      <c r="F17" s="4" t="inlineStr">
        <is>
          <t>3</t>
        </is>
      </c>
    </row>
    <row r="18">
      <c r="A18" s="2" t="inlineStr">
        <is>
          <t>ALT_00017</t>
        </is>
      </c>
      <c r="B18" s="2" t="inlineStr">
        <is>
          <t>TXN_001667</t>
        </is>
      </c>
      <c r="C18" s="2" t="inlineStr">
        <is>
          <t>Structuring</t>
        </is>
      </c>
      <c r="D18" s="2" t="inlineStr">
        <is>
          <t>2026-02-10</t>
        </is>
      </c>
      <c r="E18" s="2" t="inlineStr">
        <is>
          <t>Open</t>
        </is>
      </c>
      <c r="F18" s="2" t="inlineStr"/>
    </row>
    <row r="19">
      <c r="A19" s="4" t="inlineStr">
        <is>
          <t>ALT_00018</t>
        </is>
      </c>
      <c r="B19" s="4" t="inlineStr">
        <is>
          <t>TXN_001665</t>
        </is>
      </c>
      <c r="C19" s="4" t="inlineStr">
        <is>
          <t>Structuring</t>
        </is>
      </c>
      <c r="D19" s="4" t="inlineStr">
        <is>
          <t>2026-02-10</t>
        </is>
      </c>
      <c r="E19" s="4" t="inlineStr">
        <is>
          <t>Closed</t>
        </is>
      </c>
      <c r="F19" s="4" t="inlineStr">
        <is>
          <t>1</t>
        </is>
      </c>
    </row>
    <row r="20">
      <c r="A20" s="2" t="inlineStr">
        <is>
          <t>ALT_00019</t>
        </is>
      </c>
      <c r="B20" s="2" t="inlineStr">
        <is>
          <t>TXN_001663</t>
        </is>
      </c>
      <c r="C20" s="2" t="inlineStr">
        <is>
          <t>Structuring</t>
        </is>
      </c>
      <c r="D20" s="2" t="inlineStr">
        <is>
          <t>2026-02-10</t>
        </is>
      </c>
      <c r="E20" s="2" t="inlineStr">
        <is>
          <t>Closed</t>
        </is>
      </c>
      <c r="F20" s="2" t="inlineStr">
        <is>
          <t>2</t>
        </is>
      </c>
    </row>
    <row r="21">
      <c r="A21" s="4" t="inlineStr">
        <is>
          <t>ALT_00020</t>
        </is>
      </c>
      <c r="B21" s="4" t="inlineStr">
        <is>
          <t>TXN_001662</t>
        </is>
      </c>
      <c r="C21" s="4" t="inlineStr">
        <is>
          <t>Structuring</t>
        </is>
      </c>
      <c r="D21" s="4" t="inlineStr">
        <is>
          <t>2026-02-10</t>
        </is>
      </c>
      <c r="E21" s="4" t="inlineStr">
        <is>
          <t>Closed</t>
        </is>
      </c>
      <c r="F21" s="4" t="inlineStr">
        <is>
          <t>1</t>
        </is>
      </c>
    </row>
    <row r="22">
      <c r="A22" s="2" t="inlineStr">
        <is>
          <t>ALT_00021</t>
        </is>
      </c>
      <c r="B22" s="2" t="inlineStr">
        <is>
          <t>TXN_001641</t>
        </is>
      </c>
      <c r="C22" s="2" t="inlineStr">
        <is>
          <t>Structuring</t>
        </is>
      </c>
      <c r="D22" s="2" t="inlineStr">
        <is>
          <t>2026-02-10</t>
        </is>
      </c>
      <c r="E22" s="2" t="inlineStr">
        <is>
          <t>Closed</t>
        </is>
      </c>
      <c r="F22" s="2" t="inlineStr">
        <is>
          <t>1</t>
        </is>
      </c>
    </row>
    <row r="23">
      <c r="A23" s="4" t="inlineStr">
        <is>
          <t>ALT_00022</t>
        </is>
      </c>
      <c r="B23" s="4" t="inlineStr">
        <is>
          <t>TXN_001697</t>
        </is>
      </c>
      <c r="C23" s="4" t="inlineStr">
        <is>
          <t>Structuring</t>
        </is>
      </c>
      <c r="D23" s="4" t="inlineStr">
        <is>
          <t>2026-02-10</t>
        </is>
      </c>
      <c r="E23" s="4" t="inlineStr">
        <is>
          <t>Open</t>
        </is>
      </c>
      <c r="F23" s="4" t="inlineStr"/>
    </row>
    <row r="24">
      <c r="A24" s="2" t="inlineStr">
        <is>
          <t>ALT_00023</t>
        </is>
      </c>
      <c r="B24" s="2" t="inlineStr">
        <is>
          <t>TXN_001676</t>
        </is>
      </c>
      <c r="C24" s="2" t="inlineStr">
        <is>
          <t>Structuring</t>
        </is>
      </c>
      <c r="D24" s="2" t="inlineStr">
        <is>
          <t>2026-02-10</t>
        </is>
      </c>
      <c r="E24" s="2" t="inlineStr">
        <is>
          <t>Closed</t>
        </is>
      </c>
      <c r="F24" s="2" t="inlineStr">
        <is>
          <t>1</t>
        </is>
      </c>
    </row>
    <row r="25">
      <c r="A25" s="4" t="inlineStr">
        <is>
          <t>ALT_00024</t>
        </is>
      </c>
      <c r="B25" s="4" t="inlineStr">
        <is>
          <t>TXN_001721</t>
        </is>
      </c>
      <c r="C25" s="4" t="inlineStr">
        <is>
          <t>Structuring</t>
        </is>
      </c>
      <c r="D25" s="4" t="inlineStr">
        <is>
          <t>2026-02-10</t>
        </is>
      </c>
      <c r="E25" s="4" t="inlineStr">
        <is>
          <t>Open</t>
        </is>
      </c>
      <c r="F25" s="4" t="inlineStr"/>
    </row>
    <row r="26">
      <c r="A26" s="2" t="inlineStr">
        <is>
          <t>ALT_00025</t>
        </is>
      </c>
      <c r="B26" s="2" t="inlineStr">
        <is>
          <t>TXN_001632</t>
        </is>
      </c>
      <c r="C26" s="2" t="inlineStr">
        <is>
          <t>Structuring</t>
        </is>
      </c>
      <c r="D26" s="2" t="inlineStr">
        <is>
          <t>2026-02-10</t>
        </is>
      </c>
      <c r="E26" s="2" t="inlineStr">
        <is>
          <t>Open</t>
        </is>
      </c>
      <c r="F26" s="2" t="inlineStr"/>
    </row>
    <row r="27">
      <c r="A27" s="4" t="inlineStr">
        <is>
          <t>ALT_00026</t>
        </is>
      </c>
      <c r="B27" s="4" t="inlineStr">
        <is>
          <t>TXN_001691</t>
        </is>
      </c>
      <c r="C27" s="4" t="inlineStr">
        <is>
          <t>Structuring</t>
        </is>
      </c>
      <c r="D27" s="4" t="inlineStr">
        <is>
          <t>2026-02-11</t>
        </is>
      </c>
      <c r="E27" s="4" t="inlineStr">
        <is>
          <t>Open</t>
        </is>
      </c>
      <c r="F27" s="4" t="inlineStr"/>
    </row>
    <row r="28">
      <c r="A28" s="2" t="inlineStr">
        <is>
          <t>ALT_00027</t>
        </is>
      </c>
      <c r="B28" s="2" t="inlineStr">
        <is>
          <t>TXN_001633</t>
        </is>
      </c>
      <c r="C28" s="2" t="inlineStr">
        <is>
          <t>Structuring</t>
        </is>
      </c>
      <c r="D28" s="2" t="inlineStr">
        <is>
          <t>2026-02-11</t>
        </is>
      </c>
      <c r="E28" s="2" t="inlineStr">
        <is>
          <t>Closed</t>
        </is>
      </c>
      <c r="F28" s="2" t="inlineStr">
        <is>
          <t>1</t>
        </is>
      </c>
    </row>
    <row r="29">
      <c r="A29" s="4" t="inlineStr">
        <is>
          <t>ALT_00028</t>
        </is>
      </c>
      <c r="B29" s="4" t="inlineStr">
        <is>
          <t>TXN_001683</t>
        </is>
      </c>
      <c r="C29" s="4" t="inlineStr">
        <is>
          <t>Structuring</t>
        </is>
      </c>
      <c r="D29" s="4" t="inlineStr">
        <is>
          <t>2026-02-11</t>
        </is>
      </c>
      <c r="E29" s="4" t="inlineStr">
        <is>
          <t>Closed</t>
        </is>
      </c>
      <c r="F29" s="4" t="inlineStr">
        <is>
          <t>1</t>
        </is>
      </c>
    </row>
    <row r="30">
      <c r="A30" s="2" t="inlineStr">
        <is>
          <t>ALT_00029</t>
        </is>
      </c>
      <c r="B30" s="2" t="inlineStr">
        <is>
          <t>TXN_001680</t>
        </is>
      </c>
      <c r="C30" s="2" t="inlineStr">
        <is>
          <t>Structuring</t>
        </is>
      </c>
      <c r="D30" s="2" t="inlineStr">
        <is>
          <t>2026-02-11</t>
        </is>
      </c>
      <c r="E30" s="2" t="inlineStr">
        <is>
          <t>Closed</t>
        </is>
      </c>
      <c r="F30" s="2" t="inlineStr">
        <is>
          <t>2</t>
        </is>
      </c>
    </row>
    <row r="31">
      <c r="A31" s="4" t="inlineStr">
        <is>
          <t>ALT_00030</t>
        </is>
      </c>
      <c r="B31" s="4" t="inlineStr">
        <is>
          <t>TXN_001646</t>
        </is>
      </c>
      <c r="C31" s="4" t="inlineStr">
        <is>
          <t>Structuring</t>
        </is>
      </c>
      <c r="D31" s="4" t="inlineStr">
        <is>
          <t>2026-02-11</t>
        </is>
      </c>
      <c r="E31" s="4" t="inlineStr">
        <is>
          <t>Closed</t>
        </is>
      </c>
      <c r="F31" s="4" t="inlineStr">
        <is>
          <t>3</t>
        </is>
      </c>
    </row>
    <row r="32">
      <c r="A32" s="2" t="inlineStr">
        <is>
          <t>ALT_00031</t>
        </is>
      </c>
      <c r="B32" s="2" t="inlineStr">
        <is>
          <t>TXN_001702</t>
        </is>
      </c>
      <c r="C32" s="2" t="inlineStr">
        <is>
          <t>Structuring</t>
        </is>
      </c>
      <c r="D32" s="2" t="inlineStr">
        <is>
          <t>2026-02-11</t>
        </is>
      </c>
      <c r="E32" s="2" t="inlineStr">
        <is>
          <t>Open</t>
        </is>
      </c>
      <c r="F32" s="2" t="inlineStr"/>
    </row>
    <row r="33">
      <c r="A33" s="4" t="inlineStr">
        <is>
          <t>ALT_00032</t>
        </is>
      </c>
      <c r="B33" s="4" t="inlineStr">
        <is>
          <t>TXN_001654</t>
        </is>
      </c>
      <c r="C33" s="4" t="inlineStr">
        <is>
          <t>Structuring</t>
        </is>
      </c>
      <c r="D33" s="4" t="inlineStr">
        <is>
          <t>2026-02-11</t>
        </is>
      </c>
      <c r="E33" s="4" t="inlineStr">
        <is>
          <t>Closed</t>
        </is>
      </c>
      <c r="F33" s="4" t="inlineStr">
        <is>
          <t>2</t>
        </is>
      </c>
    </row>
    <row r="34">
      <c r="A34" s="2" t="inlineStr">
        <is>
          <t>ALT_00033</t>
        </is>
      </c>
      <c r="B34" s="2" t="inlineStr">
        <is>
          <t>TXN_001656</t>
        </is>
      </c>
      <c r="C34" s="2" t="inlineStr">
        <is>
          <t>Structuring</t>
        </is>
      </c>
      <c r="D34" s="2" t="inlineStr">
        <is>
          <t>2026-02-11</t>
        </is>
      </c>
      <c r="E34" s="2" t="inlineStr">
        <is>
          <t>Closed</t>
        </is>
      </c>
      <c r="F34" s="2" t="inlineStr">
        <is>
          <t>1</t>
        </is>
      </c>
    </row>
    <row r="35">
      <c r="A35" s="4" t="inlineStr">
        <is>
          <t>ALT_00034</t>
        </is>
      </c>
      <c r="B35" s="4" t="inlineStr">
        <is>
          <t>TXN_001681</t>
        </is>
      </c>
      <c r="C35" s="4" t="inlineStr">
        <is>
          <t>Structuring</t>
        </is>
      </c>
      <c r="D35" s="4" t="inlineStr">
        <is>
          <t>2026-02-11</t>
        </is>
      </c>
      <c r="E35" s="4" t="inlineStr">
        <is>
          <t>Open</t>
        </is>
      </c>
      <c r="F35" s="4" t="inlineStr"/>
    </row>
    <row r="36">
      <c r="A36" s="2" t="inlineStr">
        <is>
          <t>ALT_00035</t>
        </is>
      </c>
      <c r="B36" s="2" t="inlineStr">
        <is>
          <t>TXN_001685</t>
        </is>
      </c>
      <c r="C36" s="2" t="inlineStr">
        <is>
          <t>Structuring</t>
        </is>
      </c>
      <c r="D36" s="2" t="inlineStr">
        <is>
          <t>2026-02-11</t>
        </is>
      </c>
      <c r="E36" s="2" t="inlineStr">
        <is>
          <t>Open</t>
        </is>
      </c>
      <c r="F36" s="2" t="inlineStr"/>
    </row>
    <row r="37">
      <c r="A37" s="4" t="inlineStr">
        <is>
          <t>ALT_00036</t>
        </is>
      </c>
      <c r="B37" s="4" t="inlineStr">
        <is>
          <t>TXN_001638</t>
        </is>
      </c>
      <c r="C37" s="4" t="inlineStr">
        <is>
          <t>Structuring</t>
        </is>
      </c>
      <c r="D37" s="4" t="inlineStr">
        <is>
          <t>2026-02-12</t>
        </is>
      </c>
      <c r="E37" s="4" t="inlineStr">
        <is>
          <t>Closed</t>
        </is>
      </c>
      <c r="F37" s="4" t="inlineStr">
        <is>
          <t>3</t>
        </is>
      </c>
    </row>
    <row r="38">
      <c r="A38" s="2" t="inlineStr">
        <is>
          <t>ALT_00037</t>
        </is>
      </c>
      <c r="B38" s="2" t="inlineStr">
        <is>
          <t>TXN_001642</t>
        </is>
      </c>
      <c r="C38" s="2" t="inlineStr">
        <is>
          <t>Structuring</t>
        </is>
      </c>
      <c r="D38" s="2" t="inlineStr">
        <is>
          <t>2026-02-12</t>
        </is>
      </c>
      <c r="E38" s="2" t="inlineStr">
        <is>
          <t>Closed</t>
        </is>
      </c>
      <c r="F38" s="2" t="inlineStr">
        <is>
          <t>3</t>
        </is>
      </c>
    </row>
    <row r="39">
      <c r="A39" s="4" t="inlineStr">
        <is>
          <t>ALT_00038</t>
        </is>
      </c>
      <c r="B39" s="4" t="inlineStr">
        <is>
          <t>TXN_001649</t>
        </is>
      </c>
      <c r="C39" s="4" t="inlineStr">
        <is>
          <t>Structuring</t>
        </is>
      </c>
      <c r="D39" s="4" t="inlineStr">
        <is>
          <t>2026-02-12</t>
        </is>
      </c>
      <c r="E39" s="4" t="inlineStr">
        <is>
          <t>Open</t>
        </is>
      </c>
      <c r="F39" s="4" t="inlineStr"/>
    </row>
    <row r="40">
      <c r="A40" s="2" t="inlineStr">
        <is>
          <t>ALT_00039</t>
        </is>
      </c>
      <c r="B40" s="2" t="inlineStr">
        <is>
          <t>TXN_001650</t>
        </is>
      </c>
      <c r="C40" s="2" t="inlineStr">
        <is>
          <t>Structuring</t>
        </is>
      </c>
      <c r="D40" s="2" t="inlineStr">
        <is>
          <t>2026-02-12</t>
        </is>
      </c>
      <c r="E40" s="2" t="inlineStr">
        <is>
          <t>Closed</t>
        </is>
      </c>
      <c r="F40" s="2" t="inlineStr">
        <is>
          <t>2</t>
        </is>
      </c>
    </row>
    <row r="41">
      <c r="A41" s="4" t="inlineStr">
        <is>
          <t>ALT_00040</t>
        </is>
      </c>
      <c r="B41" s="4" t="inlineStr">
        <is>
          <t>TXN_001631</t>
        </is>
      </c>
      <c r="C41" s="4" t="inlineStr">
        <is>
          <t>Structuring</t>
        </is>
      </c>
      <c r="D41" s="4" t="inlineStr">
        <is>
          <t>2026-02-12</t>
        </is>
      </c>
      <c r="E41" s="4" t="inlineStr">
        <is>
          <t>Closed</t>
        </is>
      </c>
      <c r="F41" s="4" t="inlineStr">
        <is>
          <t>1</t>
        </is>
      </c>
    </row>
    <row r="42">
      <c r="A42" s="2" t="inlineStr">
        <is>
          <t>ALT_00041</t>
        </is>
      </c>
      <c r="B42" s="2" t="inlineStr">
        <is>
          <t>TXN_001634</t>
        </is>
      </c>
      <c r="C42" s="2" t="inlineStr">
        <is>
          <t>Structuring</t>
        </is>
      </c>
      <c r="D42" s="2" t="inlineStr">
        <is>
          <t>2026-02-12</t>
        </is>
      </c>
      <c r="E42" s="2" t="inlineStr">
        <is>
          <t>Closed</t>
        </is>
      </c>
      <c r="F42" s="2" t="inlineStr">
        <is>
          <t>3</t>
        </is>
      </c>
    </row>
    <row r="43">
      <c r="A43" s="4" t="inlineStr">
        <is>
          <t>ALT_00042</t>
        </is>
      </c>
      <c r="B43" s="4" t="inlineStr">
        <is>
          <t>TXN_001712</t>
        </is>
      </c>
      <c r="C43" s="4" t="inlineStr">
        <is>
          <t>Structuring</t>
        </is>
      </c>
      <c r="D43" s="4" t="inlineStr">
        <is>
          <t>2026-02-12</t>
        </is>
      </c>
      <c r="E43" s="4" t="inlineStr">
        <is>
          <t>Closed</t>
        </is>
      </c>
      <c r="F43" s="4" t="inlineStr">
        <is>
          <t>2</t>
        </is>
      </c>
    </row>
    <row r="44">
      <c r="A44" s="2" t="inlineStr">
        <is>
          <t>ALT_00043</t>
        </is>
      </c>
      <c r="B44" s="2" t="inlineStr">
        <is>
          <t>TXN_001700</t>
        </is>
      </c>
      <c r="C44" s="2" t="inlineStr">
        <is>
          <t>Structuring</t>
        </is>
      </c>
      <c r="D44" s="2" t="inlineStr">
        <is>
          <t>2026-02-12</t>
        </is>
      </c>
      <c r="E44" s="2" t="inlineStr">
        <is>
          <t>Open</t>
        </is>
      </c>
      <c r="F44" s="2" t="inlineStr"/>
    </row>
    <row r="45">
      <c r="A45" s="4" t="inlineStr">
        <is>
          <t>ALT_00044</t>
        </is>
      </c>
      <c r="B45" s="4" t="inlineStr">
        <is>
          <t>TXN_001713</t>
        </is>
      </c>
      <c r="C45" s="4" t="inlineStr">
        <is>
          <t>Structuring</t>
        </is>
      </c>
      <c r="D45" s="4" t="inlineStr">
        <is>
          <t>2026-02-12</t>
        </is>
      </c>
      <c r="E45" s="4" t="inlineStr">
        <is>
          <t>Open</t>
        </is>
      </c>
      <c r="F45" s="4" t="inlineStr"/>
    </row>
    <row r="46">
      <c r="A46" s="2" t="inlineStr">
        <is>
          <t>ALT_00045</t>
        </is>
      </c>
      <c r="B46" s="2" t="inlineStr">
        <is>
          <t>TXN_001674</t>
        </is>
      </c>
      <c r="C46" s="2" t="inlineStr">
        <is>
          <t>Structuring</t>
        </is>
      </c>
      <c r="D46" s="2" t="inlineStr">
        <is>
          <t>2026-02-12</t>
        </is>
      </c>
      <c r="E46" s="2" t="inlineStr">
        <is>
          <t>Closed</t>
        </is>
      </c>
      <c r="F46" s="2" t="inlineStr">
        <is>
          <t>2</t>
        </is>
      </c>
    </row>
    <row r="47">
      <c r="A47" s="4" t="inlineStr">
        <is>
          <t>ALT_00046</t>
        </is>
      </c>
      <c r="B47" s="4" t="inlineStr">
        <is>
          <t>TXN_001695</t>
        </is>
      </c>
      <c r="C47" s="4" t="inlineStr">
        <is>
          <t>Structuring</t>
        </is>
      </c>
      <c r="D47" s="4" t="inlineStr">
        <is>
          <t>2026-02-12</t>
        </is>
      </c>
      <c r="E47" s="4" t="inlineStr">
        <is>
          <t>Closed</t>
        </is>
      </c>
      <c r="F47" s="4" t="inlineStr">
        <is>
          <t>2</t>
        </is>
      </c>
    </row>
    <row r="48">
      <c r="A48" s="2" t="inlineStr">
        <is>
          <t>ALT_00047</t>
        </is>
      </c>
      <c r="B48" s="2" t="inlineStr">
        <is>
          <t>TXN_001726</t>
        </is>
      </c>
      <c r="C48" s="2" t="inlineStr">
        <is>
          <t>Structuring</t>
        </is>
      </c>
      <c r="D48" s="2" t="inlineStr">
        <is>
          <t>2026-02-12</t>
        </is>
      </c>
      <c r="E48" s="2" t="inlineStr">
        <is>
          <t>Closed</t>
        </is>
      </c>
      <c r="F48" s="2" t="inlineStr">
        <is>
          <t>2</t>
        </is>
      </c>
    </row>
    <row r="49">
      <c r="A49" s="4" t="inlineStr">
        <is>
          <t>ALT_00048</t>
        </is>
      </c>
      <c r="B49" s="4" t="inlineStr">
        <is>
          <t>TXN_001723</t>
        </is>
      </c>
      <c r="C49" s="4" t="inlineStr">
        <is>
          <t>Structuring</t>
        </is>
      </c>
      <c r="D49" s="4" t="inlineStr">
        <is>
          <t>2026-02-12</t>
        </is>
      </c>
      <c r="E49" s="4" t="inlineStr">
        <is>
          <t>Closed</t>
        </is>
      </c>
      <c r="F49" s="4" t="inlineStr">
        <is>
          <t>3</t>
        </is>
      </c>
    </row>
    <row r="50">
      <c r="A50" s="2" t="inlineStr">
        <is>
          <t>ALT_00049</t>
        </is>
      </c>
      <c r="B50" s="2" t="inlineStr">
        <is>
          <t>TXN_001688</t>
        </is>
      </c>
      <c r="C50" s="2" t="inlineStr">
        <is>
          <t>Structuring</t>
        </is>
      </c>
      <c r="D50" s="2" t="inlineStr">
        <is>
          <t>2026-02-12</t>
        </is>
      </c>
      <c r="E50" s="2" t="inlineStr">
        <is>
          <t>Closed</t>
        </is>
      </c>
      <c r="F50" s="2" t="inlineStr">
        <is>
          <t>3</t>
        </is>
      </c>
    </row>
    <row r="51">
      <c r="A51" s="4" t="inlineStr">
        <is>
          <t>ALT_00050</t>
        </is>
      </c>
      <c r="B51" s="4" t="inlineStr">
        <is>
          <t>TXN_001637</t>
        </is>
      </c>
      <c r="C51" s="4" t="inlineStr">
        <is>
          <t>Structuring</t>
        </is>
      </c>
      <c r="D51" s="4" t="inlineStr">
        <is>
          <t>2026-02-13</t>
        </is>
      </c>
      <c r="E51" s="4" t="inlineStr">
        <is>
          <t>Closed</t>
        </is>
      </c>
      <c r="F51" s="4" t="inlineStr">
        <is>
          <t>3</t>
        </is>
      </c>
    </row>
    <row r="52">
      <c r="A52" s="2" t="inlineStr">
        <is>
          <t>ALT_00051</t>
        </is>
      </c>
      <c r="B52" s="2" t="inlineStr">
        <is>
          <t>TXN_001639</t>
        </is>
      </c>
      <c r="C52" s="2" t="inlineStr">
        <is>
          <t>Structuring</t>
        </is>
      </c>
      <c r="D52" s="2" t="inlineStr">
        <is>
          <t>2026-02-13</t>
        </is>
      </c>
      <c r="E52" s="2" t="inlineStr">
        <is>
          <t>Closed</t>
        </is>
      </c>
      <c r="F52" s="2" t="inlineStr">
        <is>
          <t>3</t>
        </is>
      </c>
    </row>
    <row r="53">
      <c r="A53" s="4" t="inlineStr">
        <is>
          <t>ALT_00052</t>
        </is>
      </c>
      <c r="B53" s="4" t="inlineStr">
        <is>
          <t>TXN_001640</t>
        </is>
      </c>
      <c r="C53" s="4" t="inlineStr">
        <is>
          <t>Structuring</t>
        </is>
      </c>
      <c r="D53" s="4" t="inlineStr">
        <is>
          <t>2026-02-13</t>
        </is>
      </c>
      <c r="E53" s="4" t="inlineStr">
        <is>
          <t>Open</t>
        </is>
      </c>
      <c r="F53" s="4" t="inlineStr"/>
    </row>
    <row r="54">
      <c r="A54" s="2" t="inlineStr">
        <is>
          <t>ALT_00053</t>
        </is>
      </c>
      <c r="B54" s="2" t="inlineStr">
        <is>
          <t>TXN_001682</t>
        </is>
      </c>
      <c r="C54" s="2" t="inlineStr">
        <is>
          <t>Structuring</t>
        </is>
      </c>
      <c r="D54" s="2" t="inlineStr">
        <is>
          <t>2026-02-13</t>
        </is>
      </c>
      <c r="E54" s="2" t="inlineStr">
        <is>
          <t>Closed</t>
        </is>
      </c>
      <c r="F54" s="2" t="inlineStr">
        <is>
          <t>2</t>
        </is>
      </c>
    </row>
    <row r="55">
      <c r="A55" s="4" t="inlineStr">
        <is>
          <t>ALT_00054</t>
        </is>
      </c>
      <c r="B55" s="4" t="inlineStr">
        <is>
          <t>TXN_001645</t>
        </is>
      </c>
      <c r="C55" s="4" t="inlineStr">
        <is>
          <t>Structuring</t>
        </is>
      </c>
      <c r="D55" s="4" t="inlineStr">
        <is>
          <t>2026-02-13</t>
        </is>
      </c>
      <c r="E55" s="4" t="inlineStr">
        <is>
          <t>Closed</t>
        </is>
      </c>
      <c r="F55" s="4" t="inlineStr">
        <is>
          <t>1</t>
        </is>
      </c>
    </row>
    <row r="56">
      <c r="A56" s="2" t="inlineStr">
        <is>
          <t>ALT_00055</t>
        </is>
      </c>
      <c r="B56" s="2" t="inlineStr">
        <is>
          <t>TXN_001652</t>
        </is>
      </c>
      <c r="C56" s="2" t="inlineStr">
        <is>
          <t>Structuring</t>
        </is>
      </c>
      <c r="D56" s="2" t="inlineStr">
        <is>
          <t>2026-02-13</t>
        </is>
      </c>
      <c r="E56" s="2" t="inlineStr">
        <is>
          <t>Open</t>
        </is>
      </c>
      <c r="F56" s="2" t="inlineStr"/>
    </row>
    <row r="57">
      <c r="A57" s="4" t="inlineStr">
        <is>
          <t>ALT_00056</t>
        </is>
      </c>
      <c r="B57" s="4" t="inlineStr">
        <is>
          <t>TXN_001653</t>
        </is>
      </c>
      <c r="C57" s="4" t="inlineStr">
        <is>
          <t>Structuring</t>
        </is>
      </c>
      <c r="D57" s="4" t="inlineStr">
        <is>
          <t>2026-02-13</t>
        </is>
      </c>
      <c r="E57" s="4" t="inlineStr">
        <is>
          <t>Open</t>
        </is>
      </c>
      <c r="F57" s="4" t="inlineStr"/>
    </row>
    <row r="58">
      <c r="A58" s="2" t="inlineStr">
        <is>
          <t>ALT_00057</t>
        </is>
      </c>
      <c r="B58" s="2" t="inlineStr">
        <is>
          <t>TXN_001658</t>
        </is>
      </c>
      <c r="C58" s="2" t="inlineStr">
        <is>
          <t>Structuring</t>
        </is>
      </c>
      <c r="D58" s="2" t="inlineStr">
        <is>
          <t>2026-02-13</t>
        </is>
      </c>
      <c r="E58" s="2" t="inlineStr">
        <is>
          <t>Closed</t>
        </is>
      </c>
      <c r="F58" s="2" t="inlineStr">
        <is>
          <t>3</t>
        </is>
      </c>
    </row>
    <row r="59">
      <c r="A59" s="4" t="inlineStr">
        <is>
          <t>ALT_00058</t>
        </is>
      </c>
      <c r="B59" s="4" t="inlineStr">
        <is>
          <t>TXN_001661</t>
        </is>
      </c>
      <c r="C59" s="4" t="inlineStr">
        <is>
          <t>Structuring</t>
        </is>
      </c>
      <c r="D59" s="4" t="inlineStr">
        <is>
          <t>2026-02-13</t>
        </is>
      </c>
      <c r="E59" s="4" t="inlineStr">
        <is>
          <t>Closed</t>
        </is>
      </c>
      <c r="F59" s="4" t="inlineStr">
        <is>
          <t>2</t>
        </is>
      </c>
    </row>
    <row r="60">
      <c r="A60" s="2" t="inlineStr">
        <is>
          <t>ALT_00059</t>
        </is>
      </c>
      <c r="B60" s="2" t="inlineStr">
        <is>
          <t>TXN_001673</t>
        </is>
      </c>
      <c r="C60" s="2" t="inlineStr">
        <is>
          <t>Structuring</t>
        </is>
      </c>
      <c r="D60" s="2" t="inlineStr">
        <is>
          <t>2026-02-13</t>
        </is>
      </c>
      <c r="E60" s="2" t="inlineStr">
        <is>
          <t>Closed</t>
        </is>
      </c>
      <c r="F60" s="2" t="inlineStr">
        <is>
          <t>2</t>
        </is>
      </c>
    </row>
    <row r="61">
      <c r="A61" s="4" t="inlineStr">
        <is>
          <t>ALT_00060</t>
        </is>
      </c>
      <c r="B61" s="4" t="inlineStr">
        <is>
          <t>TXN_001664</t>
        </is>
      </c>
      <c r="C61" s="4" t="inlineStr">
        <is>
          <t>Structuring</t>
        </is>
      </c>
      <c r="D61" s="4" t="inlineStr">
        <is>
          <t>2026-02-13</t>
        </is>
      </c>
      <c r="E61" s="4" t="inlineStr">
        <is>
          <t>Closed</t>
        </is>
      </c>
      <c r="F61" s="4" t="inlineStr">
        <is>
          <t>2</t>
        </is>
      </c>
    </row>
    <row r="62">
      <c r="A62" s="2" t="inlineStr">
        <is>
          <t>ALT_00061</t>
        </is>
      </c>
      <c r="B62" s="2" t="inlineStr">
        <is>
          <t>TXN_001644</t>
        </is>
      </c>
      <c r="C62" s="2" t="inlineStr">
        <is>
          <t>Structuring</t>
        </is>
      </c>
      <c r="D62" s="2" t="inlineStr">
        <is>
          <t>2026-02-13</t>
        </is>
      </c>
      <c r="E62" s="2" t="inlineStr">
        <is>
          <t>Closed</t>
        </is>
      </c>
      <c r="F62" s="2" t="inlineStr">
        <is>
          <t>1</t>
        </is>
      </c>
    </row>
    <row r="63">
      <c r="A63" s="4" t="inlineStr">
        <is>
          <t>ALT_00062</t>
        </is>
      </c>
      <c r="B63" s="4" t="inlineStr">
        <is>
          <t>TXN_001711</t>
        </is>
      </c>
      <c r="C63" s="4" t="inlineStr">
        <is>
          <t>Structuring</t>
        </is>
      </c>
      <c r="D63" s="4" t="inlineStr">
        <is>
          <t>2026-02-13</t>
        </is>
      </c>
      <c r="E63" s="4" t="inlineStr">
        <is>
          <t>Closed</t>
        </is>
      </c>
      <c r="F63" s="4" t="inlineStr">
        <is>
          <t>3</t>
        </is>
      </c>
    </row>
    <row r="64">
      <c r="A64" s="2" t="inlineStr">
        <is>
          <t>ALT_00063</t>
        </is>
      </c>
      <c r="B64" s="2" t="inlineStr">
        <is>
          <t>TXN_001689</t>
        </is>
      </c>
      <c r="C64" s="2" t="inlineStr">
        <is>
          <t>Structuring</t>
        </is>
      </c>
      <c r="D64" s="2" t="inlineStr">
        <is>
          <t>2026-02-14</t>
        </is>
      </c>
      <c r="E64" s="2" t="inlineStr">
        <is>
          <t>Closed</t>
        </is>
      </c>
      <c r="F64" s="2" t="inlineStr">
        <is>
          <t>2</t>
        </is>
      </c>
    </row>
    <row r="65">
      <c r="A65" s="4" t="inlineStr">
        <is>
          <t>ALT_00064</t>
        </is>
      </c>
      <c r="B65" s="4" t="inlineStr">
        <is>
          <t>TXN_001687</t>
        </is>
      </c>
      <c r="C65" s="4" t="inlineStr">
        <is>
          <t>Structuring</t>
        </is>
      </c>
      <c r="D65" s="4" t="inlineStr">
        <is>
          <t>2026-02-14</t>
        </is>
      </c>
      <c r="E65" s="4" t="inlineStr">
        <is>
          <t>Closed</t>
        </is>
      </c>
      <c r="F65" s="4" t="inlineStr">
        <is>
          <t>2</t>
        </is>
      </c>
    </row>
    <row r="66">
      <c r="A66" s="2" t="inlineStr">
        <is>
          <t>ALT_00065</t>
        </is>
      </c>
      <c r="B66" s="2" t="inlineStr">
        <is>
          <t>TXN_001675</t>
        </is>
      </c>
      <c r="C66" s="2" t="inlineStr">
        <is>
          <t>Structuring</t>
        </is>
      </c>
      <c r="D66" s="2" t="inlineStr">
        <is>
          <t>2026-02-14</t>
        </is>
      </c>
      <c r="E66" s="2" t="inlineStr">
        <is>
          <t>Closed</t>
        </is>
      </c>
      <c r="F66" s="2" t="inlineStr">
        <is>
          <t>3</t>
        </is>
      </c>
    </row>
    <row r="67">
      <c r="A67" s="4" t="inlineStr">
        <is>
          <t>ALT_00066</t>
        </is>
      </c>
      <c r="B67" s="4" t="inlineStr">
        <is>
          <t>TXN_001668</t>
        </is>
      </c>
      <c r="C67" s="4" t="inlineStr">
        <is>
          <t>Structuring</t>
        </is>
      </c>
      <c r="D67" s="4" t="inlineStr">
        <is>
          <t>2026-02-14</t>
        </is>
      </c>
      <c r="E67" s="4" t="inlineStr">
        <is>
          <t>Open</t>
        </is>
      </c>
      <c r="F67" s="4" t="inlineStr"/>
    </row>
    <row r="68">
      <c r="A68" s="2" t="inlineStr">
        <is>
          <t>ALT_00067</t>
        </is>
      </c>
      <c r="B68" s="2" t="inlineStr">
        <is>
          <t>TXN_001703</t>
        </is>
      </c>
      <c r="C68" s="2" t="inlineStr">
        <is>
          <t>Structuring</t>
        </is>
      </c>
      <c r="D68" s="2" t="inlineStr">
        <is>
          <t>2026-02-14</t>
        </is>
      </c>
      <c r="E68" s="2" t="inlineStr">
        <is>
          <t>Closed</t>
        </is>
      </c>
      <c r="F68" s="2" t="inlineStr">
        <is>
          <t>1</t>
        </is>
      </c>
    </row>
    <row r="69">
      <c r="A69" s="4" t="inlineStr">
        <is>
          <t>ALT_00068</t>
        </is>
      </c>
      <c r="B69" s="4" t="inlineStr">
        <is>
          <t>TXN_001704</t>
        </is>
      </c>
      <c r="C69" s="4" t="inlineStr">
        <is>
          <t>Structuring</t>
        </is>
      </c>
      <c r="D69" s="4" t="inlineStr">
        <is>
          <t>2026-02-14</t>
        </is>
      </c>
      <c r="E69" s="4" t="inlineStr">
        <is>
          <t>Open</t>
        </is>
      </c>
      <c r="F69" s="4" t="inlineStr"/>
    </row>
    <row r="70">
      <c r="A70" s="2" t="inlineStr">
        <is>
          <t>ALT_00069</t>
        </is>
      </c>
      <c r="B70" s="2" t="inlineStr">
        <is>
          <t>TXN_001666</t>
        </is>
      </c>
      <c r="C70" s="2" t="inlineStr">
        <is>
          <t>Structuring</t>
        </is>
      </c>
      <c r="D70" s="2" t="inlineStr">
        <is>
          <t>2026-02-14</t>
        </is>
      </c>
      <c r="E70" s="2" t="inlineStr">
        <is>
          <t>Closed</t>
        </is>
      </c>
      <c r="F70" s="2" t="inlineStr">
        <is>
          <t>3</t>
        </is>
      </c>
    </row>
    <row r="71">
      <c r="A71" s="4" t="inlineStr">
        <is>
          <t>ALT_00070</t>
        </is>
      </c>
      <c r="B71" s="4" t="inlineStr">
        <is>
          <t>TXN_001718</t>
        </is>
      </c>
      <c r="C71" s="4" t="inlineStr">
        <is>
          <t>Structuring</t>
        </is>
      </c>
      <c r="D71" s="4" t="inlineStr">
        <is>
          <t>2026-02-14</t>
        </is>
      </c>
      <c r="E71" s="4" t="inlineStr">
        <is>
          <t>Open</t>
        </is>
      </c>
      <c r="F71" s="4" t="inlineStr"/>
    </row>
    <row r="72">
      <c r="A72" s="2" t="inlineStr">
        <is>
          <t>ALT_00071</t>
        </is>
      </c>
      <c r="B72" s="2" t="inlineStr">
        <is>
          <t>TXN_001720</t>
        </is>
      </c>
      <c r="C72" s="2" t="inlineStr">
        <is>
          <t>Structuring</t>
        </is>
      </c>
      <c r="D72" s="2" t="inlineStr">
        <is>
          <t>2026-02-14</t>
        </is>
      </c>
      <c r="E72" s="2" t="inlineStr">
        <is>
          <t>Closed</t>
        </is>
      </c>
      <c r="F72" s="2" t="inlineStr">
        <is>
          <t>2</t>
        </is>
      </c>
    </row>
    <row r="73">
      <c r="A73" s="4" t="inlineStr">
        <is>
          <t>ALT_00072</t>
        </is>
      </c>
      <c r="B73" s="4" t="inlineStr">
        <is>
          <t>TXN_001724</t>
        </is>
      </c>
      <c r="C73" s="4" t="inlineStr">
        <is>
          <t>Structuring</t>
        </is>
      </c>
      <c r="D73" s="4" t="inlineStr">
        <is>
          <t>2026-02-14</t>
        </is>
      </c>
      <c r="E73" s="4" t="inlineStr">
        <is>
          <t>Open</t>
        </is>
      </c>
      <c r="F73" s="4" t="inlineStr"/>
    </row>
    <row r="74">
      <c r="A74" s="2" t="inlineStr">
        <is>
          <t>ALT_00073</t>
        </is>
      </c>
      <c r="B74" s="2" t="inlineStr">
        <is>
          <t>TXN_001725</t>
        </is>
      </c>
      <c r="C74" s="2" t="inlineStr">
        <is>
          <t>Structuring</t>
        </is>
      </c>
      <c r="D74" s="2" t="inlineStr">
        <is>
          <t>2026-02-14</t>
        </is>
      </c>
      <c r="E74" s="2" t="inlineStr">
        <is>
          <t>Closed</t>
        </is>
      </c>
      <c r="F74" s="2" t="inlineStr">
        <is>
          <t>3</t>
        </is>
      </c>
    </row>
    <row r="75">
      <c r="A75" s="4" t="inlineStr">
        <is>
          <t>ALT_00074</t>
        </is>
      </c>
      <c r="B75" s="4" t="inlineStr">
        <is>
          <t>TXN_001728</t>
        </is>
      </c>
      <c r="C75" s="4" t="inlineStr">
        <is>
          <t>Structuring</t>
        </is>
      </c>
      <c r="D75" s="4" t="inlineStr">
        <is>
          <t>2026-02-14</t>
        </is>
      </c>
      <c r="E75" s="4" t="inlineStr">
        <is>
          <t>Closed</t>
        </is>
      </c>
      <c r="F75" s="4" t="inlineStr">
        <is>
          <t>3</t>
        </is>
      </c>
    </row>
    <row r="76">
      <c r="A76" s="2" t="inlineStr">
        <is>
          <t>ALT_00075</t>
        </is>
      </c>
      <c r="B76" s="2" t="inlineStr">
        <is>
          <t>TXN_001660</t>
        </is>
      </c>
      <c r="C76" s="2" t="inlineStr">
        <is>
          <t>Structuring</t>
        </is>
      </c>
      <c r="D76" s="2" t="inlineStr">
        <is>
          <t>2026-02-14</t>
        </is>
      </c>
      <c r="E76" s="2" t="inlineStr">
        <is>
          <t>Closed</t>
        </is>
      </c>
      <c r="F76" s="2" t="inlineStr">
        <is>
          <t>3</t>
        </is>
      </c>
    </row>
    <row r="77">
      <c r="A77" s="4" t="inlineStr">
        <is>
          <t>ALT_00076</t>
        </is>
      </c>
      <c r="B77" s="4" t="inlineStr">
        <is>
          <t>TXN_001669</t>
        </is>
      </c>
      <c r="C77" s="4" t="inlineStr">
        <is>
          <t>Structuring</t>
        </is>
      </c>
      <c r="D77" s="4" t="inlineStr">
        <is>
          <t>2026-02-14</t>
        </is>
      </c>
      <c r="E77" s="4" t="inlineStr">
        <is>
          <t>Closed</t>
        </is>
      </c>
      <c r="F77" s="4" t="inlineStr">
        <is>
          <t>2</t>
        </is>
      </c>
    </row>
    <row r="78">
      <c r="A78" s="2" t="inlineStr">
        <is>
          <t>ALT_00077</t>
        </is>
      </c>
      <c r="B78" s="2" t="inlineStr">
        <is>
          <t>TXN_001643</t>
        </is>
      </c>
      <c r="C78" s="2" t="inlineStr">
        <is>
          <t>Structuring</t>
        </is>
      </c>
      <c r="D78" s="2" t="inlineStr">
        <is>
          <t>2026-02-14</t>
        </is>
      </c>
      <c r="E78" s="2" t="inlineStr">
        <is>
          <t>Closed</t>
        </is>
      </c>
      <c r="F78" s="2" t="inlineStr">
        <is>
          <t>3</t>
        </is>
      </c>
    </row>
    <row r="79">
      <c r="A79" s="4" t="inlineStr">
        <is>
          <t>ALT_00078</t>
        </is>
      </c>
      <c r="B79" s="4" t="inlineStr">
        <is>
          <t>TXN_001636</t>
        </is>
      </c>
      <c r="C79" s="4" t="inlineStr">
        <is>
          <t>Structuring</t>
        </is>
      </c>
      <c r="D79" s="4" t="inlineStr">
        <is>
          <t>2026-02-14</t>
        </is>
      </c>
      <c r="E79" s="4" t="inlineStr">
        <is>
          <t>Open</t>
        </is>
      </c>
      <c r="F79" s="4" t="inlineStr"/>
    </row>
    <row r="80">
      <c r="A80" s="2" t="inlineStr">
        <is>
          <t>ALT_00079</t>
        </is>
      </c>
      <c r="B80" s="2" t="inlineStr">
        <is>
          <t>TXN_001648</t>
        </is>
      </c>
      <c r="C80" s="2" t="inlineStr">
        <is>
          <t>Structuring</t>
        </is>
      </c>
      <c r="D80" s="2" t="inlineStr">
        <is>
          <t>2026-02-15</t>
        </is>
      </c>
      <c r="E80" s="2" t="inlineStr">
        <is>
          <t>Open</t>
        </is>
      </c>
      <c r="F80" s="2" t="inlineStr"/>
    </row>
    <row r="81">
      <c r="A81" s="4" t="inlineStr">
        <is>
          <t>ALT_00080</t>
        </is>
      </c>
      <c r="B81" s="4" t="inlineStr">
        <is>
          <t>TXN_001677</t>
        </is>
      </c>
      <c r="C81" s="4" t="inlineStr">
        <is>
          <t>Structuring</t>
        </is>
      </c>
      <c r="D81" s="4" t="inlineStr">
        <is>
          <t>2026-02-15</t>
        </is>
      </c>
      <c r="E81" s="4" t="inlineStr">
        <is>
          <t>Closed</t>
        </is>
      </c>
      <c r="F81" s="4" t="inlineStr">
        <is>
          <t>1</t>
        </is>
      </c>
    </row>
    <row r="82">
      <c r="A82" s="2" t="inlineStr">
        <is>
          <t>ALT_00081</t>
        </is>
      </c>
      <c r="B82" s="2" t="inlineStr">
        <is>
          <t>TXN_001699</t>
        </is>
      </c>
      <c r="C82" s="2" t="inlineStr">
        <is>
          <t>Structuring</t>
        </is>
      </c>
      <c r="D82" s="2" t="inlineStr">
        <is>
          <t>2026-02-15</t>
        </is>
      </c>
      <c r="E82" s="2" t="inlineStr">
        <is>
          <t>Closed</t>
        </is>
      </c>
      <c r="F82" s="2" t="inlineStr">
        <is>
          <t>3</t>
        </is>
      </c>
    </row>
    <row r="83">
      <c r="A83" s="4" t="inlineStr">
        <is>
          <t>ALT_00082</t>
        </is>
      </c>
      <c r="B83" s="4" t="inlineStr">
        <is>
          <t>TXN_001707</t>
        </is>
      </c>
      <c r="C83" s="4" t="inlineStr">
        <is>
          <t>Structuring</t>
        </is>
      </c>
      <c r="D83" s="4" t="inlineStr">
        <is>
          <t>2026-02-15</t>
        </is>
      </c>
      <c r="E83" s="4" t="inlineStr">
        <is>
          <t>Open</t>
        </is>
      </c>
      <c r="F83" s="4" t="inlineStr"/>
    </row>
    <row r="84">
      <c r="A84" s="2" t="inlineStr">
        <is>
          <t>ALT_00083</t>
        </is>
      </c>
      <c r="B84" s="2" t="inlineStr">
        <is>
          <t>TXN_001714</t>
        </is>
      </c>
      <c r="C84" s="2" t="inlineStr">
        <is>
          <t>Structuring</t>
        </is>
      </c>
      <c r="D84" s="2" t="inlineStr">
        <is>
          <t>2026-02-15</t>
        </is>
      </c>
      <c r="E84" s="2" t="inlineStr">
        <is>
          <t>Closed</t>
        </is>
      </c>
      <c r="F84" s="2" t="inlineStr">
        <is>
          <t>3</t>
        </is>
      </c>
    </row>
    <row r="85">
      <c r="A85" s="4" t="inlineStr">
        <is>
          <t>ALT_00084</t>
        </is>
      </c>
      <c r="B85" s="4" t="inlineStr">
        <is>
          <t>TXN_001716</t>
        </is>
      </c>
      <c r="C85" s="4" t="inlineStr">
        <is>
          <t>Structuring</t>
        </is>
      </c>
      <c r="D85" s="4" t="inlineStr">
        <is>
          <t>2026-02-15</t>
        </is>
      </c>
      <c r="E85" s="4" t="inlineStr">
        <is>
          <t>Closed</t>
        </is>
      </c>
      <c r="F85" s="4" t="inlineStr">
        <is>
          <t>2</t>
        </is>
      </c>
    </row>
    <row r="86">
      <c r="A86" s="2" t="inlineStr">
        <is>
          <t>ALT_00085</t>
        </is>
      </c>
      <c r="B86" s="2" t="inlineStr">
        <is>
          <t>TXN_001690</t>
        </is>
      </c>
      <c r="C86" s="2" t="inlineStr">
        <is>
          <t>Structuring</t>
        </is>
      </c>
      <c r="D86" s="2" t="inlineStr">
        <is>
          <t>2026-02-15</t>
        </is>
      </c>
      <c r="E86" s="2" t="inlineStr">
        <is>
          <t>Closed</t>
        </is>
      </c>
      <c r="F86" s="2" t="inlineStr">
        <is>
          <t>2</t>
        </is>
      </c>
    </row>
    <row r="87">
      <c r="A87" s="4" t="inlineStr">
        <is>
          <t>ALT_00086</t>
        </is>
      </c>
      <c r="B87" s="4" t="inlineStr">
        <is>
          <t>TXN_001696</t>
        </is>
      </c>
      <c r="C87" s="4" t="inlineStr">
        <is>
          <t>Structuring</t>
        </is>
      </c>
      <c r="D87" s="4" t="inlineStr">
        <is>
          <t>2026-02-16</t>
        </is>
      </c>
      <c r="E87" s="4" t="inlineStr">
        <is>
          <t>Closed</t>
        </is>
      </c>
      <c r="F87" s="4" t="inlineStr">
        <is>
          <t>3</t>
        </is>
      </c>
    </row>
    <row r="88">
      <c r="A88" s="2" t="inlineStr">
        <is>
          <t>ALT_00087</t>
        </is>
      </c>
      <c r="B88" s="2" t="inlineStr">
        <is>
          <t>TXN_001692</t>
        </is>
      </c>
      <c r="C88" s="2" t="inlineStr">
        <is>
          <t>Structuring</t>
        </is>
      </c>
      <c r="D88" s="2" t="inlineStr">
        <is>
          <t>2026-02-16</t>
        </is>
      </c>
      <c r="E88" s="2" t="inlineStr">
        <is>
          <t>Closed</t>
        </is>
      </c>
      <c r="F88" s="2" t="inlineStr">
        <is>
          <t>3</t>
        </is>
      </c>
    </row>
    <row r="89">
      <c r="A89" s="4" t="inlineStr">
        <is>
          <t>ALT_00088</t>
        </is>
      </c>
      <c r="B89" s="4" t="inlineStr">
        <is>
          <t>TXN_001635</t>
        </is>
      </c>
      <c r="C89" s="4" t="inlineStr">
        <is>
          <t>Structuring</t>
        </is>
      </c>
      <c r="D89" s="4" t="inlineStr">
        <is>
          <t>2026-02-16</t>
        </is>
      </c>
      <c r="E89" s="4" t="inlineStr">
        <is>
          <t>Closed</t>
        </is>
      </c>
      <c r="F89" s="4" t="inlineStr">
        <is>
          <t>2</t>
        </is>
      </c>
    </row>
    <row r="90">
      <c r="A90" s="2" t="inlineStr">
        <is>
          <t>ALT_00089</t>
        </is>
      </c>
      <c r="B90" s="2" t="inlineStr">
        <is>
          <t>TXN_001647</t>
        </is>
      </c>
      <c r="C90" s="2" t="inlineStr">
        <is>
          <t>Structuring</t>
        </is>
      </c>
      <c r="D90" s="2" t="inlineStr">
        <is>
          <t>2026-02-16</t>
        </is>
      </c>
      <c r="E90" s="2" t="inlineStr">
        <is>
          <t>Closed</t>
        </is>
      </c>
      <c r="F90" s="2" t="inlineStr">
        <is>
          <t>2</t>
        </is>
      </c>
    </row>
    <row r="91">
      <c r="A91" s="4" t="inlineStr">
        <is>
          <t>ALT_00090</t>
        </is>
      </c>
      <c r="B91" s="4" t="inlineStr">
        <is>
          <t>TXN_001705</t>
        </is>
      </c>
      <c r="C91" s="4" t="inlineStr">
        <is>
          <t>Structuring</t>
        </is>
      </c>
      <c r="D91" s="4" t="inlineStr">
        <is>
          <t>2026-02-16</t>
        </is>
      </c>
      <c r="E91" s="4" t="inlineStr">
        <is>
          <t>Closed</t>
        </is>
      </c>
      <c r="F91" s="4" t="inlineStr">
        <is>
          <t>2</t>
        </is>
      </c>
    </row>
    <row r="92">
      <c r="A92" s="2" t="inlineStr">
        <is>
          <t>ALT_00091</t>
        </is>
      </c>
      <c r="B92" s="2" t="inlineStr">
        <is>
          <t>TXN_001706</t>
        </is>
      </c>
      <c r="C92" s="2" t="inlineStr">
        <is>
          <t>Structuring</t>
        </is>
      </c>
      <c r="D92" s="2" t="inlineStr">
        <is>
          <t>2026-02-16</t>
        </is>
      </c>
      <c r="E92" s="2" t="inlineStr">
        <is>
          <t>Closed</t>
        </is>
      </c>
      <c r="F92" s="2" t="inlineStr">
        <is>
          <t>1</t>
        </is>
      </c>
    </row>
    <row r="93">
      <c r="A93" s="4" t="inlineStr">
        <is>
          <t>ALT_00092</t>
        </is>
      </c>
      <c r="B93" s="4" t="inlineStr">
        <is>
          <t>TXN_001651</t>
        </is>
      </c>
      <c r="C93" s="4" t="inlineStr">
        <is>
          <t>Structuring</t>
        </is>
      </c>
      <c r="D93" s="4" t="inlineStr">
        <is>
          <t>2026-02-16</t>
        </is>
      </c>
      <c r="E93" s="4" t="inlineStr">
        <is>
          <t>Closed</t>
        </is>
      </c>
      <c r="F93" s="4" t="inlineStr">
        <is>
          <t>1</t>
        </is>
      </c>
    </row>
    <row r="94">
      <c r="A94" s="2" t="inlineStr">
        <is>
          <t>ALT_00093</t>
        </is>
      </c>
      <c r="B94" s="2" t="inlineStr">
        <is>
          <t>TXN_001709</t>
        </is>
      </c>
      <c r="C94" s="2" t="inlineStr">
        <is>
          <t>Structuring</t>
        </is>
      </c>
      <c r="D94" s="2" t="inlineStr">
        <is>
          <t>2026-02-16</t>
        </is>
      </c>
      <c r="E94" s="2" t="inlineStr">
        <is>
          <t>Closed</t>
        </is>
      </c>
      <c r="F94" s="2" t="inlineStr">
        <is>
          <t>1</t>
        </is>
      </c>
    </row>
    <row r="95">
      <c r="A95" s="4" t="inlineStr">
        <is>
          <t>ALT_00094</t>
        </is>
      </c>
      <c r="B95" s="4" t="inlineStr">
        <is>
          <t>TXN_001655</t>
        </is>
      </c>
      <c r="C95" s="4" t="inlineStr">
        <is>
          <t>Structuring</t>
        </is>
      </c>
      <c r="D95" s="4" t="inlineStr">
        <is>
          <t>2026-02-16</t>
        </is>
      </c>
      <c r="E95" s="4" t="inlineStr">
        <is>
          <t>Closed</t>
        </is>
      </c>
      <c r="F95" s="4" t="inlineStr">
        <is>
          <t>2</t>
        </is>
      </c>
    </row>
    <row r="96">
      <c r="A96" s="2" t="inlineStr">
        <is>
          <t>ALT_00095</t>
        </is>
      </c>
      <c r="B96" s="2" t="inlineStr">
        <is>
          <t>TXN_001657</t>
        </is>
      </c>
      <c r="C96" s="2" t="inlineStr">
        <is>
          <t>Structuring</t>
        </is>
      </c>
      <c r="D96" s="2" t="inlineStr">
        <is>
          <t>2026-02-16</t>
        </is>
      </c>
      <c r="E96" s="2" t="inlineStr">
        <is>
          <t>Closed</t>
        </is>
      </c>
      <c r="F96" s="2" t="inlineStr">
        <is>
          <t>3</t>
        </is>
      </c>
    </row>
    <row r="97">
      <c r="A97" s="4" t="inlineStr">
        <is>
          <t>ALT_00096</t>
        </is>
      </c>
      <c r="B97" s="4" t="inlineStr">
        <is>
          <t>TXN_001659</t>
        </is>
      </c>
      <c r="C97" s="4" t="inlineStr">
        <is>
          <t>Structuring</t>
        </is>
      </c>
      <c r="D97" s="4" t="inlineStr">
        <is>
          <t>2026-02-16</t>
        </is>
      </c>
      <c r="E97" s="4" t="inlineStr">
        <is>
          <t>Closed</t>
        </is>
      </c>
      <c r="F97" s="4" t="inlineStr">
        <is>
          <t>2</t>
        </is>
      </c>
    </row>
    <row r="98">
      <c r="A98" s="2" t="inlineStr">
        <is>
          <t>ALT_00097</t>
        </is>
      </c>
      <c r="B98" s="2" t="inlineStr">
        <is>
          <t>TXN_001671</t>
        </is>
      </c>
      <c r="C98" s="2" t="inlineStr">
        <is>
          <t>Structuring</t>
        </is>
      </c>
      <c r="D98" s="2" t="inlineStr">
        <is>
          <t>2026-02-16</t>
        </is>
      </c>
      <c r="E98" s="2" t="inlineStr">
        <is>
          <t>Open</t>
        </is>
      </c>
      <c r="F98" s="2" t="inlineStr"/>
    </row>
    <row r="99">
      <c r="A99" s="4" t="inlineStr">
        <is>
          <t>ALT_00098</t>
        </is>
      </c>
      <c r="B99" s="4" t="inlineStr">
        <is>
          <t>TXN_001722</t>
        </is>
      </c>
      <c r="C99" s="4" t="inlineStr">
        <is>
          <t>Structuring</t>
        </is>
      </c>
      <c r="D99" s="4" t="inlineStr">
        <is>
          <t>2026-02-16</t>
        </is>
      </c>
      <c r="E99" s="4" t="inlineStr">
        <is>
          <t>Closed</t>
        </is>
      </c>
      <c r="F99" s="4" t="inlineStr">
        <is>
          <t>1</t>
        </is>
      </c>
    </row>
    <row r="100">
      <c r="A100" s="2" t="inlineStr">
        <is>
          <t>ALT_00099</t>
        </is>
      </c>
      <c r="B100" s="2" t="inlineStr">
        <is>
          <t>TXN_001694</t>
        </is>
      </c>
      <c r="C100" s="2" t="inlineStr">
        <is>
          <t>Structuring</t>
        </is>
      </c>
      <c r="D100" s="2" t="inlineStr">
        <is>
          <t>2026-02-16</t>
        </is>
      </c>
      <c r="E100" s="2" t="inlineStr">
        <is>
          <t>Closed</t>
        </is>
      </c>
      <c r="F100" s="2" t="inlineStr">
        <is>
          <t>2</t>
        </is>
      </c>
    </row>
    <row r="101">
      <c r="A101" s="4" t="inlineStr">
        <is>
          <t>ALT_00100</t>
        </is>
      </c>
      <c r="B101" s="4" t="inlineStr">
        <is>
          <t>TXN_000333</t>
        </is>
      </c>
      <c r="C101" s="4" t="inlineStr">
        <is>
          <t>Velocity</t>
        </is>
      </c>
      <c r="D101" s="4" t="inlineStr">
        <is>
          <t>2026-01-27</t>
        </is>
      </c>
      <c r="E101" s="4" t="inlineStr">
        <is>
          <t>Closed</t>
        </is>
      </c>
      <c r="F101" s="4" t="inlineStr">
        <is>
          <t>12</t>
        </is>
      </c>
    </row>
    <row r="102">
      <c r="A102" s="2" t="inlineStr">
        <is>
          <t>ALT_00101</t>
        </is>
      </c>
      <c r="B102" s="2" t="inlineStr">
        <is>
          <t>TXN_001347</t>
        </is>
      </c>
      <c r="C102" s="2" t="inlineStr">
        <is>
          <t>Dormant-Reactivation</t>
        </is>
      </c>
      <c r="D102" s="2" t="inlineStr">
        <is>
          <t>2026-04-11</t>
        </is>
      </c>
      <c r="E102" s="2" t="inlineStr">
        <is>
          <t>Open</t>
        </is>
      </c>
      <c r="F102" s="2" t="inlineStr"/>
    </row>
    <row r="103">
      <c r="A103" s="4" t="inlineStr">
        <is>
          <t>ALT_00102</t>
        </is>
      </c>
      <c r="B103" s="4" t="inlineStr">
        <is>
          <t>TXN_001441</t>
        </is>
      </c>
      <c r="C103" s="4" t="inlineStr">
        <is>
          <t>Velocity</t>
        </is>
      </c>
      <c r="D103" s="4" t="inlineStr">
        <is>
          <t>2026-04-18</t>
        </is>
      </c>
      <c r="E103" s="4" t="inlineStr">
        <is>
          <t>Closed</t>
        </is>
      </c>
      <c r="F103" s="4" t="inlineStr">
        <is>
          <t>5</t>
        </is>
      </c>
    </row>
    <row r="104">
      <c r="A104" s="2" t="inlineStr">
        <is>
          <t>ALT_00103</t>
        </is>
      </c>
      <c r="B104" s="2" t="inlineStr">
        <is>
          <t>TXN_000895</t>
        </is>
      </c>
      <c r="C104" s="2" t="inlineStr">
        <is>
          <t>Round-Amount</t>
        </is>
      </c>
      <c r="D104" s="2" t="inlineStr">
        <is>
          <t>2026-03-10</t>
        </is>
      </c>
      <c r="E104" s="2" t="inlineStr">
        <is>
          <t>Escalated</t>
        </is>
      </c>
      <c r="F104" s="2" t="inlineStr"/>
    </row>
    <row r="105">
      <c r="A105" s="4" t="inlineStr">
        <is>
          <t>ALT_00104</t>
        </is>
      </c>
      <c r="B105" s="4" t="inlineStr">
        <is>
          <t>TXN_000282</t>
        </is>
      </c>
      <c r="C105" s="4" t="inlineStr">
        <is>
          <t>Round-Amount</t>
        </is>
      </c>
      <c r="D105" s="4" t="inlineStr">
        <is>
          <t>2026-01-21</t>
        </is>
      </c>
      <c r="E105" s="4" t="inlineStr">
        <is>
          <t>Closed</t>
        </is>
      </c>
      <c r="F105" s="4" t="inlineStr">
        <is>
          <t>2</t>
        </is>
      </c>
    </row>
    <row r="106">
      <c r="A106" s="2" t="inlineStr">
        <is>
          <t>ALT_00105</t>
        </is>
      </c>
      <c r="B106" s="2" t="inlineStr">
        <is>
          <t>TXN_000416</t>
        </is>
      </c>
      <c r="C106" s="2" t="inlineStr">
        <is>
          <t>High-Risk Country</t>
        </is>
      </c>
      <c r="D106" s="2" t="inlineStr">
        <is>
          <t>2026-02-02</t>
        </is>
      </c>
      <c r="E106" s="2" t="inlineStr">
        <is>
          <t>Closed</t>
        </is>
      </c>
      <c r="F106" s="2" t="inlineStr">
        <is>
          <t>11</t>
        </is>
      </c>
    </row>
    <row r="107">
      <c r="A107" s="4" t="inlineStr">
        <is>
          <t>ALT_00106</t>
        </is>
      </c>
      <c r="B107" s="4" t="inlineStr">
        <is>
          <t>TXN_000318</t>
        </is>
      </c>
      <c r="C107" s="4" t="inlineStr">
        <is>
          <t>Velocity</t>
        </is>
      </c>
      <c r="D107" s="4" t="inlineStr">
        <is>
          <t>2026-01-26</t>
        </is>
      </c>
      <c r="E107" s="4" t="inlineStr">
        <is>
          <t>Open</t>
        </is>
      </c>
      <c r="F107" s="4" t="inlineStr"/>
    </row>
    <row r="108">
      <c r="A108" s="2" t="inlineStr">
        <is>
          <t>ALT_00107</t>
        </is>
      </c>
      <c r="B108" s="2" t="inlineStr">
        <is>
          <t>TXN_000267</t>
        </is>
      </c>
      <c r="C108" s="2" t="inlineStr">
        <is>
          <t>Dormant-Reactivation</t>
        </is>
      </c>
      <c r="D108" s="2" t="inlineStr">
        <is>
          <t>2026-01-21</t>
        </is>
      </c>
      <c r="E108" s="2" t="inlineStr">
        <is>
          <t>Closed</t>
        </is>
      </c>
      <c r="F108" s="2" t="inlineStr">
        <is>
          <t>8</t>
        </is>
      </c>
    </row>
    <row r="109">
      <c r="A109" s="4" t="inlineStr">
        <is>
          <t>ALT_00108</t>
        </is>
      </c>
      <c r="B109" s="4" t="inlineStr">
        <is>
          <t>TXN_000344</t>
        </is>
      </c>
      <c r="C109" s="4" t="inlineStr">
        <is>
          <t>Dormant-Reactivation</t>
        </is>
      </c>
      <c r="D109" s="4" t="inlineStr">
        <is>
          <t>2026-01-28</t>
        </is>
      </c>
      <c r="E109" s="4" t="inlineStr">
        <is>
          <t>Open</t>
        </is>
      </c>
      <c r="F109" s="4" t="inlineStr"/>
    </row>
    <row r="110">
      <c r="A110" s="2" t="inlineStr">
        <is>
          <t>ALT_00109</t>
        </is>
      </c>
      <c r="B110" s="2" t="inlineStr">
        <is>
          <t>TXN_001048</t>
        </is>
      </c>
      <c r="C110" s="2" t="inlineStr">
        <is>
          <t>Dormant-Reactivation</t>
        </is>
      </c>
      <c r="D110" s="2" t="inlineStr">
        <is>
          <t>2026-03-19</t>
        </is>
      </c>
      <c r="E110" s="2" t="inlineStr">
        <is>
          <t>Closed</t>
        </is>
      </c>
      <c r="F110" s="2" t="inlineStr">
        <is>
          <t>4</t>
        </is>
      </c>
    </row>
    <row r="111">
      <c r="A111" s="4" t="inlineStr">
        <is>
          <t>ALT_00110</t>
        </is>
      </c>
      <c r="B111" s="4" t="inlineStr">
        <is>
          <t>TXN_001490</t>
        </is>
      </c>
      <c r="C111" s="4" t="inlineStr">
        <is>
          <t>High-Risk Country</t>
        </is>
      </c>
      <c r="D111" s="4" t="inlineStr">
        <is>
          <t>2026-04-23</t>
        </is>
      </c>
      <c r="E111" s="4" t="inlineStr">
        <is>
          <t>Closed</t>
        </is>
      </c>
      <c r="F111" s="4" t="inlineStr">
        <is>
          <t>8</t>
        </is>
      </c>
    </row>
    <row r="112">
      <c r="A112" s="2" t="inlineStr">
        <is>
          <t>ALT_00111</t>
        </is>
      </c>
      <c r="B112" s="2" t="inlineStr">
        <is>
          <t>TXN_001289</t>
        </is>
      </c>
      <c r="C112" s="2" t="inlineStr">
        <is>
          <t>Velocity</t>
        </is>
      </c>
      <c r="D112" s="2" t="inlineStr">
        <is>
          <t>2026-04-08</t>
        </is>
      </c>
      <c r="E112" s="2" t="inlineStr">
        <is>
          <t>Closed</t>
        </is>
      </c>
      <c r="F112" s="2" t="inlineStr">
        <is>
          <t>8</t>
        </is>
      </c>
    </row>
    <row r="113">
      <c r="A113" s="4" t="inlineStr">
        <is>
          <t>ALT_00112</t>
        </is>
      </c>
      <c r="B113" s="4" t="inlineStr">
        <is>
          <t>TXN_000191</t>
        </is>
      </c>
      <c r="C113" s="4" t="inlineStr">
        <is>
          <t>High-Risk Country</t>
        </is>
      </c>
      <c r="D113" s="4" t="inlineStr">
        <is>
          <t>2026-01-15</t>
        </is>
      </c>
      <c r="E113" s="4" t="inlineStr">
        <is>
          <t>Closed</t>
        </is>
      </c>
      <c r="F113" s="4" t="inlineStr">
        <is>
          <t>13</t>
        </is>
      </c>
    </row>
    <row r="114">
      <c r="A114" s="2" t="inlineStr">
        <is>
          <t>ALT_00113</t>
        </is>
      </c>
      <c r="B114" s="2" t="inlineStr">
        <is>
          <t>TXN_001112</t>
        </is>
      </c>
      <c r="C114" s="2" t="inlineStr">
        <is>
          <t>Velocity</t>
        </is>
      </c>
      <c r="D114" s="2" t="inlineStr">
        <is>
          <t>2026-03-23</t>
        </is>
      </c>
      <c r="E114" s="2" t="inlineStr">
        <is>
          <t>Escalated</t>
        </is>
      </c>
      <c r="F114" s="2" t="inlineStr"/>
    </row>
    <row r="115">
      <c r="A115" s="4" t="inlineStr">
        <is>
          <t>ALT_00114</t>
        </is>
      </c>
      <c r="B115" s="4" t="inlineStr">
        <is>
          <t>TXN_000138</t>
        </is>
      </c>
      <c r="C115" s="4" t="inlineStr">
        <is>
          <t>Dormant-Reactivation</t>
        </is>
      </c>
      <c r="D115" s="4" t="inlineStr">
        <is>
          <t>2026-01-12</t>
        </is>
      </c>
      <c r="E115" s="4" t="inlineStr">
        <is>
          <t>Closed</t>
        </is>
      </c>
      <c r="F115" s="4" t="inlineStr">
        <is>
          <t>10</t>
        </is>
      </c>
    </row>
    <row r="116">
      <c r="A116" s="2" t="inlineStr">
        <is>
          <t>ALT_00115</t>
        </is>
      </c>
      <c r="B116" s="2" t="inlineStr">
        <is>
          <t>TXN_001372</t>
        </is>
      </c>
      <c r="C116" s="2" t="inlineStr">
        <is>
          <t>Dormant-Reactivation</t>
        </is>
      </c>
      <c r="D116" s="2" t="inlineStr">
        <is>
          <t>2026-04-15</t>
        </is>
      </c>
      <c r="E116" s="2" t="inlineStr">
        <is>
          <t>Closed</t>
        </is>
      </c>
      <c r="F116" s="2" t="inlineStr">
        <is>
          <t>11</t>
        </is>
      </c>
    </row>
    <row r="117">
      <c r="A117" s="4" t="inlineStr">
        <is>
          <t>ALT_00116</t>
        </is>
      </c>
      <c r="B117" s="4" t="inlineStr">
        <is>
          <t>TXN_000708</t>
        </is>
      </c>
      <c r="C117" s="4" t="inlineStr">
        <is>
          <t>High-Risk Country</t>
        </is>
      </c>
      <c r="D117" s="4" t="inlineStr">
        <is>
          <t>2026-02-24</t>
        </is>
      </c>
      <c r="E117" s="4" t="inlineStr">
        <is>
          <t>Escalated</t>
        </is>
      </c>
      <c r="F117" s="4" t="inlineStr"/>
    </row>
    <row r="118">
      <c r="A118" s="2" t="inlineStr">
        <is>
          <t>ALT_00117</t>
        </is>
      </c>
      <c r="B118" s="2" t="inlineStr">
        <is>
          <t>TXN_000768</t>
        </is>
      </c>
      <c r="C118" s="2" t="inlineStr">
        <is>
          <t>High-Risk Country</t>
        </is>
      </c>
      <c r="D118" s="2" t="inlineStr">
        <is>
          <t>2026-03-01</t>
        </is>
      </c>
      <c r="E118" s="2" t="inlineStr">
        <is>
          <t>Closed</t>
        </is>
      </c>
      <c r="F118" s="2" t="inlineStr">
        <is>
          <t>10</t>
        </is>
      </c>
    </row>
    <row r="119">
      <c r="A119" s="4" t="inlineStr">
        <is>
          <t>ALT_00118</t>
        </is>
      </c>
      <c r="B119" s="4" t="inlineStr">
        <is>
          <t>TXN_000926</t>
        </is>
      </c>
      <c r="C119" s="4" t="inlineStr">
        <is>
          <t>High-Risk Country</t>
        </is>
      </c>
      <c r="D119" s="4" t="inlineStr">
        <is>
          <t>2026-03-10</t>
        </is>
      </c>
      <c r="E119" s="4" t="inlineStr">
        <is>
          <t>Open</t>
        </is>
      </c>
      <c r="F119" s="4" t="inlineStr"/>
    </row>
    <row r="120">
      <c r="A120" s="2" t="inlineStr">
        <is>
          <t>ALT_00119</t>
        </is>
      </c>
      <c r="B120" s="2" t="inlineStr">
        <is>
          <t>TXN_001627</t>
        </is>
      </c>
      <c r="C120" s="2" t="inlineStr">
        <is>
          <t>Round-Amount</t>
        </is>
      </c>
      <c r="D120" s="2" t="inlineStr">
        <is>
          <t>2026-05-02</t>
        </is>
      </c>
      <c r="E120" s="2" t="inlineStr">
        <is>
          <t>Closed</t>
        </is>
      </c>
      <c r="F120" s="2" t="inlineStr">
        <is>
          <t>11</t>
        </is>
      </c>
    </row>
    <row r="121">
      <c r="A121" s="4" t="inlineStr">
        <is>
          <t>ALT_00120</t>
        </is>
      </c>
      <c r="B121" s="4" t="inlineStr">
        <is>
          <t>TXN_000537</t>
        </is>
      </c>
      <c r="C121" s="4" t="inlineStr">
        <is>
          <t>High-Risk Country</t>
        </is>
      </c>
      <c r="D121" s="4" t="inlineStr">
        <is>
          <t>2026-02-10</t>
        </is>
      </c>
      <c r="E121" s="4" t="inlineStr">
        <is>
          <t>Closed</t>
        </is>
      </c>
      <c r="F121" s="4" t="inlineStr">
        <is>
          <t>14</t>
        </is>
      </c>
    </row>
    <row r="122">
      <c r="A122" s="2" t="inlineStr">
        <is>
          <t>ALT_00121</t>
        </is>
      </c>
      <c r="B122" s="2" t="inlineStr">
        <is>
          <t>TXN_001207</t>
        </is>
      </c>
      <c r="C122" s="2" t="inlineStr">
        <is>
          <t>Round-Amount</t>
        </is>
      </c>
      <c r="D122" s="2" t="inlineStr">
        <is>
          <t>2026-03-30</t>
        </is>
      </c>
      <c r="E122" s="2" t="inlineStr">
        <is>
          <t>Closed</t>
        </is>
      </c>
      <c r="F122" s="2" t="inlineStr">
        <is>
          <t>14</t>
        </is>
      </c>
    </row>
    <row r="123">
      <c r="A123" s="4" t="inlineStr">
        <is>
          <t>ALT_00122</t>
        </is>
      </c>
      <c r="B123" s="4" t="inlineStr">
        <is>
          <t>TXN_000186</t>
        </is>
      </c>
      <c r="C123" s="4" t="inlineStr">
        <is>
          <t>Dormant-Reactivation</t>
        </is>
      </c>
      <c r="D123" s="4" t="inlineStr">
        <is>
          <t>2026-01-16</t>
        </is>
      </c>
      <c r="E123" s="4" t="inlineStr">
        <is>
          <t>Open</t>
        </is>
      </c>
      <c r="F123" s="4" t="inlineStr"/>
    </row>
    <row r="124">
      <c r="A124" s="2" t="inlineStr">
        <is>
          <t>ALT_00123</t>
        </is>
      </c>
      <c r="B124" s="2" t="inlineStr">
        <is>
          <t>TXN_001379</t>
        </is>
      </c>
      <c r="C124" s="2" t="inlineStr">
        <is>
          <t>High-Risk Country</t>
        </is>
      </c>
      <c r="D124" s="2" t="inlineStr">
        <is>
          <t>2026-04-13</t>
        </is>
      </c>
      <c r="E124" s="2" t="inlineStr">
        <is>
          <t>Open</t>
        </is>
      </c>
      <c r="F124" s="2" t="inlineStr"/>
    </row>
    <row r="125">
      <c r="A125" s="4" t="inlineStr">
        <is>
          <t>ALT_00124</t>
        </is>
      </c>
      <c r="B125" s="4" t="inlineStr">
        <is>
          <t>TXN_000096</t>
        </is>
      </c>
      <c r="C125" s="4" t="inlineStr">
        <is>
          <t>Velocity</t>
        </is>
      </c>
      <c r="D125" s="4" t="inlineStr">
        <is>
          <t>2026-01-10</t>
        </is>
      </c>
      <c r="E125" s="4" t="inlineStr">
        <is>
          <t>Closed</t>
        </is>
      </c>
      <c r="F125" s="4" t="inlineStr">
        <is>
          <t>2</t>
        </is>
      </c>
    </row>
    <row r="126">
      <c r="A126" s="2" t="inlineStr">
        <is>
          <t>ALT_00125</t>
        </is>
      </c>
      <c r="B126" s="2" t="inlineStr">
        <is>
          <t>TXN_001322</t>
        </is>
      </c>
      <c r="C126" s="2" t="inlineStr">
        <is>
          <t>High-Risk Country</t>
        </is>
      </c>
      <c r="D126" s="2" t="inlineStr">
        <is>
          <t>2026-04-08</t>
        </is>
      </c>
      <c r="E126" s="2" t="inlineStr">
        <is>
          <t>Closed</t>
        </is>
      </c>
      <c r="F126" s="2" t="inlineStr">
        <is>
          <t>9</t>
        </is>
      </c>
    </row>
    <row r="127">
      <c r="A127" s="4" t="inlineStr">
        <is>
          <t>ALT_00126</t>
        </is>
      </c>
      <c r="B127" s="4" t="inlineStr">
        <is>
          <t>TXN_000354</t>
        </is>
      </c>
      <c r="C127" s="4" t="inlineStr">
        <is>
          <t>Round-Amount</t>
        </is>
      </c>
      <c r="D127" s="4" t="inlineStr">
        <is>
          <t>2026-01-29</t>
        </is>
      </c>
      <c r="E127" s="4" t="inlineStr">
        <is>
          <t>Escalated</t>
        </is>
      </c>
      <c r="F127" s="4" t="inlineStr"/>
    </row>
    <row r="128">
      <c r="A128" s="2" t="inlineStr">
        <is>
          <t>ALT_00127</t>
        </is>
      </c>
      <c r="B128" s="2" t="inlineStr">
        <is>
          <t>TXN_001499</t>
        </is>
      </c>
      <c r="C128" s="2" t="inlineStr">
        <is>
          <t>High-Risk Country</t>
        </is>
      </c>
      <c r="D128" s="2" t="inlineStr">
        <is>
          <t>2026-04-25</t>
        </is>
      </c>
      <c r="E128" s="2" t="inlineStr">
        <is>
          <t>Closed</t>
        </is>
      </c>
      <c r="F128" s="2" t="inlineStr">
        <is>
          <t>10</t>
        </is>
      </c>
    </row>
    <row r="129">
      <c r="A129" s="4" t="inlineStr">
        <is>
          <t>ALT_00128</t>
        </is>
      </c>
      <c r="B129" s="4" t="inlineStr">
        <is>
          <t>TXN_000921</t>
        </is>
      </c>
      <c r="C129" s="4" t="inlineStr">
        <is>
          <t>Round-Amount</t>
        </is>
      </c>
      <c r="D129" s="4" t="inlineStr">
        <is>
          <t>2026-03-10</t>
        </is>
      </c>
      <c r="E129" s="4" t="inlineStr">
        <is>
          <t>Closed</t>
        </is>
      </c>
      <c r="F129" s="4" t="inlineStr">
        <is>
          <t>12</t>
        </is>
      </c>
    </row>
    <row r="130">
      <c r="A130" s="2" t="inlineStr">
        <is>
          <t>ALT_00129</t>
        </is>
      </c>
      <c r="B130" s="2" t="inlineStr">
        <is>
          <t>TXN_001192</t>
        </is>
      </c>
      <c r="C130" s="2" t="inlineStr">
        <is>
          <t>Velocity</t>
        </is>
      </c>
      <c r="D130" s="2" t="inlineStr">
        <is>
          <t>2026-03-30</t>
        </is>
      </c>
      <c r="E130" s="2" t="inlineStr">
        <is>
          <t>Escalated</t>
        </is>
      </c>
      <c r="F130" s="2" t="inlineStr"/>
    </row>
    <row r="131">
      <c r="A131" s="4" t="inlineStr">
        <is>
          <t>ALT_00130</t>
        </is>
      </c>
      <c r="B131" s="4" t="inlineStr">
        <is>
          <t>TXN_000748</t>
        </is>
      </c>
      <c r="C131" s="4" t="inlineStr">
        <is>
          <t>Dormant-Reactivation</t>
        </is>
      </c>
      <c r="D131" s="4" t="inlineStr">
        <is>
          <t>2026-02-27</t>
        </is>
      </c>
      <c r="E131" s="4" t="inlineStr">
        <is>
          <t>Escalated</t>
        </is>
      </c>
      <c r="F131" s="4" t="inlineStr"/>
    </row>
    <row r="132">
      <c r="A132" s="2" t="inlineStr">
        <is>
          <t>ALT_00131</t>
        </is>
      </c>
      <c r="B132" s="2" t="inlineStr">
        <is>
          <t>TXN_000675</t>
        </is>
      </c>
      <c r="C132" s="2" t="inlineStr">
        <is>
          <t>Velocity</t>
        </is>
      </c>
      <c r="D132" s="2" t="inlineStr">
        <is>
          <t>2026-02-20</t>
        </is>
      </c>
      <c r="E132" s="2" t="inlineStr">
        <is>
          <t>Closed</t>
        </is>
      </c>
      <c r="F132" s="2" t="inlineStr">
        <is>
          <t>13</t>
        </is>
      </c>
    </row>
    <row r="133">
      <c r="A133" s="4" t="inlineStr">
        <is>
          <t>ALT_00132</t>
        </is>
      </c>
      <c r="B133" s="4" t="inlineStr">
        <is>
          <t>TXN_000129</t>
        </is>
      </c>
      <c r="C133" s="4" t="inlineStr">
        <is>
          <t>High-Risk Country</t>
        </is>
      </c>
      <c r="D133" s="4" t="inlineStr">
        <is>
          <t>2026-01-11</t>
        </is>
      </c>
      <c r="E133" s="4" t="inlineStr">
        <is>
          <t>Escalated</t>
        </is>
      </c>
      <c r="F133" s="4" t="inlineStr"/>
    </row>
    <row r="134">
      <c r="A134" s="2" t="inlineStr">
        <is>
          <t>ALT_00133</t>
        </is>
      </c>
      <c r="B134" s="2" t="inlineStr">
        <is>
          <t>TXN_000552</t>
        </is>
      </c>
      <c r="C134" s="2" t="inlineStr">
        <is>
          <t>Velocity</t>
        </is>
      </c>
      <c r="D134" s="2" t="inlineStr">
        <is>
          <t>2026-02-09</t>
        </is>
      </c>
      <c r="E134" s="2" t="inlineStr">
        <is>
          <t>Closed</t>
        </is>
      </c>
      <c r="F134" s="2" t="inlineStr">
        <is>
          <t>2</t>
        </is>
      </c>
    </row>
    <row r="135">
      <c r="A135" s="4" t="inlineStr">
        <is>
          <t>ALT_00134</t>
        </is>
      </c>
      <c r="B135" s="4" t="inlineStr">
        <is>
          <t>TXN_001342</t>
        </is>
      </c>
      <c r="C135" s="4" t="inlineStr">
        <is>
          <t>Velocity</t>
        </is>
      </c>
      <c r="D135" s="4" t="inlineStr">
        <is>
          <t>2026-04-12</t>
        </is>
      </c>
      <c r="E135" s="4" t="inlineStr">
        <is>
          <t>Escalated</t>
        </is>
      </c>
      <c r="F135" s="4" t="inlineStr"/>
    </row>
    <row r="136">
      <c r="A136" s="2" t="inlineStr">
        <is>
          <t>ALT_00135</t>
        </is>
      </c>
      <c r="B136" s="2" t="inlineStr">
        <is>
          <t>TXN_001367</t>
        </is>
      </c>
      <c r="C136" s="2" t="inlineStr">
        <is>
          <t>Dormant-Reactivation</t>
        </is>
      </c>
      <c r="D136" s="2" t="inlineStr">
        <is>
          <t>2026-04-14</t>
        </is>
      </c>
      <c r="E136" s="2" t="inlineStr">
        <is>
          <t>Open</t>
        </is>
      </c>
      <c r="F136" s="2" t="inlineStr"/>
    </row>
    <row r="137">
      <c r="A137" s="4" t="inlineStr">
        <is>
          <t>ALT_00136</t>
        </is>
      </c>
      <c r="B137" s="4" t="inlineStr">
        <is>
          <t>TXN_000798</t>
        </is>
      </c>
      <c r="C137" s="4" t="inlineStr">
        <is>
          <t>Velocity</t>
        </is>
      </c>
      <c r="D137" s="4" t="inlineStr">
        <is>
          <t>2026-03-02</t>
        </is>
      </c>
      <c r="E137" s="4" t="inlineStr">
        <is>
          <t>Open</t>
        </is>
      </c>
      <c r="F137" s="4" t="inlineStr"/>
    </row>
    <row r="138">
      <c r="A138" s="2" t="inlineStr">
        <is>
          <t>ALT_00137</t>
        </is>
      </c>
      <c r="B138" s="2" t="inlineStr">
        <is>
          <t>TXN_001474</t>
        </is>
      </c>
      <c r="C138" s="2" t="inlineStr">
        <is>
          <t>High-Risk Country</t>
        </is>
      </c>
      <c r="D138" s="2" t="inlineStr">
        <is>
          <t>2026-04-21</t>
        </is>
      </c>
      <c r="E138" s="2" t="inlineStr">
        <is>
          <t>Closed</t>
        </is>
      </c>
      <c r="F138" s="2" t="inlineStr">
        <is>
          <t>7</t>
        </is>
      </c>
    </row>
    <row r="139">
      <c r="A139" s="4" t="inlineStr">
        <is>
          <t>ALT_00138</t>
        </is>
      </c>
      <c r="B139" s="4" t="inlineStr">
        <is>
          <t>TXN_001236</t>
        </is>
      </c>
      <c r="C139" s="4" t="inlineStr">
        <is>
          <t>High-Risk Country</t>
        </is>
      </c>
      <c r="D139" s="4" t="inlineStr">
        <is>
          <t>2026-04-02</t>
        </is>
      </c>
      <c r="E139" s="4" t="inlineStr">
        <is>
          <t>Open</t>
        </is>
      </c>
      <c r="F139" s="4" t="inlineStr"/>
    </row>
    <row r="140">
      <c r="A140" s="2" t="inlineStr">
        <is>
          <t>ALT_00139</t>
        </is>
      </c>
      <c r="B140" s="2" t="inlineStr">
        <is>
          <t>TXN_000375</t>
        </is>
      </c>
      <c r="C140" s="2" t="inlineStr">
        <is>
          <t>High-Risk Country</t>
        </is>
      </c>
      <c r="D140" s="2" t="inlineStr">
        <is>
          <t>2026-01-31</t>
        </is>
      </c>
      <c r="E140" s="2" t="inlineStr">
        <is>
          <t>Escalated</t>
        </is>
      </c>
      <c r="F140" s="2" t="inlineStr"/>
    </row>
    <row r="141">
      <c r="A141" s="4" t="inlineStr">
        <is>
          <t>ALT_00140</t>
        </is>
      </c>
      <c r="B141" s="4" t="inlineStr">
        <is>
          <t>TXN_000183</t>
        </is>
      </c>
      <c r="C141" s="4" t="inlineStr">
        <is>
          <t>High-Risk Country</t>
        </is>
      </c>
      <c r="D141" s="4" t="inlineStr">
        <is>
          <t>2026-01-14</t>
        </is>
      </c>
      <c r="E141" s="4" t="inlineStr">
        <is>
          <t>Closed</t>
        </is>
      </c>
      <c r="F141" s="4" t="inlineStr">
        <is>
          <t>11</t>
        </is>
      </c>
    </row>
    <row r="142">
      <c r="A142" s="2" t="inlineStr">
        <is>
          <t>ALT_00141</t>
        </is>
      </c>
      <c r="B142" s="2" t="inlineStr">
        <is>
          <t>TXN_001310</t>
        </is>
      </c>
      <c r="C142" s="2" t="inlineStr">
        <is>
          <t>Round-Amount</t>
        </is>
      </c>
      <c r="D142" s="2" t="inlineStr">
        <is>
          <t>2026-04-08</t>
        </is>
      </c>
      <c r="E142" s="2" t="inlineStr">
        <is>
          <t>Open</t>
        </is>
      </c>
      <c r="F142" s="2" t="inlineStr"/>
    </row>
    <row r="143">
      <c r="A143" s="4" t="inlineStr">
        <is>
          <t>ALT_00142</t>
        </is>
      </c>
      <c r="B143" s="4" t="inlineStr">
        <is>
          <t>TXN_000592</t>
        </is>
      </c>
      <c r="C143" s="4" t="inlineStr">
        <is>
          <t>Velocity</t>
        </is>
      </c>
      <c r="D143" s="4" t="inlineStr">
        <is>
          <t>2026-02-13</t>
        </is>
      </c>
      <c r="E143" s="4" t="inlineStr">
        <is>
          <t>Open</t>
        </is>
      </c>
      <c r="F143" s="4" t="inlineStr"/>
    </row>
    <row r="144">
      <c r="A144" s="2" t="inlineStr">
        <is>
          <t>ALT_00143</t>
        </is>
      </c>
      <c r="B144" s="2" t="inlineStr">
        <is>
          <t>TXN_000358</t>
        </is>
      </c>
      <c r="C144" s="2" t="inlineStr">
        <is>
          <t>Velocity</t>
        </is>
      </c>
      <c r="D144" s="2" t="inlineStr">
        <is>
          <t>2026-01-27</t>
        </is>
      </c>
      <c r="E144" s="2" t="inlineStr">
        <is>
          <t>Closed</t>
        </is>
      </c>
      <c r="F144" s="2" t="inlineStr">
        <is>
          <t>14</t>
        </is>
      </c>
    </row>
    <row r="145">
      <c r="A145" s="4" t="inlineStr">
        <is>
          <t>ALT_00144</t>
        </is>
      </c>
      <c r="B145" s="4" t="inlineStr">
        <is>
          <t>TXN_000487</t>
        </is>
      </c>
      <c r="C145" s="4" t="inlineStr">
        <is>
          <t>Round-Amount</t>
        </is>
      </c>
      <c r="D145" s="4" t="inlineStr">
        <is>
          <t>2026-02-06</t>
        </is>
      </c>
      <c r="E145" s="4" t="inlineStr">
        <is>
          <t>Open</t>
        </is>
      </c>
      <c r="F145" s="4" t="inlineStr"/>
    </row>
    <row r="146">
      <c r="A146" s="2" t="inlineStr">
        <is>
          <t>ALT_00145</t>
        </is>
      </c>
      <c r="B146" s="2" t="inlineStr">
        <is>
          <t>TXN_001132</t>
        </is>
      </c>
      <c r="C146" s="2" t="inlineStr">
        <is>
          <t>High-Risk Country</t>
        </is>
      </c>
      <c r="D146" s="2" t="inlineStr">
        <is>
          <t>2026-03-27</t>
        </is>
      </c>
      <c r="E146" s="2" t="inlineStr">
        <is>
          <t>Closed</t>
        </is>
      </c>
      <c r="F146" s="2" t="inlineStr">
        <is>
          <t>3</t>
        </is>
      </c>
    </row>
    <row r="147">
      <c r="A147" s="4" t="inlineStr">
        <is>
          <t>ALT_00146</t>
        </is>
      </c>
      <c r="B147" s="4" t="inlineStr">
        <is>
          <t>TXN_000649</t>
        </is>
      </c>
      <c r="C147" s="4" t="inlineStr">
        <is>
          <t>Round-Amount</t>
        </is>
      </c>
      <c r="D147" s="4" t="inlineStr">
        <is>
          <t>2026-02-19</t>
        </is>
      </c>
      <c r="E147" s="4" t="inlineStr">
        <is>
          <t>Closed</t>
        </is>
      </c>
      <c r="F147" s="4" t="inlineStr">
        <is>
          <t>6</t>
        </is>
      </c>
    </row>
    <row r="148">
      <c r="A148" s="2" t="inlineStr">
        <is>
          <t>ALT_00147</t>
        </is>
      </c>
      <c r="B148" s="2" t="inlineStr">
        <is>
          <t>TXN_000523</t>
        </is>
      </c>
      <c r="C148" s="2" t="inlineStr">
        <is>
          <t>Dormant-Reactivation</t>
        </is>
      </c>
      <c r="D148" s="2" t="inlineStr">
        <is>
          <t>2026-02-08</t>
        </is>
      </c>
      <c r="E148" s="2" t="inlineStr">
        <is>
          <t>Open</t>
        </is>
      </c>
      <c r="F148" s="2" t="inlineStr"/>
    </row>
    <row r="149">
      <c r="A149" s="4" t="inlineStr">
        <is>
          <t>ALT_00148</t>
        </is>
      </c>
      <c r="B149" s="4" t="inlineStr">
        <is>
          <t>TXN_000584</t>
        </is>
      </c>
      <c r="C149" s="4" t="inlineStr">
        <is>
          <t>Dormant-Reactivation</t>
        </is>
      </c>
      <c r="D149" s="4" t="inlineStr">
        <is>
          <t>2026-02-14</t>
        </is>
      </c>
      <c r="E149" s="4" t="inlineStr">
        <is>
          <t>Closed</t>
        </is>
      </c>
      <c r="F149" s="4" t="inlineStr">
        <is>
          <t>12</t>
        </is>
      </c>
    </row>
    <row r="150">
      <c r="A150" s="2" t="inlineStr">
        <is>
          <t>ALT_00149</t>
        </is>
      </c>
      <c r="B150" s="2" t="inlineStr">
        <is>
          <t>TXN_000394</t>
        </is>
      </c>
      <c r="C150" s="2" t="inlineStr">
        <is>
          <t>Dormant-Reactivation</t>
        </is>
      </c>
      <c r="D150" s="2" t="inlineStr">
        <is>
          <t>2026-01-30</t>
        </is>
      </c>
      <c r="E150" s="2" t="inlineStr">
        <is>
          <t>Closed</t>
        </is>
      </c>
      <c r="F150" s="2" t="inlineStr">
        <is>
          <t>12</t>
        </is>
      </c>
    </row>
    <row r="151">
      <c r="A151" s="4" t="inlineStr">
        <is>
          <t>ALT_00150</t>
        </is>
      </c>
      <c r="B151" s="4" t="inlineStr">
        <is>
          <t>TXN_000777</t>
        </is>
      </c>
      <c r="C151" s="4" t="inlineStr">
        <is>
          <t>High-Risk Country</t>
        </is>
      </c>
      <c r="D151" s="4" t="inlineStr">
        <is>
          <t>2026-02-27</t>
        </is>
      </c>
      <c r="E151" s="4" t="inlineStr">
        <is>
          <t>Closed</t>
        </is>
      </c>
      <c r="F151" s="4" t="inlineStr">
        <is>
          <t>11</t>
        </is>
      </c>
    </row>
    <row r="152">
      <c r="A152" s="2" t="inlineStr">
        <is>
          <t>ALT_00151</t>
        </is>
      </c>
      <c r="B152" s="2" t="inlineStr">
        <is>
          <t>TXN_001565</t>
        </is>
      </c>
      <c r="C152" s="2" t="inlineStr">
        <is>
          <t>Velocity</t>
        </is>
      </c>
      <c r="D152" s="2" t="inlineStr">
        <is>
          <t>2026-04-29</t>
        </is>
      </c>
      <c r="E152" s="2" t="inlineStr">
        <is>
          <t>Escalated</t>
        </is>
      </c>
      <c r="F152" s="2" t="inlineStr"/>
    </row>
    <row r="153">
      <c r="A153" s="4" t="inlineStr">
        <is>
          <t>ALT_00152</t>
        </is>
      </c>
      <c r="B153" s="4" t="inlineStr">
        <is>
          <t>TXN_001495</t>
        </is>
      </c>
      <c r="C153" s="4" t="inlineStr">
        <is>
          <t>Round-Amount</t>
        </is>
      </c>
      <c r="D153" s="4" t="inlineStr">
        <is>
          <t>2026-04-25</t>
        </is>
      </c>
      <c r="E153" s="4" t="inlineStr">
        <is>
          <t>Open</t>
        </is>
      </c>
      <c r="F153" s="4" t="inlineStr"/>
    </row>
    <row r="154">
      <c r="A154" s="2" t="inlineStr">
        <is>
          <t>ALT_00153</t>
        </is>
      </c>
      <c r="B154" s="2" t="inlineStr">
        <is>
          <t>TXN_000443</t>
        </is>
      </c>
      <c r="C154" s="2" t="inlineStr">
        <is>
          <t>Round-Amount</t>
        </is>
      </c>
      <c r="D154" s="2" t="inlineStr">
        <is>
          <t>2026-02-02</t>
        </is>
      </c>
      <c r="E154" s="2" t="inlineStr">
        <is>
          <t>Open</t>
        </is>
      </c>
      <c r="F154" s="2" t="inlineStr"/>
    </row>
    <row r="155">
      <c r="A155" s="4" t="inlineStr">
        <is>
          <t>ALT_00154</t>
        </is>
      </c>
      <c r="B155" s="4" t="inlineStr">
        <is>
          <t>TXN_000257</t>
        </is>
      </c>
      <c r="C155" s="4" t="inlineStr">
        <is>
          <t>Round-Amount</t>
        </is>
      </c>
      <c r="D155" s="4" t="inlineStr">
        <is>
          <t>2026-01-21</t>
        </is>
      </c>
      <c r="E155" s="4" t="inlineStr">
        <is>
          <t>Escalated</t>
        </is>
      </c>
      <c r="F155" s="4" t="inlineStr"/>
    </row>
    <row r="156">
      <c r="A156" s="2" t="inlineStr">
        <is>
          <t>ALT_00155</t>
        </is>
      </c>
      <c r="B156" s="2" t="inlineStr">
        <is>
          <t>TXN_001411</t>
        </is>
      </c>
      <c r="C156" s="2" t="inlineStr">
        <is>
          <t>Round-Amount</t>
        </is>
      </c>
      <c r="D156" s="2" t="inlineStr">
        <is>
          <t>2026-04-17</t>
        </is>
      </c>
      <c r="E156" s="2" t="inlineStr">
        <is>
          <t>Open</t>
        </is>
      </c>
      <c r="F156" s="2" t="inlineStr"/>
    </row>
    <row r="157">
      <c r="A157" s="4" t="inlineStr">
        <is>
          <t>ALT_00156</t>
        </is>
      </c>
      <c r="B157" s="4" t="inlineStr">
        <is>
          <t>TXN_000617</t>
        </is>
      </c>
      <c r="C157" s="4" t="inlineStr">
        <is>
          <t>High-Risk Country</t>
        </is>
      </c>
      <c r="D157" s="4" t="inlineStr">
        <is>
          <t>2026-02-14</t>
        </is>
      </c>
      <c r="E157" s="4" t="inlineStr">
        <is>
          <t>Escalated</t>
        </is>
      </c>
      <c r="F157" s="4" t="inlineStr"/>
    </row>
    <row r="158">
      <c r="A158" s="2" t="inlineStr">
        <is>
          <t>ALT_00157</t>
        </is>
      </c>
      <c r="B158" s="2" t="inlineStr">
        <is>
          <t>TXN_001604</t>
        </is>
      </c>
      <c r="C158" s="2" t="inlineStr">
        <is>
          <t>Velocity</t>
        </is>
      </c>
      <c r="D158" s="2" t="inlineStr">
        <is>
          <t>2026-04-29</t>
        </is>
      </c>
      <c r="E158" s="2" t="inlineStr">
        <is>
          <t>Closed</t>
        </is>
      </c>
      <c r="F158" s="2" t="inlineStr">
        <is>
          <t>2</t>
        </is>
      </c>
    </row>
    <row r="159">
      <c r="A159" s="4" t="inlineStr">
        <is>
          <t>ALT_00158</t>
        </is>
      </c>
      <c r="B159" s="4" t="inlineStr">
        <is>
          <t>TXN_001394</t>
        </is>
      </c>
      <c r="C159" s="4" t="inlineStr">
        <is>
          <t>Dormant-Reactivation</t>
        </is>
      </c>
      <c r="D159" s="4" t="inlineStr">
        <is>
          <t>2026-04-17</t>
        </is>
      </c>
      <c r="E159" s="4" t="inlineStr">
        <is>
          <t>Closed</t>
        </is>
      </c>
      <c r="F159" s="4" t="inlineStr">
        <is>
          <t>13</t>
        </is>
      </c>
    </row>
    <row r="160">
      <c r="A160" s="2" t="inlineStr">
        <is>
          <t>ALT_00159</t>
        </is>
      </c>
      <c r="B160" s="2" t="inlineStr">
        <is>
          <t>TXN_001598</t>
        </is>
      </c>
      <c r="C160" s="2" t="inlineStr">
        <is>
          <t>Velocity</t>
        </is>
      </c>
      <c r="D160" s="2" t="inlineStr">
        <is>
          <t>2026-04-28</t>
        </is>
      </c>
      <c r="E160" s="2" t="inlineStr">
        <is>
          <t>Closed</t>
        </is>
      </c>
      <c r="F160" s="2" t="inlineStr">
        <is>
          <t>12</t>
        </is>
      </c>
    </row>
    <row r="161">
      <c r="A161" s="4" t="inlineStr">
        <is>
          <t>ALT_00160</t>
        </is>
      </c>
      <c r="B161" s="4" t="inlineStr">
        <is>
          <t>TXN_000029</t>
        </is>
      </c>
      <c r="C161" s="4" t="inlineStr">
        <is>
          <t>High-Risk Country</t>
        </is>
      </c>
      <c r="D161" s="4" t="inlineStr">
        <is>
          <t>2026-01-02</t>
        </is>
      </c>
      <c r="E161" s="4" t="inlineStr">
        <is>
          <t>Escalated</t>
        </is>
      </c>
      <c r="F161" s="4" t="inlineStr"/>
    </row>
    <row r="162">
      <c r="A162" s="2" t="inlineStr">
        <is>
          <t>ALT_00161</t>
        </is>
      </c>
      <c r="B162" s="2" t="inlineStr">
        <is>
          <t>TXN_000146</t>
        </is>
      </c>
      <c r="C162" s="2" t="inlineStr">
        <is>
          <t>Dormant-Reactivation</t>
        </is>
      </c>
      <c r="D162" s="2" t="inlineStr">
        <is>
          <t>2026-01-11</t>
        </is>
      </c>
      <c r="E162" s="2" t="inlineStr">
        <is>
          <t>Closed</t>
        </is>
      </c>
      <c r="F162" s="2" t="inlineStr">
        <is>
          <t>5</t>
        </is>
      </c>
    </row>
    <row r="163">
      <c r="A163" s="4" t="inlineStr">
        <is>
          <t>ALT_00162</t>
        </is>
      </c>
      <c r="B163" s="4" t="inlineStr">
        <is>
          <t>TXN_000126</t>
        </is>
      </c>
      <c r="C163" s="4" t="inlineStr">
        <is>
          <t>Dormant-Reactivation</t>
        </is>
      </c>
      <c r="D163" s="4" t="inlineStr">
        <is>
          <t>2026-01-12</t>
        </is>
      </c>
      <c r="E163" s="4" t="inlineStr">
        <is>
          <t>Open</t>
        </is>
      </c>
      <c r="F163" s="4" t="inlineStr"/>
    </row>
    <row r="164">
      <c r="A164" s="2" t="inlineStr">
        <is>
          <t>ALT_00163</t>
        </is>
      </c>
      <c r="B164" s="2" t="inlineStr">
        <is>
          <t>TXN_000751</t>
        </is>
      </c>
      <c r="C164" s="2" t="inlineStr">
        <is>
          <t>Dormant-Reactivation</t>
        </is>
      </c>
      <c r="D164" s="2" t="inlineStr">
        <is>
          <t>2026-02-25</t>
        </is>
      </c>
      <c r="E164" s="2" t="inlineStr">
        <is>
          <t>Closed</t>
        </is>
      </c>
      <c r="F164" s="2" t="inlineStr">
        <is>
          <t>3</t>
        </is>
      </c>
    </row>
    <row r="165">
      <c r="A165" s="4" t="inlineStr">
        <is>
          <t>ALT_00164</t>
        </is>
      </c>
      <c r="B165" s="4" t="inlineStr">
        <is>
          <t>TXN_000189</t>
        </is>
      </c>
      <c r="C165" s="4" t="inlineStr">
        <is>
          <t>High-Risk Country</t>
        </is>
      </c>
      <c r="D165" s="4" t="inlineStr">
        <is>
          <t>2026-01-16</t>
        </is>
      </c>
      <c r="E165" s="4" t="inlineStr">
        <is>
          <t>Closed</t>
        </is>
      </c>
      <c r="F165" s="4" t="inlineStr">
        <is>
          <t>7</t>
        </is>
      </c>
    </row>
    <row r="166">
      <c r="A166" s="2" t="inlineStr">
        <is>
          <t>ALT_00165</t>
        </is>
      </c>
      <c r="B166" s="2" t="inlineStr">
        <is>
          <t>TXN_000166</t>
        </is>
      </c>
      <c r="C166" s="2" t="inlineStr">
        <is>
          <t>Velocity</t>
        </is>
      </c>
      <c r="D166" s="2" t="inlineStr">
        <is>
          <t>2026-01-15</t>
        </is>
      </c>
      <c r="E166" s="2" t="inlineStr">
        <is>
          <t>Open</t>
        </is>
      </c>
      <c r="F166" s="2" t="inlineStr"/>
    </row>
    <row r="167">
      <c r="A167" s="4" t="inlineStr">
        <is>
          <t>ALT_00166</t>
        </is>
      </c>
      <c r="B167" s="4" t="inlineStr">
        <is>
          <t>TXN_001154</t>
        </is>
      </c>
      <c r="C167" s="4" t="inlineStr">
        <is>
          <t>Velocity</t>
        </is>
      </c>
      <c r="D167" s="4" t="inlineStr">
        <is>
          <t>2026-03-28</t>
        </is>
      </c>
      <c r="E167" s="4" t="inlineStr">
        <is>
          <t>Open</t>
        </is>
      </c>
      <c r="F167" s="4" t="inlineStr"/>
    </row>
    <row r="168">
      <c r="A168" s="2" t="inlineStr">
        <is>
          <t>ALT_00167</t>
        </is>
      </c>
      <c r="B168" s="2" t="inlineStr">
        <is>
          <t>TXN_000150</t>
        </is>
      </c>
      <c r="C168" s="2" t="inlineStr">
        <is>
          <t>Round-Amount</t>
        </is>
      </c>
      <c r="D168" s="2" t="inlineStr">
        <is>
          <t>2026-01-13</t>
        </is>
      </c>
      <c r="E168" s="2" t="inlineStr">
        <is>
          <t>Closed</t>
        </is>
      </c>
      <c r="F168" s="2" t="inlineStr">
        <is>
          <t>10</t>
        </is>
      </c>
    </row>
    <row r="169">
      <c r="A169" s="4" t="inlineStr">
        <is>
          <t>ALT_00168</t>
        </is>
      </c>
      <c r="B169" s="4" t="inlineStr">
        <is>
          <t>TXN_001479</t>
        </is>
      </c>
      <c r="C169" s="4" t="inlineStr">
        <is>
          <t>High-Risk Country</t>
        </is>
      </c>
      <c r="D169" s="4" t="inlineStr">
        <is>
          <t>2026-04-21</t>
        </is>
      </c>
      <c r="E169" s="4" t="inlineStr">
        <is>
          <t>Open</t>
        </is>
      </c>
      <c r="F169" s="4" t="inlineStr"/>
    </row>
    <row r="170">
      <c r="A170" s="2" t="inlineStr">
        <is>
          <t>ALT_00169</t>
        </is>
      </c>
      <c r="B170" s="2" t="inlineStr">
        <is>
          <t>TXN_001022</t>
        </is>
      </c>
      <c r="C170" s="2" t="inlineStr">
        <is>
          <t>Dormant-Reactivation</t>
        </is>
      </c>
      <c r="D170" s="2" t="inlineStr">
        <is>
          <t>2026-03-17</t>
        </is>
      </c>
      <c r="E170" s="2" t="inlineStr">
        <is>
          <t>Closed</t>
        </is>
      </c>
      <c r="F170" s="2" t="inlineStr">
        <is>
          <t>1</t>
        </is>
      </c>
    </row>
    <row r="171">
      <c r="A171" s="4" t="inlineStr">
        <is>
          <t>ALT_00170</t>
        </is>
      </c>
      <c r="B171" s="4" t="inlineStr">
        <is>
          <t>TXN_001417</t>
        </is>
      </c>
      <c r="C171" s="4" t="inlineStr">
        <is>
          <t>Dormant-Reactivation</t>
        </is>
      </c>
      <c r="D171" s="4" t="inlineStr">
        <is>
          <t>2026-04-16</t>
        </is>
      </c>
      <c r="E171" s="4" t="inlineStr">
        <is>
          <t>Escalated</t>
        </is>
      </c>
      <c r="F171" s="4" t="inlineStr"/>
    </row>
    <row r="172">
      <c r="A172" s="2" t="inlineStr">
        <is>
          <t>ALT_00171</t>
        </is>
      </c>
      <c r="B172" s="2" t="inlineStr">
        <is>
          <t>TXN_000741</t>
        </is>
      </c>
      <c r="C172" s="2" t="inlineStr">
        <is>
          <t>Round-Amount</t>
        </is>
      </c>
      <c r="D172" s="2" t="inlineStr">
        <is>
          <t>2026-02-26</t>
        </is>
      </c>
      <c r="E172" s="2" t="inlineStr">
        <is>
          <t>Closed</t>
        </is>
      </c>
      <c r="F172" s="2" t="inlineStr">
        <is>
          <t>2</t>
        </is>
      </c>
    </row>
    <row r="173">
      <c r="A173" s="4" t="inlineStr">
        <is>
          <t>ALT_00172</t>
        </is>
      </c>
      <c r="B173" s="4" t="inlineStr">
        <is>
          <t>TXN_001497</t>
        </is>
      </c>
      <c r="C173" s="4" t="inlineStr">
        <is>
          <t>Round-Amount</t>
        </is>
      </c>
      <c r="D173" s="4" t="inlineStr">
        <is>
          <t>2026-04-24</t>
        </is>
      </c>
      <c r="E173" s="4" t="inlineStr">
        <is>
          <t>Escalated</t>
        </is>
      </c>
      <c r="F173" s="4" t="inlineStr"/>
    </row>
    <row r="174">
      <c r="A174" s="2" t="inlineStr">
        <is>
          <t>ALT_00173</t>
        </is>
      </c>
      <c r="B174" s="2" t="inlineStr">
        <is>
          <t>TXN_000053</t>
        </is>
      </c>
      <c r="C174" s="2" t="inlineStr">
        <is>
          <t>High-Risk Country</t>
        </is>
      </c>
      <c r="D174" s="2" t="inlineStr">
        <is>
          <t>2026-01-05</t>
        </is>
      </c>
      <c r="E174" s="2" t="inlineStr">
        <is>
          <t>Escalated</t>
        </is>
      </c>
      <c r="F174" s="2" t="inlineStr"/>
    </row>
    <row r="175">
      <c r="A175" s="4" t="inlineStr">
        <is>
          <t>ALT_00174</t>
        </is>
      </c>
      <c r="B175" s="4" t="inlineStr">
        <is>
          <t>TXN_001210</t>
        </is>
      </c>
      <c r="C175" s="4" t="inlineStr">
        <is>
          <t>Dormant-Reactivation</t>
        </is>
      </c>
      <c r="D175" s="4" t="inlineStr">
        <is>
          <t>2026-04-01</t>
        </is>
      </c>
      <c r="E175" s="4" t="inlineStr">
        <is>
          <t>Closed</t>
        </is>
      </c>
      <c r="F175" s="4" t="inlineStr">
        <is>
          <t>7</t>
        </is>
      </c>
    </row>
    <row r="176">
      <c r="A176" s="2" t="inlineStr">
        <is>
          <t>ALT_00175</t>
        </is>
      </c>
      <c r="B176" s="2" t="inlineStr">
        <is>
          <t>TXN_000090</t>
        </is>
      </c>
      <c r="C176" s="2" t="inlineStr">
        <is>
          <t>Round-Amount</t>
        </is>
      </c>
      <c r="D176" s="2" t="inlineStr">
        <is>
          <t>2026-01-07</t>
        </is>
      </c>
      <c r="E176" s="2" t="inlineStr">
        <is>
          <t>Open</t>
        </is>
      </c>
      <c r="F176" s="2" t="inlineStr"/>
    </row>
    <row r="177">
      <c r="A177" s="4" t="inlineStr">
        <is>
          <t>ALT_00176</t>
        </is>
      </c>
      <c r="B177" s="4" t="inlineStr">
        <is>
          <t>TXN_001550</t>
        </is>
      </c>
      <c r="C177" s="4" t="inlineStr">
        <is>
          <t>Dormant-Reactivation</t>
        </is>
      </c>
      <c r="D177" s="4" t="inlineStr">
        <is>
          <t>2026-04-28</t>
        </is>
      </c>
      <c r="E177" s="4" t="inlineStr">
        <is>
          <t>Escalated</t>
        </is>
      </c>
      <c r="F177" s="4" t="inlineStr"/>
    </row>
    <row r="178">
      <c r="A178" s="2" t="inlineStr">
        <is>
          <t>ALT_00177</t>
        </is>
      </c>
      <c r="B178" s="2" t="inlineStr">
        <is>
          <t>TXN_000275</t>
        </is>
      </c>
      <c r="C178" s="2" t="inlineStr">
        <is>
          <t>Velocity</t>
        </is>
      </c>
      <c r="D178" s="2" t="inlineStr">
        <is>
          <t>2026-01-22</t>
        </is>
      </c>
      <c r="E178" s="2" t="inlineStr">
        <is>
          <t>Closed</t>
        </is>
      </c>
      <c r="F178" s="2" t="inlineStr">
        <is>
          <t>9</t>
        </is>
      </c>
    </row>
    <row r="179">
      <c r="A179" s="4" t="inlineStr">
        <is>
          <t>ALT_00178</t>
        </is>
      </c>
      <c r="B179" s="4" t="inlineStr">
        <is>
          <t>TXN_001235</t>
        </is>
      </c>
      <c r="C179" s="4" t="inlineStr">
        <is>
          <t>High-Risk Country</t>
        </is>
      </c>
      <c r="D179" s="4" t="inlineStr">
        <is>
          <t>2026-04-02</t>
        </is>
      </c>
      <c r="E179" s="4" t="inlineStr">
        <is>
          <t>Escalated</t>
        </is>
      </c>
      <c r="F179" s="4" t="inlineStr"/>
    </row>
    <row r="180">
      <c r="A180" s="2" t="inlineStr">
        <is>
          <t>ALT_00179</t>
        </is>
      </c>
      <c r="B180" s="2" t="inlineStr">
        <is>
          <t>TXN_000680</t>
        </is>
      </c>
      <c r="C180" s="2" t="inlineStr">
        <is>
          <t>High-Risk Country</t>
        </is>
      </c>
      <c r="D180" s="2" t="inlineStr">
        <is>
          <t>2026-02-20</t>
        </is>
      </c>
      <c r="E180" s="2" t="inlineStr">
        <is>
          <t>Escalated</t>
        </is>
      </c>
      <c r="F180" s="2" t="inlineStr"/>
    </row>
    <row r="181">
      <c r="A181" s="4" t="inlineStr">
        <is>
          <t>ALT_00180</t>
        </is>
      </c>
      <c r="B181" s="4" t="inlineStr">
        <is>
          <t>TXN_000071</t>
        </is>
      </c>
      <c r="C181" s="4" t="inlineStr">
        <is>
          <t>High-Risk Country</t>
        </is>
      </c>
      <c r="D181" s="4" t="inlineStr">
        <is>
          <t>2026-01-07</t>
        </is>
      </c>
      <c r="E181" s="4" t="inlineStr">
        <is>
          <t>Closed</t>
        </is>
      </c>
      <c r="F181" s="4" t="inlineStr">
        <is>
          <t>2</t>
        </is>
      </c>
    </row>
    <row r="182">
      <c r="A182" s="2" t="inlineStr">
        <is>
          <t>ALT_00181</t>
        </is>
      </c>
      <c r="B182" s="2" t="inlineStr">
        <is>
          <t>TXN_000800</t>
        </is>
      </c>
      <c r="C182" s="2" t="inlineStr">
        <is>
          <t>Dormant-Reactivation</t>
        </is>
      </c>
      <c r="D182" s="2" t="inlineStr">
        <is>
          <t>2026-03-03</t>
        </is>
      </c>
      <c r="E182" s="2" t="inlineStr">
        <is>
          <t>Open</t>
        </is>
      </c>
      <c r="F182" s="2" t="inlineStr"/>
    </row>
    <row r="183">
      <c r="A183" s="4" t="inlineStr">
        <is>
          <t>ALT_00182</t>
        </is>
      </c>
      <c r="B183" s="4" t="inlineStr">
        <is>
          <t>TXN_001302</t>
        </is>
      </c>
      <c r="C183" s="4" t="inlineStr">
        <is>
          <t>High-Risk Country</t>
        </is>
      </c>
      <c r="D183" s="4" t="inlineStr">
        <is>
          <t>2026-04-09</t>
        </is>
      </c>
      <c r="E183" s="4" t="inlineStr">
        <is>
          <t>Closed</t>
        </is>
      </c>
      <c r="F183" s="4" t="inlineStr">
        <is>
          <t>5</t>
        </is>
      </c>
    </row>
    <row r="184">
      <c r="A184" s="2" t="inlineStr">
        <is>
          <t>ALT_00183</t>
        </is>
      </c>
      <c r="B184" s="2" t="inlineStr">
        <is>
          <t>TXN_000648</t>
        </is>
      </c>
      <c r="C184" s="2" t="inlineStr">
        <is>
          <t>Velocity</t>
        </is>
      </c>
      <c r="D184" s="2" t="inlineStr">
        <is>
          <t>2026-02-19</t>
        </is>
      </c>
      <c r="E184" s="2" t="inlineStr">
        <is>
          <t>Closed</t>
        </is>
      </c>
      <c r="F184" s="2" t="inlineStr">
        <is>
          <t>4</t>
        </is>
      </c>
    </row>
    <row r="185">
      <c r="A185" s="4" t="inlineStr">
        <is>
          <t>ALT_00184</t>
        </is>
      </c>
      <c r="B185" s="4" t="inlineStr">
        <is>
          <t>TXN_000965</t>
        </is>
      </c>
      <c r="C185" s="4" t="inlineStr">
        <is>
          <t>High-Risk Country</t>
        </is>
      </c>
      <c r="D185" s="4" t="inlineStr">
        <is>
          <t>2026-03-13</t>
        </is>
      </c>
      <c r="E185" s="4" t="inlineStr">
        <is>
          <t>Open</t>
        </is>
      </c>
      <c r="F185" s="4" t="inlineStr"/>
    </row>
    <row r="186">
      <c r="A186" s="2" t="inlineStr">
        <is>
          <t>ALT_00185</t>
        </is>
      </c>
      <c r="B186" s="2" t="inlineStr">
        <is>
          <t>TXN_001015</t>
        </is>
      </c>
      <c r="C186" s="2" t="inlineStr">
        <is>
          <t>High-Risk Country</t>
        </is>
      </c>
      <c r="D186" s="2" t="inlineStr">
        <is>
          <t>2026-03-18</t>
        </is>
      </c>
      <c r="E186" s="2" t="inlineStr">
        <is>
          <t>Closed</t>
        </is>
      </c>
      <c r="F186" s="2" t="inlineStr">
        <is>
          <t>1</t>
        </is>
      </c>
    </row>
    <row r="187">
      <c r="A187" s="4" t="inlineStr">
        <is>
          <t>ALT_00186</t>
        </is>
      </c>
      <c r="B187" s="4" t="inlineStr">
        <is>
          <t>TXN_000503</t>
        </is>
      </c>
      <c r="C187" s="4" t="inlineStr">
        <is>
          <t>High-Risk Country</t>
        </is>
      </c>
      <c r="D187" s="4" t="inlineStr">
        <is>
          <t>2026-02-07</t>
        </is>
      </c>
      <c r="E187" s="4" t="inlineStr">
        <is>
          <t>Closed</t>
        </is>
      </c>
      <c r="F187" s="4" t="inlineStr">
        <is>
          <t>2</t>
        </is>
      </c>
    </row>
    <row r="188">
      <c r="A188" s="2" t="inlineStr">
        <is>
          <t>ALT_00187</t>
        </is>
      </c>
      <c r="B188" s="2" t="inlineStr">
        <is>
          <t>TXN_000034</t>
        </is>
      </c>
      <c r="C188" s="2" t="inlineStr">
        <is>
          <t>Dormant-Reactivation</t>
        </is>
      </c>
      <c r="D188" s="2" t="inlineStr">
        <is>
          <t>2026-01-04</t>
        </is>
      </c>
      <c r="E188" s="2" t="inlineStr">
        <is>
          <t>Closed</t>
        </is>
      </c>
      <c r="F188" s="2" t="inlineStr">
        <is>
          <t>10</t>
        </is>
      </c>
    </row>
    <row r="189">
      <c r="A189" s="4" t="inlineStr">
        <is>
          <t>ALT_00188</t>
        </is>
      </c>
      <c r="B189" s="4" t="inlineStr">
        <is>
          <t>TXN_001280</t>
        </is>
      </c>
      <c r="C189" s="4" t="inlineStr">
        <is>
          <t>Velocity</t>
        </is>
      </c>
      <c r="D189" s="4" t="inlineStr">
        <is>
          <t>2026-04-05</t>
        </is>
      </c>
      <c r="E189" s="4" t="inlineStr">
        <is>
          <t>Open</t>
        </is>
      </c>
      <c r="F189" s="4" t="inlineStr"/>
    </row>
    <row r="190">
      <c r="A190" s="2" t="inlineStr">
        <is>
          <t>ALT_00189</t>
        </is>
      </c>
      <c r="B190" s="2" t="inlineStr">
        <is>
          <t>TXN_000847</t>
        </is>
      </c>
      <c r="C190" s="2" t="inlineStr">
        <is>
          <t>Dormant-Reactivation</t>
        </is>
      </c>
      <c r="D190" s="2" t="inlineStr">
        <is>
          <t>2026-03-04</t>
        </is>
      </c>
      <c r="E190" s="2" t="inlineStr">
        <is>
          <t>Escalated</t>
        </is>
      </c>
      <c r="F190" s="2" t="inlineStr"/>
    </row>
    <row r="191">
      <c r="A191" s="4" t="inlineStr">
        <is>
          <t>ALT_00190</t>
        </is>
      </c>
      <c r="B191" s="4" t="inlineStr">
        <is>
          <t>TXN_001482</t>
        </is>
      </c>
      <c r="C191" s="4" t="inlineStr">
        <is>
          <t>Dormant-Reactivation</t>
        </is>
      </c>
      <c r="D191" s="4" t="inlineStr">
        <is>
          <t>2026-04-22</t>
        </is>
      </c>
      <c r="E191" s="4" t="inlineStr">
        <is>
          <t>Escalated</t>
        </is>
      </c>
      <c r="F191" s="4" t="inlineStr"/>
    </row>
    <row r="192">
      <c r="A192" s="2" t="inlineStr">
        <is>
          <t>ALT_00191</t>
        </is>
      </c>
      <c r="B192" s="2" t="inlineStr">
        <is>
          <t>TXN_001198</t>
        </is>
      </c>
      <c r="C192" s="2" t="inlineStr">
        <is>
          <t>Round-Amount</t>
        </is>
      </c>
      <c r="D192" s="2" t="inlineStr">
        <is>
          <t>2026-03-30</t>
        </is>
      </c>
      <c r="E192" s="2" t="inlineStr">
        <is>
          <t>Escalated</t>
        </is>
      </c>
      <c r="F192" s="2" t="inlineStr"/>
    </row>
    <row r="193">
      <c r="A193" s="4" t="inlineStr">
        <is>
          <t>ALT_00192</t>
        </is>
      </c>
      <c r="B193" s="4" t="inlineStr">
        <is>
          <t>TXN_000539</t>
        </is>
      </c>
      <c r="C193" s="4" t="inlineStr">
        <is>
          <t>Velocity</t>
        </is>
      </c>
      <c r="D193" s="4" t="inlineStr">
        <is>
          <t>2026-02-10</t>
        </is>
      </c>
      <c r="E193" s="4" t="inlineStr">
        <is>
          <t>Escalated</t>
        </is>
      </c>
      <c r="F193" s="4" t="inlineStr"/>
    </row>
    <row r="194">
      <c r="A194" s="2" t="inlineStr">
        <is>
          <t>ALT_00193</t>
        </is>
      </c>
      <c r="B194" s="2" t="inlineStr">
        <is>
          <t>TXN_000692</t>
        </is>
      </c>
      <c r="C194" s="2" t="inlineStr">
        <is>
          <t>Dormant-Reactivation</t>
        </is>
      </c>
      <c r="D194" s="2" t="inlineStr">
        <is>
          <t>2026-02-22</t>
        </is>
      </c>
      <c r="E194" s="2" t="inlineStr">
        <is>
          <t>Escalated</t>
        </is>
      </c>
      <c r="F194" s="2" t="inlineStr"/>
    </row>
    <row r="195">
      <c r="A195" s="4" t="inlineStr">
        <is>
          <t>ALT_00194</t>
        </is>
      </c>
      <c r="B195" s="4" t="inlineStr">
        <is>
          <t>TXN_001476</t>
        </is>
      </c>
      <c r="C195" s="4" t="inlineStr">
        <is>
          <t>High-Risk Country</t>
        </is>
      </c>
      <c r="D195" s="4" t="inlineStr">
        <is>
          <t>2026-04-21</t>
        </is>
      </c>
      <c r="E195" s="4" t="inlineStr">
        <is>
          <t>Escalated</t>
        </is>
      </c>
      <c r="F195" s="4" t="inlineStr"/>
    </row>
    <row r="196">
      <c r="A196" s="2" t="inlineStr">
        <is>
          <t>ALT_00195</t>
        </is>
      </c>
      <c r="B196" s="2" t="inlineStr">
        <is>
          <t>TXN_000155</t>
        </is>
      </c>
      <c r="C196" s="2" t="inlineStr">
        <is>
          <t>Velocity</t>
        </is>
      </c>
      <c r="D196" s="2" t="inlineStr">
        <is>
          <t>2026-01-12</t>
        </is>
      </c>
      <c r="E196" s="2" t="inlineStr">
        <is>
          <t>Open</t>
        </is>
      </c>
      <c r="F196" s="2" t="inlineStr"/>
    </row>
    <row r="197">
      <c r="A197" s="4" t="inlineStr">
        <is>
          <t>ALT_00196</t>
        </is>
      </c>
      <c r="B197" s="4" t="inlineStr">
        <is>
          <t>TXN_000582</t>
        </is>
      </c>
      <c r="C197" s="4" t="inlineStr">
        <is>
          <t>High-Risk Country</t>
        </is>
      </c>
      <c r="D197" s="4" t="inlineStr">
        <is>
          <t>2026-02-13</t>
        </is>
      </c>
      <c r="E197" s="4" t="inlineStr">
        <is>
          <t>Open</t>
        </is>
      </c>
      <c r="F197" s="4" t="inlineStr"/>
    </row>
    <row r="198">
      <c r="A198" s="2" t="inlineStr">
        <is>
          <t>ALT_00197</t>
        </is>
      </c>
      <c r="B198" s="2" t="inlineStr">
        <is>
          <t>TXN_000991</t>
        </is>
      </c>
      <c r="C198" s="2" t="inlineStr">
        <is>
          <t>Round-Amount</t>
        </is>
      </c>
      <c r="D198" s="2" t="inlineStr">
        <is>
          <t>2026-03-16</t>
        </is>
      </c>
      <c r="E198" s="2" t="inlineStr">
        <is>
          <t>Closed</t>
        </is>
      </c>
      <c r="F198" s="2" t="inlineStr">
        <is>
          <t>2</t>
        </is>
      </c>
    </row>
    <row r="199">
      <c r="A199" s="4" t="inlineStr">
        <is>
          <t>ALT_00198</t>
        </is>
      </c>
      <c r="B199" s="4" t="inlineStr">
        <is>
          <t>TXN_000517</t>
        </is>
      </c>
      <c r="C199" s="4" t="inlineStr">
        <is>
          <t>Velocity</t>
        </is>
      </c>
      <c r="D199" s="4" t="inlineStr">
        <is>
          <t>2026-02-09</t>
        </is>
      </c>
      <c r="E199" s="4" t="inlineStr">
        <is>
          <t>Closed</t>
        </is>
      </c>
      <c r="F199" s="4" t="inlineStr">
        <is>
          <t>1</t>
        </is>
      </c>
    </row>
    <row r="200">
      <c r="A200" s="2" t="inlineStr">
        <is>
          <t>ALT_00199</t>
        </is>
      </c>
      <c r="B200" s="2" t="inlineStr">
        <is>
          <t>TXN_000700</t>
        </is>
      </c>
      <c r="C200" s="2" t="inlineStr">
        <is>
          <t>Round-Amount</t>
        </is>
      </c>
      <c r="D200" s="2" t="inlineStr">
        <is>
          <t>2026-02-21</t>
        </is>
      </c>
      <c r="E200" s="2" t="inlineStr">
        <is>
          <t>Open</t>
        </is>
      </c>
      <c r="F200" s="2" t="inlineStr"/>
    </row>
    <row r="201">
      <c r="A201" s="4" t="inlineStr">
        <is>
          <t>ALT_00200</t>
        </is>
      </c>
      <c r="B201" s="4" t="inlineStr">
        <is>
          <t>TXN_000202</t>
        </is>
      </c>
      <c r="C201" s="4" t="inlineStr">
        <is>
          <t>Round-Amount</t>
        </is>
      </c>
      <c r="D201" s="4" t="inlineStr">
        <is>
          <t>2026-01-17</t>
        </is>
      </c>
      <c r="E201" s="4" t="inlineStr">
        <is>
          <t>Closed</t>
        </is>
      </c>
      <c r="F201" s="4" t="inlineStr">
        <is>
          <t>8</t>
        </is>
      </c>
    </row>
    <row r="202">
      <c r="A202" s="2" t="inlineStr">
        <is>
          <t>ALT_00201</t>
        </is>
      </c>
      <c r="B202" s="2" t="inlineStr">
        <is>
          <t>TXN_001200</t>
        </is>
      </c>
      <c r="C202" s="2" t="inlineStr">
        <is>
          <t>Dormant-Reactivation</t>
        </is>
      </c>
      <c r="D202" s="2" t="inlineStr">
        <is>
          <t>2026-04-01</t>
        </is>
      </c>
      <c r="E202" s="2" t="inlineStr">
        <is>
          <t>Open</t>
        </is>
      </c>
      <c r="F202" s="2" t="inlineStr"/>
    </row>
    <row r="203">
      <c r="A203" s="4" t="inlineStr">
        <is>
          <t>ALT_00202</t>
        </is>
      </c>
      <c r="B203" s="4" t="inlineStr">
        <is>
          <t>TXN_000793</t>
        </is>
      </c>
      <c r="C203" s="4" t="inlineStr">
        <is>
          <t>Velocity</t>
        </is>
      </c>
      <c r="D203" s="4" t="inlineStr">
        <is>
          <t>2026-03-02</t>
        </is>
      </c>
      <c r="E203" s="4" t="inlineStr">
        <is>
          <t>Closed</t>
        </is>
      </c>
      <c r="F203" s="4" t="inlineStr">
        <is>
          <t>14</t>
        </is>
      </c>
    </row>
    <row r="204">
      <c r="A204" s="2" t="inlineStr">
        <is>
          <t>ALT_00203</t>
        </is>
      </c>
      <c r="B204" s="2" t="inlineStr">
        <is>
          <t>TXN_000813</t>
        </is>
      </c>
      <c r="C204" s="2" t="inlineStr">
        <is>
          <t>High-Risk Country</t>
        </is>
      </c>
      <c r="D204" s="2" t="inlineStr">
        <is>
          <t>2026-03-04</t>
        </is>
      </c>
      <c r="E204" s="2" t="inlineStr">
        <is>
          <t>Closed</t>
        </is>
      </c>
      <c r="F204" s="2" t="inlineStr">
        <is>
          <t>9</t>
        </is>
      </c>
    </row>
    <row r="205">
      <c r="A205" s="4" t="inlineStr">
        <is>
          <t>ALT_00204</t>
        </is>
      </c>
      <c r="B205" s="4" t="inlineStr">
        <is>
          <t>TXN_001505</t>
        </is>
      </c>
      <c r="C205" s="4" t="inlineStr">
        <is>
          <t>Velocity</t>
        </is>
      </c>
      <c r="D205" s="4" t="inlineStr">
        <is>
          <t>2026-04-25</t>
        </is>
      </c>
      <c r="E205" s="4" t="inlineStr">
        <is>
          <t>Closed</t>
        </is>
      </c>
      <c r="F205" s="4" t="inlineStr">
        <is>
          <t>13</t>
        </is>
      </c>
    </row>
    <row r="206">
      <c r="A206" s="2" t="inlineStr">
        <is>
          <t>ALT_00205</t>
        </is>
      </c>
      <c r="B206" s="2" t="inlineStr">
        <is>
          <t>TXN_000591</t>
        </is>
      </c>
      <c r="C206" s="2" t="inlineStr">
        <is>
          <t>Velocity</t>
        </is>
      </c>
      <c r="D206" s="2" t="inlineStr">
        <is>
          <t>2026-02-13</t>
        </is>
      </c>
      <c r="E206" s="2" t="inlineStr">
        <is>
          <t>Closed</t>
        </is>
      </c>
      <c r="F206" s="2" t="inlineStr">
        <is>
          <t>1</t>
        </is>
      </c>
    </row>
    <row r="207">
      <c r="A207" s="4" t="inlineStr">
        <is>
          <t>ALT_00206</t>
        </is>
      </c>
      <c r="B207" s="4" t="inlineStr">
        <is>
          <t>TXN_001449</t>
        </is>
      </c>
      <c r="C207" s="4" t="inlineStr">
        <is>
          <t>High-Risk Country</t>
        </is>
      </c>
      <c r="D207" s="4" t="inlineStr">
        <is>
          <t>2026-04-19</t>
        </is>
      </c>
      <c r="E207" s="4" t="inlineStr">
        <is>
          <t>Escalated</t>
        </is>
      </c>
      <c r="F207" s="4" t="inlineStr"/>
    </row>
    <row r="208">
      <c r="A208" s="2" t="inlineStr">
        <is>
          <t>ALT_00207</t>
        </is>
      </c>
      <c r="B208" s="2" t="inlineStr">
        <is>
          <t>TXN_000525</t>
        </is>
      </c>
      <c r="C208" s="2" t="inlineStr">
        <is>
          <t>Round-Amount</t>
        </is>
      </c>
      <c r="D208" s="2" t="inlineStr">
        <is>
          <t>2026-02-09</t>
        </is>
      </c>
      <c r="E208" s="2" t="inlineStr">
        <is>
          <t>Closed</t>
        </is>
      </c>
      <c r="F208" s="2" t="inlineStr">
        <is>
          <t>11</t>
        </is>
      </c>
    </row>
    <row r="209">
      <c r="A209" s="4" t="inlineStr">
        <is>
          <t>ALT_00208</t>
        </is>
      </c>
      <c r="B209" s="4" t="inlineStr">
        <is>
          <t>TXN_000745</t>
        </is>
      </c>
      <c r="C209" s="4" t="inlineStr">
        <is>
          <t>Round-Amount</t>
        </is>
      </c>
      <c r="D209" s="4" t="inlineStr">
        <is>
          <t>2026-02-26</t>
        </is>
      </c>
      <c r="E209" s="4" t="inlineStr">
        <is>
          <t>Open</t>
        </is>
      </c>
      <c r="F209" s="4" t="inlineStr"/>
    </row>
    <row r="210">
      <c r="A210" s="2" t="inlineStr">
        <is>
          <t>ALT_00209</t>
        </is>
      </c>
      <c r="B210" s="2" t="inlineStr">
        <is>
          <t>TXN_000541</t>
        </is>
      </c>
      <c r="C210" s="2" t="inlineStr">
        <is>
          <t>Velocity</t>
        </is>
      </c>
      <c r="D210" s="2" t="inlineStr">
        <is>
          <t>2026-02-08</t>
        </is>
      </c>
      <c r="E210" s="2" t="inlineStr">
        <is>
          <t>Closed</t>
        </is>
      </c>
      <c r="F210" s="2" t="inlineStr">
        <is>
          <t>14</t>
        </is>
      </c>
    </row>
    <row r="211">
      <c r="A211" s="4" t="inlineStr">
        <is>
          <t>ALT_00210</t>
        </is>
      </c>
      <c r="B211" s="4" t="inlineStr">
        <is>
          <t>TXN_000669</t>
        </is>
      </c>
      <c r="C211" s="4" t="inlineStr">
        <is>
          <t>Velocity</t>
        </is>
      </c>
      <c r="D211" s="4" t="inlineStr">
        <is>
          <t>2026-02-21</t>
        </is>
      </c>
      <c r="E211" s="4" t="inlineStr">
        <is>
          <t>Open</t>
        </is>
      </c>
      <c r="F211" s="4" t="inlineStr"/>
    </row>
    <row r="212">
      <c r="A212" s="2" t="inlineStr">
        <is>
          <t>ALT_00211</t>
        </is>
      </c>
      <c r="B212" s="2" t="inlineStr">
        <is>
          <t>TXN_000605</t>
        </is>
      </c>
      <c r="C212" s="2" t="inlineStr">
        <is>
          <t>High-Risk Country</t>
        </is>
      </c>
      <c r="D212" s="2" t="inlineStr">
        <is>
          <t>2026-02-13</t>
        </is>
      </c>
      <c r="E212" s="2" t="inlineStr">
        <is>
          <t>Closed</t>
        </is>
      </c>
      <c r="F212" s="2" t="inlineStr">
        <is>
          <t>2</t>
        </is>
      </c>
    </row>
    <row r="213">
      <c r="A213" s="4" t="inlineStr">
        <is>
          <t>ALT_00212</t>
        </is>
      </c>
      <c r="B213" s="4" t="inlineStr">
        <is>
          <t>TXN_000296</t>
        </is>
      </c>
      <c r="C213" s="4" t="inlineStr">
        <is>
          <t>Round-Amount</t>
        </is>
      </c>
      <c r="D213" s="4" t="inlineStr">
        <is>
          <t>2026-01-24</t>
        </is>
      </c>
      <c r="E213" s="4" t="inlineStr">
        <is>
          <t>Escalated</t>
        </is>
      </c>
      <c r="F213" s="4" t="inlineStr"/>
    </row>
    <row r="214">
      <c r="A214" s="2" t="inlineStr">
        <is>
          <t>ALT_00213</t>
        </is>
      </c>
      <c r="B214" s="2" t="inlineStr">
        <is>
          <t>TXN_000426</t>
        </is>
      </c>
      <c r="C214" s="2" t="inlineStr">
        <is>
          <t>High-Risk Country</t>
        </is>
      </c>
      <c r="D214" s="2" t="inlineStr">
        <is>
          <t>2026-02-01</t>
        </is>
      </c>
      <c r="E214" s="2" t="inlineStr">
        <is>
          <t>Open</t>
        </is>
      </c>
      <c r="F214" s="2" t="inlineStr"/>
    </row>
    <row r="215">
      <c r="A215" s="4" t="inlineStr">
        <is>
          <t>ALT_00214</t>
        </is>
      </c>
      <c r="B215" s="4" t="inlineStr">
        <is>
          <t>TXN_000493</t>
        </is>
      </c>
      <c r="C215" s="4" t="inlineStr">
        <is>
          <t>High-Risk Country</t>
        </is>
      </c>
      <c r="D215" s="4" t="inlineStr">
        <is>
          <t>2026-02-06</t>
        </is>
      </c>
      <c r="E215" s="4" t="inlineStr">
        <is>
          <t>Open</t>
        </is>
      </c>
      <c r="F215" s="4" t="inlineStr"/>
    </row>
    <row r="216">
      <c r="A216" s="2" t="inlineStr">
        <is>
          <t>ALT_00215</t>
        </is>
      </c>
      <c r="B216" s="2" t="inlineStr">
        <is>
          <t>TXN_000200</t>
        </is>
      </c>
      <c r="C216" s="2" t="inlineStr">
        <is>
          <t>Round-Amount</t>
        </is>
      </c>
      <c r="D216" s="2" t="inlineStr">
        <is>
          <t>2026-01-17</t>
        </is>
      </c>
      <c r="E216" s="2" t="inlineStr">
        <is>
          <t>Open</t>
        </is>
      </c>
      <c r="F216" s="2" t="inlineStr"/>
    </row>
    <row r="217">
      <c r="A217" s="4" t="inlineStr">
        <is>
          <t>ALT_00216</t>
        </is>
      </c>
      <c r="B217" s="4" t="inlineStr">
        <is>
          <t>TXN_001317</t>
        </is>
      </c>
      <c r="C217" s="4" t="inlineStr">
        <is>
          <t>Velocity</t>
        </is>
      </c>
      <c r="D217" s="4" t="inlineStr">
        <is>
          <t>2026-04-08</t>
        </is>
      </c>
      <c r="E217" s="4" t="inlineStr">
        <is>
          <t>Closed</t>
        </is>
      </c>
      <c r="F217" s="4" t="inlineStr">
        <is>
          <t>8</t>
        </is>
      </c>
    </row>
    <row r="218">
      <c r="A218" s="2" t="inlineStr">
        <is>
          <t>ALT_00217</t>
        </is>
      </c>
      <c r="B218" s="2" t="inlineStr">
        <is>
          <t>TXN_000460</t>
        </is>
      </c>
      <c r="C218" s="2" t="inlineStr">
        <is>
          <t>Dormant-Reactivation</t>
        </is>
      </c>
      <c r="D218" s="2" t="inlineStr">
        <is>
          <t>2026-02-06</t>
        </is>
      </c>
      <c r="E218" s="2" t="inlineStr">
        <is>
          <t>Closed</t>
        </is>
      </c>
      <c r="F218" s="2" t="inlineStr">
        <is>
          <t>13</t>
        </is>
      </c>
    </row>
    <row r="219">
      <c r="A219" s="4" t="inlineStr">
        <is>
          <t>ALT_00218</t>
        </is>
      </c>
      <c r="B219" s="4" t="inlineStr">
        <is>
          <t>TXN_000875</t>
        </is>
      </c>
      <c r="C219" s="4" t="inlineStr">
        <is>
          <t>Dormant-Reactivation</t>
        </is>
      </c>
      <c r="D219" s="4" t="inlineStr">
        <is>
          <t>2026-03-08</t>
        </is>
      </c>
      <c r="E219" s="4" t="inlineStr">
        <is>
          <t>Closed</t>
        </is>
      </c>
      <c r="F219" s="4" t="inlineStr">
        <is>
          <t>1</t>
        </is>
      </c>
    </row>
    <row r="220">
      <c r="A220" s="2" t="inlineStr">
        <is>
          <t>ALT_00219</t>
        </is>
      </c>
      <c r="B220" s="2" t="inlineStr">
        <is>
          <t>TXN_000916</t>
        </is>
      </c>
      <c r="C220" s="2" t="inlineStr">
        <is>
          <t>High-Risk Country</t>
        </is>
      </c>
      <c r="D220" s="2" t="inlineStr">
        <is>
          <t>2026-03-10</t>
        </is>
      </c>
      <c r="E220" s="2" t="inlineStr">
        <is>
          <t>Closed</t>
        </is>
      </c>
      <c r="F220" s="2" t="inlineStr">
        <is>
          <t>12</t>
        </is>
      </c>
    </row>
    <row r="221">
      <c r="A221" s="4" t="inlineStr">
        <is>
          <t>ALT_00220</t>
        </is>
      </c>
      <c r="B221" s="4" t="inlineStr">
        <is>
          <t>TXN_000469</t>
        </is>
      </c>
      <c r="C221" s="4" t="inlineStr">
        <is>
          <t>High-Risk Country</t>
        </is>
      </c>
      <c r="D221" s="4" t="inlineStr">
        <is>
          <t>2026-02-04</t>
        </is>
      </c>
      <c r="E221" s="4" t="inlineStr">
        <is>
          <t>Escalated</t>
        </is>
      </c>
      <c r="F221" s="4" t="inlineStr"/>
    </row>
    <row r="222">
      <c r="A222" s="2" t="inlineStr">
        <is>
          <t>ALT_00221</t>
        </is>
      </c>
      <c r="B222" s="2" t="inlineStr">
        <is>
          <t>TXN_000994</t>
        </is>
      </c>
      <c r="C222" s="2" t="inlineStr">
        <is>
          <t>Velocity</t>
        </is>
      </c>
      <c r="D222" s="2" t="inlineStr">
        <is>
          <t>2026-03-17</t>
        </is>
      </c>
      <c r="E222" s="2" t="inlineStr">
        <is>
          <t>Open</t>
        </is>
      </c>
      <c r="F222" s="2" t="inlineStr"/>
    </row>
    <row r="223">
      <c r="A223" s="4" t="inlineStr">
        <is>
          <t>ALT_00222</t>
        </is>
      </c>
      <c r="B223" s="4" t="inlineStr">
        <is>
          <t>TXN_000201</t>
        </is>
      </c>
      <c r="C223" s="4" t="inlineStr">
        <is>
          <t>Round-Amount</t>
        </is>
      </c>
      <c r="D223" s="4" t="inlineStr">
        <is>
          <t>2026-01-17</t>
        </is>
      </c>
      <c r="E223" s="4" t="inlineStr">
        <is>
          <t>Escalated</t>
        </is>
      </c>
      <c r="F223" s="4" t="inlineStr"/>
    </row>
    <row r="224">
      <c r="A224" s="2" t="inlineStr">
        <is>
          <t>ALT_00223</t>
        </is>
      </c>
      <c r="B224" s="2" t="inlineStr">
        <is>
          <t>TXN_001609</t>
        </is>
      </c>
      <c r="C224" s="2" t="inlineStr">
        <is>
          <t>Round-Amount</t>
        </is>
      </c>
      <c r="D224" s="2" t="inlineStr">
        <is>
          <t>2026-05-01</t>
        </is>
      </c>
      <c r="E224" s="2" t="inlineStr">
        <is>
          <t>Escalated</t>
        </is>
      </c>
      <c r="F224" s="2" t="inlineStr"/>
    </row>
    <row r="225">
      <c r="A225" s="4" t="inlineStr">
        <is>
          <t>ALT_00224</t>
        </is>
      </c>
      <c r="B225" s="4" t="inlineStr">
        <is>
          <t>TXN_000615</t>
        </is>
      </c>
      <c r="C225" s="4" t="inlineStr">
        <is>
          <t>Dormant-Reactivation</t>
        </is>
      </c>
      <c r="D225" s="4" t="inlineStr">
        <is>
          <t>2026-02-14</t>
        </is>
      </c>
      <c r="E225" s="4" t="inlineStr">
        <is>
          <t>Closed</t>
        </is>
      </c>
      <c r="F225" s="4" t="inlineStr">
        <is>
          <t>14</t>
        </is>
      </c>
    </row>
    <row r="226">
      <c r="A226" s="2" t="inlineStr">
        <is>
          <t>ALT_00225</t>
        </is>
      </c>
      <c r="B226" s="2" t="inlineStr">
        <is>
          <t>TXN_001353</t>
        </is>
      </c>
      <c r="C226" s="2" t="inlineStr">
        <is>
          <t>Dormant-Reactivation</t>
        </is>
      </c>
      <c r="D226" s="2" t="inlineStr">
        <is>
          <t>2026-04-13</t>
        </is>
      </c>
      <c r="E226" s="2" t="inlineStr">
        <is>
          <t>Escalated</t>
        </is>
      </c>
      <c r="F226" s="2" t="inlineStr"/>
    </row>
    <row r="227">
      <c r="A227" s="4" t="inlineStr">
        <is>
          <t>ALT_00226</t>
        </is>
      </c>
      <c r="B227" s="4" t="inlineStr">
        <is>
          <t>TXN_000408</t>
        </is>
      </c>
      <c r="C227" s="4" t="inlineStr">
        <is>
          <t>High-Risk Country</t>
        </is>
      </c>
      <c r="D227" s="4" t="inlineStr">
        <is>
          <t>2026-02-01</t>
        </is>
      </c>
      <c r="E227" s="4" t="inlineStr">
        <is>
          <t>Open</t>
        </is>
      </c>
      <c r="F227" s="4" t="inlineStr"/>
    </row>
    <row r="228">
      <c r="A228" s="2" t="inlineStr">
        <is>
          <t>ALT_00227</t>
        </is>
      </c>
      <c r="B228" s="2" t="inlineStr">
        <is>
          <t>TXN_000055</t>
        </is>
      </c>
      <c r="C228" s="2" t="inlineStr">
        <is>
          <t>High-Risk Country</t>
        </is>
      </c>
      <c r="D228" s="2" t="inlineStr">
        <is>
          <t>2026-01-04</t>
        </is>
      </c>
      <c r="E228" s="2" t="inlineStr">
        <is>
          <t>Open</t>
        </is>
      </c>
      <c r="F228" s="2" t="inlineStr"/>
    </row>
    <row r="229">
      <c r="A229" s="4" t="inlineStr">
        <is>
          <t>ALT_00228</t>
        </is>
      </c>
      <c r="B229" s="4" t="inlineStr">
        <is>
          <t>TXN_001611</t>
        </is>
      </c>
      <c r="C229" s="4" t="inlineStr">
        <is>
          <t>Velocity</t>
        </is>
      </c>
      <c r="D229" s="4" t="inlineStr">
        <is>
          <t>2026-04-29</t>
        </is>
      </c>
      <c r="E229" s="4" t="inlineStr">
        <is>
          <t>Open</t>
        </is>
      </c>
      <c r="F229" s="4" t="inlineStr"/>
    </row>
    <row r="230">
      <c r="A230" s="2" t="inlineStr">
        <is>
          <t>ALT_00229</t>
        </is>
      </c>
      <c r="B230" s="2" t="inlineStr">
        <is>
          <t>TXN_000114</t>
        </is>
      </c>
      <c r="C230" s="2" t="inlineStr">
        <is>
          <t>High-Risk Country</t>
        </is>
      </c>
      <c r="D230" s="2" t="inlineStr">
        <is>
          <t>2026-01-09</t>
        </is>
      </c>
      <c r="E230" s="2" t="inlineStr">
        <is>
          <t>Open</t>
        </is>
      </c>
      <c r="F230" s="2" t="inlineStr"/>
    </row>
    <row r="231">
      <c r="A231" s="4" t="inlineStr">
        <is>
          <t>ALT_00230</t>
        </is>
      </c>
      <c r="B231" s="4" t="inlineStr">
        <is>
          <t>TXN_000413</t>
        </is>
      </c>
      <c r="C231" s="4" t="inlineStr">
        <is>
          <t>Velocity</t>
        </is>
      </c>
      <c r="D231" s="4" t="inlineStr">
        <is>
          <t>2026-01-31</t>
        </is>
      </c>
      <c r="E231" s="4" t="inlineStr">
        <is>
          <t>Open</t>
        </is>
      </c>
      <c r="F231" s="4" t="inlineStr"/>
    </row>
    <row r="232">
      <c r="A232" s="2" t="inlineStr">
        <is>
          <t>ALT_00231</t>
        </is>
      </c>
      <c r="B232" s="2" t="inlineStr">
        <is>
          <t>TXN_001118</t>
        </is>
      </c>
      <c r="C232" s="2" t="inlineStr">
        <is>
          <t>High-Risk Country</t>
        </is>
      </c>
      <c r="D232" s="2" t="inlineStr">
        <is>
          <t>2026-03-26</t>
        </is>
      </c>
      <c r="E232" s="2" t="inlineStr">
        <is>
          <t>Open</t>
        </is>
      </c>
      <c r="F232" s="2" t="inlineStr"/>
    </row>
    <row r="233">
      <c r="A233" s="4" t="inlineStr">
        <is>
          <t>ALT_00232</t>
        </is>
      </c>
      <c r="B233" s="4" t="inlineStr">
        <is>
          <t>TXN_000315</t>
        </is>
      </c>
      <c r="C233" s="4" t="inlineStr">
        <is>
          <t>High-Risk Country</t>
        </is>
      </c>
      <c r="D233" s="4" t="inlineStr">
        <is>
          <t>2026-01-25</t>
        </is>
      </c>
      <c r="E233" s="4" t="inlineStr">
        <is>
          <t>Closed</t>
        </is>
      </c>
      <c r="F233" s="4" t="inlineStr">
        <is>
          <t>14</t>
        </is>
      </c>
    </row>
    <row r="234">
      <c r="A234" s="2" t="inlineStr">
        <is>
          <t>ALT_00233</t>
        </is>
      </c>
      <c r="B234" s="2" t="inlineStr">
        <is>
          <t>TXN_000026</t>
        </is>
      </c>
      <c r="C234" s="2" t="inlineStr">
        <is>
          <t>High-Risk Country</t>
        </is>
      </c>
      <c r="D234" s="2" t="inlineStr">
        <is>
          <t>2026-01-04</t>
        </is>
      </c>
      <c r="E234" s="2" t="inlineStr">
        <is>
          <t>Escalated</t>
        </is>
      </c>
      <c r="F234" s="2" t="inlineStr"/>
    </row>
    <row r="235">
      <c r="A235" s="4" t="inlineStr">
        <is>
          <t>ALT_00234</t>
        </is>
      </c>
      <c r="B235" s="4" t="inlineStr">
        <is>
          <t>TXN_000312</t>
        </is>
      </c>
      <c r="C235" s="4" t="inlineStr">
        <is>
          <t>Velocity</t>
        </is>
      </c>
      <c r="D235" s="4" t="inlineStr">
        <is>
          <t>2026-01-25</t>
        </is>
      </c>
      <c r="E235" s="4" t="inlineStr">
        <is>
          <t>Open</t>
        </is>
      </c>
      <c r="F235" s="4" t="inlineStr"/>
    </row>
    <row r="236">
      <c r="A236" s="2" t="inlineStr">
        <is>
          <t>ALT_00235</t>
        </is>
      </c>
      <c r="B236" s="2" t="inlineStr">
        <is>
          <t>TXN_000703</t>
        </is>
      </c>
      <c r="C236" s="2" t="inlineStr">
        <is>
          <t>Velocity</t>
        </is>
      </c>
      <c r="D236" s="2" t="inlineStr">
        <is>
          <t>2026-02-22</t>
        </is>
      </c>
      <c r="E236" s="2" t="inlineStr">
        <is>
          <t>Open</t>
        </is>
      </c>
      <c r="F236" s="2" t="inlineStr"/>
    </row>
    <row r="237">
      <c r="A237" s="4" t="inlineStr">
        <is>
          <t>ALT_00236</t>
        </is>
      </c>
      <c r="B237" s="4" t="inlineStr">
        <is>
          <t>TXN_001038</t>
        </is>
      </c>
      <c r="C237" s="4" t="inlineStr">
        <is>
          <t>Velocity</t>
        </is>
      </c>
      <c r="D237" s="4" t="inlineStr">
        <is>
          <t>2026-03-18</t>
        </is>
      </c>
      <c r="E237" s="4" t="inlineStr">
        <is>
          <t>Closed</t>
        </is>
      </c>
      <c r="F237" s="4" t="inlineStr">
        <is>
          <t>4</t>
        </is>
      </c>
    </row>
    <row r="238">
      <c r="A238" s="2" t="inlineStr">
        <is>
          <t>ALT_00237</t>
        </is>
      </c>
      <c r="B238" s="2" t="inlineStr">
        <is>
          <t>TXN_000077</t>
        </is>
      </c>
      <c r="C238" s="2" t="inlineStr">
        <is>
          <t>High-Risk Country</t>
        </is>
      </c>
      <c r="D238" s="2" t="inlineStr">
        <is>
          <t>2026-01-06</t>
        </is>
      </c>
      <c r="E238" s="2" t="inlineStr">
        <is>
          <t>Closed</t>
        </is>
      </c>
      <c r="F238" s="2" t="inlineStr">
        <is>
          <t>4</t>
        </is>
      </c>
    </row>
    <row r="239">
      <c r="A239" s="4" t="inlineStr">
        <is>
          <t>ALT_00238</t>
        </is>
      </c>
      <c r="B239" s="4" t="inlineStr">
        <is>
          <t>TXN_000407</t>
        </is>
      </c>
      <c r="C239" s="4" t="inlineStr">
        <is>
          <t>High-Risk Country</t>
        </is>
      </c>
      <c r="D239" s="4" t="inlineStr">
        <is>
          <t>2026-02-02</t>
        </is>
      </c>
      <c r="E239" s="4" t="inlineStr">
        <is>
          <t>Closed</t>
        </is>
      </c>
      <c r="F239" s="4" t="inlineStr">
        <is>
          <t>6</t>
        </is>
      </c>
    </row>
    <row r="240">
      <c r="A240" s="2" t="inlineStr">
        <is>
          <t>ALT_00239</t>
        </is>
      </c>
      <c r="B240" s="2" t="inlineStr">
        <is>
          <t>TXN_000359</t>
        </is>
      </c>
      <c r="C240" s="2" t="inlineStr">
        <is>
          <t>Round-Amount</t>
        </is>
      </c>
      <c r="D240" s="2" t="inlineStr">
        <is>
          <t>2026-01-29</t>
        </is>
      </c>
      <c r="E240" s="2" t="inlineStr">
        <is>
          <t>Escalated</t>
        </is>
      </c>
      <c r="F240" s="2" t="inlineStr"/>
    </row>
    <row r="241">
      <c r="A241" s="4" t="inlineStr">
        <is>
          <t>ALT_00240</t>
        </is>
      </c>
      <c r="B241" s="4" t="inlineStr">
        <is>
          <t>TXN_001068</t>
        </is>
      </c>
      <c r="C241" s="4" t="inlineStr">
        <is>
          <t>High-Risk Country</t>
        </is>
      </c>
      <c r="D241" s="4" t="inlineStr">
        <is>
          <t>2026-03-22</t>
        </is>
      </c>
      <c r="E241" s="4" t="inlineStr">
        <is>
          <t>Escalated</t>
        </is>
      </c>
      <c r="F241" s="4" t="inlineStr"/>
    </row>
    <row r="242">
      <c r="A242" s="2" t="inlineStr">
        <is>
          <t>ALT_00241</t>
        </is>
      </c>
      <c r="B242" s="2" t="inlineStr">
        <is>
          <t>TXN_001224</t>
        </is>
      </c>
      <c r="C242" s="2" t="inlineStr">
        <is>
          <t>High-Risk Country</t>
        </is>
      </c>
      <c r="D242" s="2" t="inlineStr">
        <is>
          <t>2026-04-01</t>
        </is>
      </c>
      <c r="E242" s="2" t="inlineStr">
        <is>
          <t>Closed</t>
        </is>
      </c>
      <c r="F242" s="2" t="inlineStr">
        <is>
          <t>3</t>
        </is>
      </c>
    </row>
    <row r="243">
      <c r="A243" s="4" t="inlineStr">
        <is>
          <t>ALT_00242</t>
        </is>
      </c>
      <c r="B243" s="4" t="inlineStr">
        <is>
          <t>TXN_000293</t>
        </is>
      </c>
      <c r="C243" s="4" t="inlineStr">
        <is>
          <t>Velocity</t>
        </is>
      </c>
      <c r="D243" s="4" t="inlineStr">
        <is>
          <t>2026-01-22</t>
        </is>
      </c>
      <c r="E243" s="4" t="inlineStr">
        <is>
          <t>Closed</t>
        </is>
      </c>
      <c r="F243" s="4" t="inlineStr">
        <is>
          <t>3</t>
        </is>
      </c>
    </row>
    <row r="244">
      <c r="A244" s="2" t="inlineStr">
        <is>
          <t>ALT_00243</t>
        </is>
      </c>
      <c r="B244" s="2" t="inlineStr">
        <is>
          <t>TXN_001057</t>
        </is>
      </c>
      <c r="C244" s="2" t="inlineStr">
        <is>
          <t>High-Risk Country</t>
        </is>
      </c>
      <c r="D244" s="2" t="inlineStr">
        <is>
          <t>2026-03-19</t>
        </is>
      </c>
      <c r="E244" s="2" t="inlineStr">
        <is>
          <t>Escalated</t>
        </is>
      </c>
      <c r="F244" s="2" t="inlineStr"/>
    </row>
    <row r="245">
      <c r="A245" s="4" t="inlineStr">
        <is>
          <t>ALT_00244</t>
        </is>
      </c>
      <c r="B245" s="4" t="inlineStr">
        <is>
          <t>TXN_000362</t>
        </is>
      </c>
      <c r="C245" s="4" t="inlineStr">
        <is>
          <t>Round-Amount</t>
        </is>
      </c>
      <c r="D245" s="4" t="inlineStr">
        <is>
          <t>2026-01-29</t>
        </is>
      </c>
      <c r="E245" s="4" t="inlineStr">
        <is>
          <t>Open</t>
        </is>
      </c>
      <c r="F245" s="4" t="inlineStr"/>
    </row>
    <row r="246">
      <c r="A246" s="2" t="inlineStr">
        <is>
          <t>ALT_00245</t>
        </is>
      </c>
      <c r="B246" s="2" t="inlineStr">
        <is>
          <t>TXN_001415</t>
        </is>
      </c>
      <c r="C246" s="2" t="inlineStr">
        <is>
          <t>High-Risk Country</t>
        </is>
      </c>
      <c r="D246" s="2" t="inlineStr">
        <is>
          <t>2026-04-18</t>
        </is>
      </c>
      <c r="E246" s="2" t="inlineStr">
        <is>
          <t>Closed</t>
        </is>
      </c>
      <c r="F246" s="2" t="inlineStr">
        <is>
          <t>3</t>
        </is>
      </c>
    </row>
    <row r="247">
      <c r="A247" s="4" t="inlineStr">
        <is>
          <t>ALT_00246</t>
        </is>
      </c>
      <c r="B247" s="4" t="inlineStr">
        <is>
          <t>TXN_000328</t>
        </is>
      </c>
      <c r="C247" s="4" t="inlineStr">
        <is>
          <t>Round-Amount</t>
        </is>
      </c>
      <c r="D247" s="4" t="inlineStr">
        <is>
          <t>2026-01-27</t>
        </is>
      </c>
      <c r="E247" s="4" t="inlineStr">
        <is>
          <t>Closed</t>
        </is>
      </c>
      <c r="F247" s="4" t="inlineStr">
        <is>
          <t>7</t>
        </is>
      </c>
    </row>
    <row r="248">
      <c r="A248" s="2" t="inlineStr">
        <is>
          <t>ALT_00247</t>
        </is>
      </c>
      <c r="B248" s="2" t="inlineStr">
        <is>
          <t>TXN_001569</t>
        </is>
      </c>
      <c r="C248" s="2" t="inlineStr">
        <is>
          <t>Velocity</t>
        </is>
      </c>
      <c r="D248" s="2" t="inlineStr">
        <is>
          <t>2026-04-27</t>
        </is>
      </c>
      <c r="E248" s="2" t="inlineStr">
        <is>
          <t>Closed</t>
        </is>
      </c>
      <c r="F248" s="2" t="inlineStr">
        <is>
          <t>11</t>
        </is>
      </c>
    </row>
    <row r="249">
      <c r="A249" s="4" t="inlineStr">
        <is>
          <t>ALT_00248</t>
        </is>
      </c>
      <c r="B249" s="4" t="inlineStr">
        <is>
          <t>TXN_000996</t>
        </is>
      </c>
      <c r="C249" s="4" t="inlineStr">
        <is>
          <t>Velocity</t>
        </is>
      </c>
      <c r="D249" s="4" t="inlineStr">
        <is>
          <t>2026-03-16</t>
        </is>
      </c>
      <c r="E249" s="4" t="inlineStr">
        <is>
          <t>Open</t>
        </is>
      </c>
      <c r="F249" s="4" t="inlineStr"/>
    </row>
    <row r="250">
      <c r="A250" s="2" t="inlineStr">
        <is>
          <t>ALT_00249</t>
        </is>
      </c>
      <c r="B250" s="2" t="inlineStr">
        <is>
          <t>TXN_000588</t>
        </is>
      </c>
      <c r="C250" s="2" t="inlineStr">
        <is>
          <t>Velocity</t>
        </is>
      </c>
      <c r="D250" s="2" t="inlineStr">
        <is>
          <t>2026-02-13</t>
        </is>
      </c>
      <c r="E250" s="2" t="inlineStr">
        <is>
          <t>Closed</t>
        </is>
      </c>
      <c r="F250" s="2" t="inlineStr">
        <is>
          <t>4</t>
        </is>
      </c>
    </row>
    <row r="251">
      <c r="A251" s="4" t="inlineStr">
        <is>
          <t>ALT_00250</t>
        </is>
      </c>
      <c r="B251" s="4" t="inlineStr">
        <is>
          <t>TXN_000083</t>
        </is>
      </c>
      <c r="C251" s="4" t="inlineStr">
        <is>
          <t>Dormant-Reactivation</t>
        </is>
      </c>
      <c r="D251" s="4" t="inlineStr">
        <is>
          <t>2026-01-07</t>
        </is>
      </c>
      <c r="E251" s="4" t="inlineStr">
        <is>
          <t>Escalated</t>
        </is>
      </c>
      <c r="F251" s="4" t="inlineStr"/>
    </row>
    <row r="252">
      <c r="A252" s="2" t="inlineStr">
        <is>
          <t>ALT_00251</t>
        </is>
      </c>
      <c r="B252" s="2" t="inlineStr">
        <is>
          <t>TXN_000739</t>
        </is>
      </c>
      <c r="C252" s="2" t="inlineStr">
        <is>
          <t>High-Risk Country</t>
        </is>
      </c>
      <c r="D252" s="2" t="inlineStr">
        <is>
          <t>2026-02-25</t>
        </is>
      </c>
      <c r="E252" s="2" t="inlineStr">
        <is>
          <t>Closed</t>
        </is>
      </c>
      <c r="F252" s="2" t="inlineStr">
        <is>
          <t>1</t>
        </is>
      </c>
    </row>
    <row r="253">
      <c r="A253" s="4" t="inlineStr">
        <is>
          <t>ALT_00252</t>
        </is>
      </c>
      <c r="B253" s="4" t="inlineStr">
        <is>
          <t>TXN_000425</t>
        </is>
      </c>
      <c r="C253" s="4" t="inlineStr">
        <is>
          <t>Dormant-Reactivation</t>
        </is>
      </c>
      <c r="D253" s="4" t="inlineStr">
        <is>
          <t>2026-02-02</t>
        </is>
      </c>
      <c r="E253" s="4" t="inlineStr">
        <is>
          <t>Closed</t>
        </is>
      </c>
      <c r="F253" s="4" t="inlineStr">
        <is>
          <t>5</t>
        </is>
      </c>
    </row>
    <row r="254">
      <c r="A254" s="2" t="inlineStr">
        <is>
          <t>ALT_00253</t>
        </is>
      </c>
      <c r="B254" s="2" t="inlineStr">
        <is>
          <t>TXN_001263</t>
        </is>
      </c>
      <c r="C254" s="2" t="inlineStr">
        <is>
          <t>High-Risk Country</t>
        </is>
      </c>
      <c r="D254" s="2" t="inlineStr">
        <is>
          <t>2026-04-04</t>
        </is>
      </c>
      <c r="E254" s="2" t="inlineStr">
        <is>
          <t>Closed</t>
        </is>
      </c>
      <c r="F254" s="2" t="inlineStr">
        <is>
          <t>9</t>
        </is>
      </c>
    </row>
    <row r="255">
      <c r="A255" s="4" t="inlineStr">
        <is>
          <t>ALT_00254</t>
        </is>
      </c>
      <c r="B255" s="4" t="inlineStr">
        <is>
          <t>TXN_000396</t>
        </is>
      </c>
      <c r="C255" s="4" t="inlineStr">
        <is>
          <t>High-Risk Country</t>
        </is>
      </c>
      <c r="D255" s="4" t="inlineStr">
        <is>
          <t>2026-01-30</t>
        </is>
      </c>
      <c r="E255" s="4" t="inlineStr">
        <is>
          <t>Escalated</t>
        </is>
      </c>
      <c r="F255" s="4" t="inlineStr"/>
    </row>
    <row r="256">
      <c r="A256" s="2" t="inlineStr">
        <is>
          <t>ALT_00255</t>
        </is>
      </c>
      <c r="B256" s="2" t="inlineStr">
        <is>
          <t>TXN_000065</t>
        </is>
      </c>
      <c r="C256" s="2" t="inlineStr">
        <is>
          <t>Dormant-Reactivation</t>
        </is>
      </c>
      <c r="D256" s="2" t="inlineStr">
        <is>
          <t>2026-01-06</t>
        </is>
      </c>
      <c r="E256" s="2" t="inlineStr">
        <is>
          <t>Escalated</t>
        </is>
      </c>
      <c r="F256" s="2" t="inlineStr"/>
    </row>
    <row r="257">
      <c r="A257" s="4" t="inlineStr">
        <is>
          <t>ALT_00256</t>
        </is>
      </c>
      <c r="B257" s="4" t="inlineStr">
        <is>
          <t>TXN_001321</t>
        </is>
      </c>
      <c r="C257" s="4" t="inlineStr">
        <is>
          <t>Round-Amount</t>
        </is>
      </c>
      <c r="D257" s="4" t="inlineStr">
        <is>
          <t>2026-04-09</t>
        </is>
      </c>
      <c r="E257" s="4" t="inlineStr">
        <is>
          <t>Open</t>
        </is>
      </c>
      <c r="F257" s="4" t="inlineStr"/>
    </row>
    <row r="258">
      <c r="A258" s="2" t="inlineStr">
        <is>
          <t>ALT_00257</t>
        </is>
      </c>
      <c r="B258" s="2" t="inlineStr">
        <is>
          <t>TXN_000154</t>
        </is>
      </c>
      <c r="C258" s="2" t="inlineStr">
        <is>
          <t>Dormant-Reactivation</t>
        </is>
      </c>
      <c r="D258" s="2" t="inlineStr">
        <is>
          <t>2026-01-13</t>
        </is>
      </c>
      <c r="E258" s="2" t="inlineStr">
        <is>
          <t>Open</t>
        </is>
      </c>
      <c r="F258" s="2" t="inlineStr"/>
    </row>
    <row r="259">
      <c r="A259" s="4" t="inlineStr">
        <is>
          <t>ALT_00258</t>
        </is>
      </c>
      <c r="B259" s="4" t="inlineStr">
        <is>
          <t>TXN_000270</t>
        </is>
      </c>
      <c r="C259" s="4" t="inlineStr">
        <is>
          <t>High-Risk Country</t>
        </is>
      </c>
      <c r="D259" s="4" t="inlineStr">
        <is>
          <t>2026-01-23</t>
        </is>
      </c>
      <c r="E259" s="4" t="inlineStr">
        <is>
          <t>Closed</t>
        </is>
      </c>
      <c r="F259" s="4" t="inlineStr">
        <is>
          <t>2</t>
        </is>
      </c>
    </row>
    <row r="260">
      <c r="A260" s="2" t="inlineStr">
        <is>
          <t>ALT_00259</t>
        </is>
      </c>
      <c r="B260" s="2" t="inlineStr">
        <is>
          <t>TXN_001189</t>
        </is>
      </c>
      <c r="C260" s="2" t="inlineStr">
        <is>
          <t>Round-Amount</t>
        </is>
      </c>
      <c r="D260" s="2" t="inlineStr">
        <is>
          <t>2026-03-31</t>
        </is>
      </c>
      <c r="E260" s="2" t="inlineStr">
        <is>
          <t>Closed</t>
        </is>
      </c>
      <c r="F260" s="2" t="inlineStr">
        <is>
          <t>9</t>
        </is>
      </c>
    </row>
    <row r="261">
      <c r="A261" s="4" t="inlineStr">
        <is>
          <t>ALT_00260</t>
        </is>
      </c>
      <c r="B261" s="4" t="inlineStr">
        <is>
          <t>TXN_000929</t>
        </is>
      </c>
      <c r="C261" s="4" t="inlineStr">
        <is>
          <t>High-Risk Country</t>
        </is>
      </c>
      <c r="D261" s="4" t="inlineStr">
        <is>
          <t>2026-03-12</t>
        </is>
      </c>
      <c r="E261" s="4" t="inlineStr">
        <is>
          <t>Closed</t>
        </is>
      </c>
      <c r="F261" s="4" t="inlineStr">
        <is>
          <t>4</t>
        </is>
      </c>
    </row>
    <row r="262">
      <c r="A262" s="2" t="inlineStr">
        <is>
          <t>ALT_00261</t>
        </is>
      </c>
      <c r="B262" s="2" t="inlineStr">
        <is>
          <t>TXN_001434</t>
        </is>
      </c>
      <c r="C262" s="2" t="inlineStr">
        <is>
          <t>Round-Amount</t>
        </is>
      </c>
      <c r="D262" s="2" t="inlineStr">
        <is>
          <t>2026-04-18</t>
        </is>
      </c>
      <c r="E262" s="2" t="inlineStr">
        <is>
          <t>Closed</t>
        </is>
      </c>
      <c r="F262" s="2" t="inlineStr">
        <is>
          <t>4</t>
        </is>
      </c>
    </row>
    <row r="263">
      <c r="A263" s="4" t="inlineStr">
        <is>
          <t>ALT_00262</t>
        </is>
      </c>
      <c r="B263" s="4" t="inlineStr">
        <is>
          <t>TXN_000927</t>
        </is>
      </c>
      <c r="C263" s="4" t="inlineStr">
        <is>
          <t>High-Risk Country</t>
        </is>
      </c>
      <c r="D263" s="4" t="inlineStr">
        <is>
          <t>2026-03-11</t>
        </is>
      </c>
      <c r="E263" s="4" t="inlineStr">
        <is>
          <t>Closed</t>
        </is>
      </c>
      <c r="F263" s="4" t="inlineStr">
        <is>
          <t>11</t>
        </is>
      </c>
    </row>
    <row r="264">
      <c r="A264" s="2" t="inlineStr">
        <is>
          <t>ALT_00263</t>
        </is>
      </c>
      <c r="B264" s="2" t="inlineStr">
        <is>
          <t>TXN_000184</t>
        </is>
      </c>
      <c r="C264" s="2" t="inlineStr">
        <is>
          <t>Velocity</t>
        </is>
      </c>
      <c r="D264" s="2" t="inlineStr">
        <is>
          <t>2026-01-16</t>
        </is>
      </c>
      <c r="E264" s="2" t="inlineStr">
        <is>
          <t>Escalated</t>
        </is>
      </c>
      <c r="F264" s="2" t="inlineStr"/>
    </row>
    <row r="265">
      <c r="A265" s="4" t="inlineStr">
        <is>
          <t>ALT_00264</t>
        </is>
      </c>
      <c r="B265" s="4" t="inlineStr">
        <is>
          <t>TXN_000051</t>
        </is>
      </c>
      <c r="C265" s="4" t="inlineStr">
        <is>
          <t>High-Risk Country</t>
        </is>
      </c>
      <c r="D265" s="4" t="inlineStr">
        <is>
          <t>2026-01-04</t>
        </is>
      </c>
      <c r="E265" s="4" t="inlineStr">
        <is>
          <t>Closed</t>
        </is>
      </c>
      <c r="F265" s="4" t="inlineStr">
        <is>
          <t>5</t>
        </is>
      </c>
    </row>
    <row r="266">
      <c r="A266" s="2" t="inlineStr">
        <is>
          <t>ALT_00265</t>
        </is>
      </c>
      <c r="B266" s="2" t="inlineStr">
        <is>
          <t>TXN_001266</t>
        </is>
      </c>
      <c r="C266" s="2" t="inlineStr">
        <is>
          <t>Velocity</t>
        </is>
      </c>
      <c r="D266" s="2" t="inlineStr">
        <is>
          <t>2026-04-06</t>
        </is>
      </c>
      <c r="E266" s="2" t="inlineStr">
        <is>
          <t>Escalated</t>
        </is>
      </c>
      <c r="F266" s="2" t="inlineStr"/>
    </row>
    <row r="267">
      <c r="A267" s="4" t="inlineStr">
        <is>
          <t>ALT_00266</t>
        </is>
      </c>
      <c r="B267" s="4" t="inlineStr">
        <is>
          <t>TXN_001298</t>
        </is>
      </c>
      <c r="C267" s="4" t="inlineStr">
        <is>
          <t>Round-Amount</t>
        </is>
      </c>
      <c r="D267" s="4" t="inlineStr">
        <is>
          <t>2026-04-06</t>
        </is>
      </c>
      <c r="E267" s="4" t="inlineStr">
        <is>
          <t>Closed</t>
        </is>
      </c>
      <c r="F267" s="4" t="inlineStr">
        <is>
          <t>14</t>
        </is>
      </c>
    </row>
    <row r="268">
      <c r="A268" s="2" t="inlineStr">
        <is>
          <t>ALT_00267</t>
        </is>
      </c>
      <c r="B268" s="2" t="inlineStr">
        <is>
          <t>TXN_001025</t>
        </is>
      </c>
      <c r="C268" s="2" t="inlineStr">
        <is>
          <t>Velocity</t>
        </is>
      </c>
      <c r="D268" s="2" t="inlineStr">
        <is>
          <t>2026-03-17</t>
        </is>
      </c>
      <c r="E268" s="2" t="inlineStr">
        <is>
          <t>Open</t>
        </is>
      </c>
      <c r="F268" s="2" t="inlineStr"/>
    </row>
    <row r="269">
      <c r="A269" s="4" t="inlineStr">
        <is>
          <t>ALT_00268</t>
        </is>
      </c>
      <c r="B269" s="4" t="inlineStr">
        <is>
          <t>TXN_000139</t>
        </is>
      </c>
      <c r="C269" s="4" t="inlineStr">
        <is>
          <t>Dormant-Reactivation</t>
        </is>
      </c>
      <c r="D269" s="4" t="inlineStr">
        <is>
          <t>2026-01-13</t>
        </is>
      </c>
      <c r="E269" s="4" t="inlineStr">
        <is>
          <t>Closed</t>
        </is>
      </c>
      <c r="F269" s="4" t="inlineStr">
        <is>
          <t>11</t>
        </is>
      </c>
    </row>
    <row r="270">
      <c r="A270" s="2" t="inlineStr">
        <is>
          <t>ALT_00269</t>
        </is>
      </c>
      <c r="B270" s="2" t="inlineStr">
        <is>
          <t>TXN_000886</t>
        </is>
      </c>
      <c r="C270" s="2" t="inlineStr">
        <is>
          <t>Velocity</t>
        </is>
      </c>
      <c r="D270" s="2" t="inlineStr">
        <is>
          <t>2026-03-07</t>
        </is>
      </c>
      <c r="E270" s="2" t="inlineStr">
        <is>
          <t>Closed</t>
        </is>
      </c>
      <c r="F270" s="2" t="inlineStr">
        <is>
          <t>7</t>
        </is>
      </c>
    </row>
    <row r="271">
      <c r="A271" s="4" t="inlineStr">
        <is>
          <t>ALT_00270</t>
        </is>
      </c>
      <c r="B271" s="4" t="inlineStr">
        <is>
          <t>TXN_001435</t>
        </is>
      </c>
      <c r="C271" s="4" t="inlineStr">
        <is>
          <t>Velocity</t>
        </is>
      </c>
      <c r="D271" s="4" t="inlineStr">
        <is>
          <t>2026-04-20</t>
        </is>
      </c>
      <c r="E271" s="4" t="inlineStr">
        <is>
          <t>Open</t>
        </is>
      </c>
      <c r="F271" s="4" t="inlineStr"/>
    </row>
    <row r="272">
      <c r="A272" s="2" t="inlineStr">
        <is>
          <t>ALT_00271</t>
        </is>
      </c>
      <c r="B272" s="2" t="inlineStr">
        <is>
          <t>TXN_000514</t>
        </is>
      </c>
      <c r="C272" s="2" t="inlineStr">
        <is>
          <t>Dormant-Reactivation</t>
        </is>
      </c>
      <c r="D272" s="2" t="inlineStr">
        <is>
          <t>2026-02-07</t>
        </is>
      </c>
      <c r="E272" s="2" t="inlineStr">
        <is>
          <t>Escalated</t>
        </is>
      </c>
      <c r="F272" s="2" t="inlineStr"/>
    </row>
    <row r="273">
      <c r="A273" s="4" t="inlineStr">
        <is>
          <t>ALT_00272</t>
        </is>
      </c>
      <c r="B273" s="4" t="inlineStr">
        <is>
          <t>TXN_000726</t>
        </is>
      </c>
      <c r="C273" s="4" t="inlineStr">
        <is>
          <t>Dormant-Reactivation</t>
        </is>
      </c>
      <c r="D273" s="4" t="inlineStr">
        <is>
          <t>2026-02-23</t>
        </is>
      </c>
      <c r="E273" s="4" t="inlineStr">
        <is>
          <t>Closed</t>
        </is>
      </c>
      <c r="F273" s="4" t="inlineStr">
        <is>
          <t>11</t>
        </is>
      </c>
    </row>
    <row r="274">
      <c r="A274" s="2" t="inlineStr">
        <is>
          <t>ALT_00273</t>
        </is>
      </c>
      <c r="B274" s="2" t="inlineStr">
        <is>
          <t>TXN_001373</t>
        </is>
      </c>
      <c r="C274" s="2" t="inlineStr">
        <is>
          <t>Dormant-Reactivation</t>
        </is>
      </c>
      <c r="D274" s="2" t="inlineStr">
        <is>
          <t>2026-04-13</t>
        </is>
      </c>
      <c r="E274" s="2" t="inlineStr">
        <is>
          <t>Closed</t>
        </is>
      </c>
      <c r="F274" s="2" t="inlineStr">
        <is>
          <t>13</t>
        </is>
      </c>
    </row>
    <row r="275">
      <c r="A275" s="4" t="inlineStr">
        <is>
          <t>ALT_00274</t>
        </is>
      </c>
      <c r="B275" s="4" t="inlineStr">
        <is>
          <t>TXN_000771</t>
        </is>
      </c>
      <c r="C275" s="4" t="inlineStr">
        <is>
          <t>High-Risk Country</t>
        </is>
      </c>
      <c r="D275" s="4" t="inlineStr">
        <is>
          <t>2026-02-28</t>
        </is>
      </c>
      <c r="E275" s="4" t="inlineStr">
        <is>
          <t>Open</t>
        </is>
      </c>
      <c r="F275" s="4" t="inlineStr"/>
    </row>
    <row r="276">
      <c r="A276" s="2" t="inlineStr">
        <is>
          <t>ALT_00275</t>
        </is>
      </c>
      <c r="B276" s="2" t="inlineStr">
        <is>
          <t>TXN_000603</t>
        </is>
      </c>
      <c r="C276" s="2" t="inlineStr">
        <is>
          <t>Velocity</t>
        </is>
      </c>
      <c r="D276" s="2" t="inlineStr">
        <is>
          <t>2026-02-15</t>
        </is>
      </c>
      <c r="E276" s="2" t="inlineStr">
        <is>
          <t>Escalated</t>
        </is>
      </c>
      <c r="F276" s="2" t="inlineStr"/>
    </row>
    <row r="277">
      <c r="A277" s="4" t="inlineStr">
        <is>
          <t>ALT_00276</t>
        </is>
      </c>
      <c r="B277" s="4" t="inlineStr">
        <is>
          <t>TXN_001072</t>
        </is>
      </c>
      <c r="C277" s="4" t="inlineStr">
        <is>
          <t>Dormant-Reactivation</t>
        </is>
      </c>
      <c r="D277" s="4" t="inlineStr">
        <is>
          <t>2026-03-22</t>
        </is>
      </c>
      <c r="E277" s="4" t="inlineStr">
        <is>
          <t>Escalated</t>
        </is>
      </c>
      <c r="F277" s="4" t="inlineStr"/>
    </row>
    <row r="278">
      <c r="A278" s="2" t="inlineStr">
        <is>
          <t>ALT_00277</t>
        </is>
      </c>
      <c r="B278" s="2" t="inlineStr">
        <is>
          <t>TXN_000295</t>
        </is>
      </c>
      <c r="C278" s="2" t="inlineStr">
        <is>
          <t>Dormant-Reactivation</t>
        </is>
      </c>
      <c r="D278" s="2" t="inlineStr">
        <is>
          <t>2026-01-25</t>
        </is>
      </c>
      <c r="E278" s="2" t="inlineStr">
        <is>
          <t>Closed</t>
        </is>
      </c>
      <c r="F278" s="2" t="inlineStr">
        <is>
          <t>4</t>
        </is>
      </c>
    </row>
    <row r="279">
      <c r="A279" s="4" t="inlineStr">
        <is>
          <t>ALT_00278</t>
        </is>
      </c>
      <c r="B279" s="4" t="inlineStr">
        <is>
          <t>TXN_001352</t>
        </is>
      </c>
      <c r="C279" s="4" t="inlineStr">
        <is>
          <t>Velocity</t>
        </is>
      </c>
      <c r="D279" s="4" t="inlineStr">
        <is>
          <t>2026-04-13</t>
        </is>
      </c>
      <c r="E279" s="4" t="inlineStr">
        <is>
          <t>Escalated</t>
        </is>
      </c>
      <c r="F279" s="4" t="inlineStr"/>
    </row>
    <row r="280">
      <c r="A280" s="2" t="inlineStr">
        <is>
          <t>ALT_00279</t>
        </is>
      </c>
      <c r="B280" s="2" t="inlineStr">
        <is>
          <t>TXN_000561</t>
        </is>
      </c>
      <c r="C280" s="2" t="inlineStr">
        <is>
          <t>Round-Amount</t>
        </is>
      </c>
      <c r="D280" s="2" t="inlineStr">
        <is>
          <t>2026-02-12</t>
        </is>
      </c>
      <c r="E280" s="2" t="inlineStr">
        <is>
          <t>Escalated</t>
        </is>
      </c>
      <c r="F280" s="2" t="inlineStr"/>
    </row>
    <row r="281">
      <c r="A281" s="4" t="inlineStr">
        <is>
          <t>ALT_00280</t>
        </is>
      </c>
      <c r="B281" s="4" t="inlineStr">
        <is>
          <t>TXN_001173</t>
        </is>
      </c>
      <c r="C281" s="4" t="inlineStr">
        <is>
          <t>Velocity</t>
        </is>
      </c>
      <c r="D281" s="4" t="inlineStr">
        <is>
          <t>2026-03-29</t>
        </is>
      </c>
      <c r="E281" s="4" t="inlineStr">
        <is>
          <t>Closed</t>
        </is>
      </c>
      <c r="F281" s="4" t="inlineStr">
        <is>
          <t>4</t>
        </is>
      </c>
    </row>
    <row r="282">
      <c r="A282" s="2" t="inlineStr">
        <is>
          <t>ALT_00281</t>
        </is>
      </c>
      <c r="B282" s="2" t="inlineStr">
        <is>
          <t>TXN_000363</t>
        </is>
      </c>
      <c r="C282" s="2" t="inlineStr">
        <is>
          <t>High-Risk Country</t>
        </is>
      </c>
      <c r="D282" s="2" t="inlineStr">
        <is>
          <t>2026-01-28</t>
        </is>
      </c>
      <c r="E282" s="2" t="inlineStr">
        <is>
          <t>Open</t>
        </is>
      </c>
      <c r="F282" s="2" t="inlineStr"/>
    </row>
    <row r="283">
      <c r="A283" s="4" t="inlineStr">
        <is>
          <t>ALT_00282</t>
        </is>
      </c>
      <c r="B283" s="4" t="inlineStr">
        <is>
          <t>TXN_000463</t>
        </is>
      </c>
      <c r="C283" s="4" t="inlineStr">
        <is>
          <t>Dormant-Reactivation</t>
        </is>
      </c>
      <c r="D283" s="4" t="inlineStr">
        <is>
          <t>2026-02-04</t>
        </is>
      </c>
      <c r="E283" s="4" t="inlineStr">
        <is>
          <t>Escalated</t>
        </is>
      </c>
      <c r="F283" s="4" t="inlineStr"/>
    </row>
    <row r="284">
      <c r="A284" s="2" t="inlineStr">
        <is>
          <t>ALT_00283</t>
        </is>
      </c>
      <c r="B284" s="2" t="inlineStr">
        <is>
          <t>TXN_000740</t>
        </is>
      </c>
      <c r="C284" s="2" t="inlineStr">
        <is>
          <t>High-Risk Country</t>
        </is>
      </c>
      <c r="D284" s="2" t="inlineStr">
        <is>
          <t>2026-02-25</t>
        </is>
      </c>
      <c r="E284" s="2" t="inlineStr">
        <is>
          <t>Closed</t>
        </is>
      </c>
      <c r="F284" s="2" t="inlineStr">
        <is>
          <t>13</t>
        </is>
      </c>
    </row>
    <row r="285">
      <c r="A285" s="4" t="inlineStr">
        <is>
          <t>ALT_00284</t>
        </is>
      </c>
      <c r="B285" s="4" t="inlineStr">
        <is>
          <t>TXN_000330</t>
        </is>
      </c>
      <c r="C285" s="4" t="inlineStr">
        <is>
          <t>Velocity</t>
        </is>
      </c>
      <c r="D285" s="4" t="inlineStr">
        <is>
          <t>2026-01-27</t>
        </is>
      </c>
      <c r="E285" s="4" t="inlineStr">
        <is>
          <t>Closed</t>
        </is>
      </c>
      <c r="F285" s="4" t="inlineStr">
        <is>
          <t>11</t>
        </is>
      </c>
    </row>
    <row r="286">
      <c r="A286" s="2" t="inlineStr">
        <is>
          <t>ALT_00285</t>
        </is>
      </c>
      <c r="B286" s="2" t="inlineStr">
        <is>
          <t>TXN_001465</t>
        </is>
      </c>
      <c r="C286" s="2" t="inlineStr">
        <is>
          <t>High-Risk Country</t>
        </is>
      </c>
      <c r="D286" s="2" t="inlineStr">
        <is>
          <t>2026-04-21</t>
        </is>
      </c>
      <c r="E286" s="2" t="inlineStr">
        <is>
          <t>Open</t>
        </is>
      </c>
      <c r="F286" s="2" t="inlineStr"/>
    </row>
    <row r="287">
      <c r="A287" s="4" t="inlineStr">
        <is>
          <t>ALT_00286</t>
        </is>
      </c>
      <c r="B287" s="4" t="inlineStr">
        <is>
          <t>TXN_001591</t>
        </is>
      </c>
      <c r="C287" s="4" t="inlineStr">
        <is>
          <t>High-Risk Country</t>
        </is>
      </c>
      <c r="D287" s="4" t="inlineStr">
        <is>
          <t>2026-04-29</t>
        </is>
      </c>
      <c r="E287" s="4" t="inlineStr">
        <is>
          <t>Closed</t>
        </is>
      </c>
      <c r="F287" s="4" t="inlineStr">
        <is>
          <t>14</t>
        </is>
      </c>
    </row>
    <row r="288">
      <c r="A288" s="2" t="inlineStr">
        <is>
          <t>ALT_00287</t>
        </is>
      </c>
      <c r="B288" s="2" t="inlineStr">
        <is>
          <t>TXN_000300</t>
        </is>
      </c>
      <c r="C288" s="2" t="inlineStr">
        <is>
          <t>Round-Amount</t>
        </is>
      </c>
      <c r="D288" s="2" t="inlineStr">
        <is>
          <t>2026-01-23</t>
        </is>
      </c>
      <c r="E288" s="2" t="inlineStr">
        <is>
          <t>Escalated</t>
        </is>
      </c>
      <c r="F288" s="2" t="inlineStr"/>
    </row>
    <row r="289">
      <c r="A289" s="4" t="inlineStr">
        <is>
          <t>ALT_00288</t>
        </is>
      </c>
      <c r="B289" s="4" t="inlineStr">
        <is>
          <t>TXN_001484</t>
        </is>
      </c>
      <c r="C289" s="4" t="inlineStr">
        <is>
          <t>Velocity</t>
        </is>
      </c>
      <c r="D289" s="4" t="inlineStr">
        <is>
          <t>2026-04-22</t>
        </is>
      </c>
      <c r="E289" s="4" t="inlineStr">
        <is>
          <t>Closed</t>
        </is>
      </c>
      <c r="F289" s="4" t="inlineStr">
        <is>
          <t>1</t>
        </is>
      </c>
    </row>
    <row r="290">
      <c r="A290" s="2" t="inlineStr">
        <is>
          <t>ALT_00289</t>
        </is>
      </c>
      <c r="B290" s="2" t="inlineStr">
        <is>
          <t>TXN_000610</t>
        </is>
      </c>
      <c r="C290" s="2" t="inlineStr">
        <is>
          <t>Round-Amount</t>
        </is>
      </c>
      <c r="D290" s="2" t="inlineStr">
        <is>
          <t>2026-02-13</t>
        </is>
      </c>
      <c r="E290" s="2" t="inlineStr">
        <is>
          <t>Escalated</t>
        </is>
      </c>
      <c r="F290" s="2" t="inlineStr"/>
    </row>
    <row r="291">
      <c r="A291" s="4" t="inlineStr">
        <is>
          <t>ALT_00290</t>
        </is>
      </c>
      <c r="B291" s="4" t="inlineStr">
        <is>
          <t>TXN_001390</t>
        </is>
      </c>
      <c r="C291" s="4" t="inlineStr">
        <is>
          <t>Dormant-Reactivation</t>
        </is>
      </c>
      <c r="D291" s="4" t="inlineStr">
        <is>
          <t>2026-04-15</t>
        </is>
      </c>
      <c r="E291" s="4" t="inlineStr">
        <is>
          <t>Closed</t>
        </is>
      </c>
      <c r="F291" s="4" t="inlineStr">
        <is>
          <t>3</t>
        </is>
      </c>
    </row>
    <row r="292">
      <c r="A292" s="2" t="inlineStr">
        <is>
          <t>ALT_00291</t>
        </is>
      </c>
      <c r="B292" s="2" t="inlineStr">
        <is>
          <t>TXN_001478</t>
        </is>
      </c>
      <c r="C292" s="2" t="inlineStr">
        <is>
          <t>Round-Amount</t>
        </is>
      </c>
      <c r="D292" s="2" t="inlineStr">
        <is>
          <t>2026-04-21</t>
        </is>
      </c>
      <c r="E292" s="2" t="inlineStr">
        <is>
          <t>Escalated</t>
        </is>
      </c>
      <c r="F292" s="2" t="inlineStr"/>
    </row>
    <row r="293">
      <c r="A293" s="4" t="inlineStr">
        <is>
          <t>ALT_00292</t>
        </is>
      </c>
      <c r="B293" s="4" t="inlineStr">
        <is>
          <t>TXN_000104</t>
        </is>
      </c>
      <c r="C293" s="4" t="inlineStr">
        <is>
          <t>High-Risk Country</t>
        </is>
      </c>
      <c r="D293" s="4" t="inlineStr">
        <is>
          <t>2026-01-09</t>
        </is>
      </c>
      <c r="E293" s="4" t="inlineStr">
        <is>
          <t>Closed</t>
        </is>
      </c>
      <c r="F293" s="4" t="inlineStr">
        <is>
          <t>9</t>
        </is>
      </c>
    </row>
    <row r="294">
      <c r="A294" s="2" t="inlineStr">
        <is>
          <t>ALT_00293</t>
        </is>
      </c>
      <c r="B294" s="2" t="inlineStr">
        <is>
          <t>TXN_001206</t>
        </is>
      </c>
      <c r="C294" s="2" t="inlineStr">
        <is>
          <t>Dormant-Reactivation</t>
        </is>
      </c>
      <c r="D294" s="2" t="inlineStr">
        <is>
          <t>2026-04-01</t>
        </is>
      </c>
      <c r="E294" s="2" t="inlineStr">
        <is>
          <t>Closed</t>
        </is>
      </c>
      <c r="F294" s="2" t="inlineStr">
        <is>
          <t>7</t>
        </is>
      </c>
    </row>
    <row r="295">
      <c r="A295" s="4" t="inlineStr">
        <is>
          <t>ALT_00294</t>
        </is>
      </c>
      <c r="B295" s="4" t="inlineStr">
        <is>
          <t>TXN_000041</t>
        </is>
      </c>
      <c r="C295" s="4" t="inlineStr">
        <is>
          <t>Round-Amount</t>
        </is>
      </c>
      <c r="D295" s="4" t="inlineStr">
        <is>
          <t>2026-01-05</t>
        </is>
      </c>
      <c r="E295" s="4" t="inlineStr">
        <is>
          <t>Escalated</t>
        </is>
      </c>
      <c r="F295" s="4" t="inlineStr"/>
    </row>
    <row r="296">
      <c r="A296" s="2" t="inlineStr">
        <is>
          <t>ALT_00295</t>
        </is>
      </c>
      <c r="B296" s="2" t="inlineStr">
        <is>
          <t>TXN_000709</t>
        </is>
      </c>
      <c r="C296" s="2" t="inlineStr">
        <is>
          <t>Velocity</t>
        </is>
      </c>
      <c r="D296" s="2" t="inlineStr">
        <is>
          <t>2026-02-22</t>
        </is>
      </c>
      <c r="E296" s="2" t="inlineStr">
        <is>
          <t>Open</t>
        </is>
      </c>
      <c r="F296" s="2" t="inlineStr"/>
    </row>
    <row r="297">
      <c r="A297" s="4" t="inlineStr">
        <is>
          <t>ALT_00296</t>
        </is>
      </c>
      <c r="B297" s="4" t="inlineStr">
        <is>
          <t>TXN_ORPHAN_000</t>
        </is>
      </c>
      <c r="C297" s="4" t="inlineStr">
        <is>
          <t>High-Risk Country</t>
        </is>
      </c>
      <c r="D297" s="4" t="inlineStr">
        <is>
          <t>2026-03-08</t>
        </is>
      </c>
      <c r="E297" s="4" t="inlineStr">
        <is>
          <t>Open</t>
        </is>
      </c>
      <c r="F297" s="4" t="inlineStr"/>
    </row>
    <row r="298">
      <c r="A298" s="2" t="inlineStr">
        <is>
          <t>ALT_00297</t>
        </is>
      </c>
      <c r="B298" s="2" t="inlineStr">
        <is>
          <t>TXN_ORPHAN_001</t>
        </is>
      </c>
      <c r="C298" s="2" t="inlineStr">
        <is>
          <t>Dormant-Reactivation</t>
        </is>
      </c>
      <c r="D298" s="2" t="inlineStr">
        <is>
          <t>2026-02-14</t>
        </is>
      </c>
      <c r="E298" s="2" t="inlineStr">
        <is>
          <t>Open</t>
        </is>
      </c>
      <c r="F298" s="2" t="inlineStr"/>
    </row>
    <row r="299">
      <c r="A299" s="4" t="inlineStr">
        <is>
          <t>ALT_00298</t>
        </is>
      </c>
      <c r="B299" s="4" t="inlineStr">
        <is>
          <t>TXN_ORPHAN_002</t>
        </is>
      </c>
      <c r="C299" s="4" t="inlineStr">
        <is>
          <t>Dormant-Reactivation</t>
        </is>
      </c>
      <c r="D299" s="4" t="inlineStr">
        <is>
          <t>2026-01-28</t>
        </is>
      </c>
      <c r="E299" s="4" t="inlineStr">
        <is>
          <t>Open</t>
        </is>
      </c>
      <c r="F299" s="4" t="inlineStr"/>
    </row>
    <row r="300">
      <c r="A300" s="2" t="inlineStr">
        <is>
          <t>ALT_00299</t>
        </is>
      </c>
      <c r="B300" s="2" t="inlineStr">
        <is>
          <t>TXN_ORPHAN_003</t>
        </is>
      </c>
      <c r="C300" s="2" t="inlineStr">
        <is>
          <t>Dormant-Reactivation</t>
        </is>
      </c>
      <c r="D300" s="2" t="inlineStr">
        <is>
          <t>2026-01-23</t>
        </is>
      </c>
      <c r="E300" s="2" t="inlineStr">
        <is>
          <t>Open</t>
        </is>
      </c>
      <c r="F300" s="2" t="inlineStr"/>
    </row>
    <row r="301">
      <c r="A301" s="4" t="inlineStr">
        <is>
          <t>ALT_00300</t>
        </is>
      </c>
      <c r="B301" s="4" t="inlineStr">
        <is>
          <t>TXN_ORPHAN_004</t>
        </is>
      </c>
      <c r="C301" s="4" t="inlineStr">
        <is>
          <t>Structuring</t>
        </is>
      </c>
      <c r="D301" s="4" t="inlineStr">
        <is>
          <t>2026-03-07</t>
        </is>
      </c>
      <c r="E301" s="4" t="inlineStr">
        <is>
          <t>Open</t>
        </is>
      </c>
      <c r="F301" s="4" t="inlineStr"/>
    </row>
    <row r="302">
      <c r="A302" s="2" t="inlineStr">
        <is>
          <t>ALT_00301</t>
        </is>
      </c>
      <c r="B302" s="2" t="inlineStr">
        <is>
          <t>TXN_ORPHAN_005</t>
        </is>
      </c>
      <c r="C302" s="2" t="inlineStr">
        <is>
          <t>Round-Amount</t>
        </is>
      </c>
      <c r="D302" s="2" t="inlineStr">
        <is>
          <t>2026-03-25</t>
        </is>
      </c>
      <c r="E302" s="2" t="inlineStr">
        <is>
          <t>Open</t>
        </is>
      </c>
      <c r="F302" s="2" t="inlineStr"/>
    </row>
    <row r="303">
      <c r="A303" s="4" t="inlineStr">
        <is>
          <t>ALT_00302</t>
        </is>
      </c>
      <c r="B303" s="4" t="inlineStr">
        <is>
          <t>TXN_ORPHAN_006</t>
        </is>
      </c>
      <c r="C303" s="4" t="inlineStr">
        <is>
          <t>Dormant-Reactivation</t>
        </is>
      </c>
      <c r="D303" s="4" t="inlineStr">
        <is>
          <t>2026-01-10</t>
        </is>
      </c>
      <c r="E303" s="4" t="inlineStr">
        <is>
          <t>Open</t>
        </is>
      </c>
      <c r="F303" s="4" t="inlineStr"/>
    </row>
    <row r="304">
      <c r="A304" s="2" t="inlineStr">
        <is>
          <t>ALT_00303</t>
        </is>
      </c>
      <c r="B304" s="2" t="inlineStr">
        <is>
          <t>TXN_ORPHAN_007</t>
        </is>
      </c>
      <c r="C304" s="2" t="inlineStr">
        <is>
          <t>Round-Amount</t>
        </is>
      </c>
      <c r="D304" s="2" t="inlineStr">
        <is>
          <t>2026-03-05</t>
        </is>
      </c>
      <c r="E304" s="2" t="inlineStr">
        <is>
          <t>Open</t>
        </is>
      </c>
      <c r="F304" s="2" t="inlineStr"/>
    </row>
    <row r="305">
      <c r="A305" s="4" t="inlineStr">
        <is>
          <t>ALT_00304</t>
        </is>
      </c>
      <c r="B305" s="4" t="inlineStr">
        <is>
          <t>TXN_ORPHAN_008</t>
        </is>
      </c>
      <c r="C305" s="4" t="inlineStr">
        <is>
          <t>Round-Amount</t>
        </is>
      </c>
      <c r="D305" s="4" t="inlineStr">
        <is>
          <t>2026-01-02</t>
        </is>
      </c>
      <c r="E305" s="4" t="inlineStr">
        <is>
          <t>Open</t>
        </is>
      </c>
      <c r="F305" s="4" t="inlineStr"/>
    </row>
    <row r="306">
      <c r="A306" s="2" t="inlineStr">
        <is>
          <t>ALT_00305</t>
        </is>
      </c>
      <c r="B306" s="2" t="inlineStr">
        <is>
          <t>TXN_ORPHAN_009</t>
        </is>
      </c>
      <c r="C306" s="2" t="inlineStr">
        <is>
          <t>Structuring</t>
        </is>
      </c>
      <c r="D306" s="2" t="inlineStr">
        <is>
          <t>2026-03-02</t>
        </is>
      </c>
      <c r="E306" s="2" t="inlineStr">
        <is>
          <t>Open</t>
        </is>
      </c>
      <c r="F30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3" customWidth="1" min="5" max="5"/>
    <col width="8" customWidth="1" min="6" max="6"/>
    <col width="17" customWidth="1" min="7" max="7"/>
    <col width="13" customWidth="1" min="8" max="8"/>
    <col width="12" customWidth="1" min="9" max="9"/>
    <col width="15" customWidth="1" min="10" max="10"/>
    <col width="14" customWidth="1" min="11" max="11"/>
    <col width="10" customWidth="1" min="12" max="12"/>
    <col width="22" customWidth="1" min="13" max="13"/>
    <col width="12" customWidth="1" min="14" max="14"/>
    <col width="14" customWidth="1" min="15" max="15"/>
    <col width="25" customWidth="1" min="16" max="16"/>
  </cols>
  <sheetData>
    <row r="1" ht="22" customHeight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Channel</t>
        </is>
      </c>
      <c r="F1" s="1" t="inlineStr">
        <is>
          <t>Country</t>
        </is>
      </c>
      <c r="G1" s="1" t="inlineStr">
        <is>
          <t>Merchant_Category</t>
        </is>
      </c>
      <c r="H1" s="1" t="inlineStr">
        <is>
          <t>Risk_Rating</t>
        </is>
      </c>
      <c r="I1" s="1" t="inlineStr">
        <is>
          <t>KYC_Status</t>
        </is>
      </c>
      <c r="J1" s="1" t="inlineStr">
        <is>
          <t>Account_Age_Months</t>
        </is>
      </c>
      <c r="K1" s="1" t="inlineStr">
        <is>
          <t>Customer_Segment</t>
        </is>
      </c>
      <c r="L1" s="1" t="inlineStr">
        <is>
          <t>Alert_ID</t>
        </is>
      </c>
      <c r="M1" s="1" t="inlineStr">
        <is>
          <t>Alert_Type</t>
        </is>
      </c>
      <c r="N1" s="1" t="inlineStr">
        <is>
          <t>Alert_Date</t>
        </is>
      </c>
      <c r="O1" s="1" t="inlineStr">
        <is>
          <t>Resolution_Days</t>
        </is>
      </c>
      <c r="P1" s="1" t="inlineStr">
        <is>
          <t>Data_Quality_Flag</t>
        </is>
      </c>
    </row>
    <row r="2">
      <c r="A2" s="2">
        <f>Raw_Transactions!A2</f>
        <v/>
      </c>
      <c r="B2" s="2">
        <f>Raw_Transactions!B2</f>
        <v/>
      </c>
      <c r="C2" s="2">
        <f>Raw_Transactions!C2</f>
        <v/>
      </c>
      <c r="D2" s="3">
        <f>Raw_Transactions!D2</f>
        <v/>
      </c>
      <c r="E2" s="2">
        <f>Raw_Transactions!E2</f>
        <v/>
      </c>
      <c r="F2" s="2">
        <f>Raw_Transactions!F2</f>
        <v/>
      </c>
      <c r="G2" s="2">
        <f>Raw_Transactions!G2</f>
        <v/>
      </c>
      <c r="H2" s="2">
        <f>XLOOKUP(B2,Raw_Risk_Profiles!$A:$A,Raw_Risk_Profiles!$B:$B,"Not Found")</f>
        <v/>
      </c>
      <c r="I2" s="2">
        <f>XLOOKUP(B2,Raw_Risk_Profiles!$A:$A,Raw_Risk_Profiles!$C:$C,"Missing")</f>
        <v/>
      </c>
      <c r="J2" s="2">
        <f>XLOOKUP(B2,Raw_Risk_Profiles!$A:$A,Raw_Risk_Profiles!$D:$D,"")</f>
        <v/>
      </c>
      <c r="K2" s="2">
        <f>IFERROR(INDEX(Raw_Risk_Profiles!$E:$E,MATCH(B2,Raw_Risk_Profiles!$A:$A,0)),"Unknown")</f>
        <v/>
      </c>
      <c r="L2" s="2">
        <f>IFERROR(XLOOKUP(A2,Raw_Alerts!$B:$B,Raw_Alerts!$A:$A),"No Alert")</f>
        <v/>
      </c>
      <c r="M2" s="2">
        <f>IFERROR(XLOOKUP(A2,Raw_Alerts!$B:$B,Raw_Alerts!$C:$C),"")</f>
        <v/>
      </c>
      <c r="N2" s="2">
        <f>IFERROR(XLOOKUP(A2,Raw_Alerts!$B:$B,Raw_Alerts!$D:$D),"")</f>
        <v/>
      </c>
      <c r="O2" s="2">
        <f>IFERROR(XLOOKUP(A2,Raw_Alerts!$B:$B,Raw_Alerts!$F:$F),"")</f>
        <v/>
      </c>
      <c r="P2" s="2">
        <f>IF(H2="Not Found","CRITICAL: No Risk Profile",IF(I2="Missing","WARN: Missing KYC",IF(I2="Expired","WARN: KYC Expired",IF(I2="Pending","INFO: KYC Pending","OK"))))</f>
        <v/>
      </c>
    </row>
    <row r="3">
      <c r="A3" s="4">
        <f>Raw_Transactions!A3</f>
        <v/>
      </c>
      <c r="B3" s="4">
        <f>Raw_Transactions!B3</f>
        <v/>
      </c>
      <c r="C3" s="4">
        <f>Raw_Transactions!C3</f>
        <v/>
      </c>
      <c r="D3" s="5">
        <f>Raw_Transactions!D3</f>
        <v/>
      </c>
      <c r="E3" s="4">
        <f>Raw_Transactions!E3</f>
        <v/>
      </c>
      <c r="F3" s="4">
        <f>Raw_Transactions!F3</f>
        <v/>
      </c>
      <c r="G3" s="4">
        <f>Raw_Transactions!G3</f>
        <v/>
      </c>
      <c r="H3" s="4">
        <f>XLOOKUP(B3,Raw_Risk_Profiles!$A:$A,Raw_Risk_Profiles!$B:$B,"Not Found")</f>
        <v/>
      </c>
      <c r="I3" s="4">
        <f>XLOOKUP(B3,Raw_Risk_Profiles!$A:$A,Raw_Risk_Profiles!$C:$C,"Missing")</f>
        <v/>
      </c>
      <c r="J3" s="4">
        <f>XLOOKUP(B3,Raw_Risk_Profiles!$A:$A,Raw_Risk_Profiles!$D:$D,"")</f>
        <v/>
      </c>
      <c r="K3" s="4">
        <f>IFERROR(INDEX(Raw_Risk_Profiles!$E:$E,MATCH(B3,Raw_Risk_Profiles!$A:$A,0)),"Unknown")</f>
        <v/>
      </c>
      <c r="L3" s="4">
        <f>IFERROR(XLOOKUP(A3,Raw_Alerts!$B:$B,Raw_Alerts!$A:$A),"No Alert")</f>
        <v/>
      </c>
      <c r="M3" s="4">
        <f>IFERROR(XLOOKUP(A3,Raw_Alerts!$B:$B,Raw_Alerts!$C:$C),"")</f>
        <v/>
      </c>
      <c r="N3" s="4">
        <f>IFERROR(XLOOKUP(A3,Raw_Alerts!$B:$B,Raw_Alerts!$D:$D),"")</f>
        <v/>
      </c>
      <c r="O3" s="4">
        <f>IFERROR(XLOOKUP(A3,Raw_Alerts!$B:$B,Raw_Alerts!$F:$F),"")</f>
        <v/>
      </c>
      <c r="P3" s="4">
        <f>IF(H3="Not Found","CRITICAL: No Risk Profile",IF(I3="Missing","WARN: Missing KYC",IF(I3="Expired","WARN: KYC Expired",IF(I3="Pending","INFO: KYC Pending","OK"))))</f>
        <v/>
      </c>
    </row>
    <row r="4">
      <c r="A4" s="2">
        <f>Raw_Transactions!A4</f>
        <v/>
      </c>
      <c r="B4" s="2">
        <f>Raw_Transactions!B4</f>
        <v/>
      </c>
      <c r="C4" s="2">
        <f>Raw_Transactions!C4</f>
        <v/>
      </c>
      <c r="D4" s="3">
        <f>Raw_Transactions!D4</f>
        <v/>
      </c>
      <c r="E4" s="2">
        <f>Raw_Transactions!E4</f>
        <v/>
      </c>
      <c r="F4" s="2">
        <f>Raw_Transactions!F4</f>
        <v/>
      </c>
      <c r="G4" s="2">
        <f>Raw_Transactions!G4</f>
        <v/>
      </c>
      <c r="H4" s="2">
        <f>XLOOKUP(B4,Raw_Risk_Profiles!$A:$A,Raw_Risk_Profiles!$B:$B,"Not Found")</f>
        <v/>
      </c>
      <c r="I4" s="2">
        <f>XLOOKUP(B4,Raw_Risk_Profiles!$A:$A,Raw_Risk_Profiles!$C:$C,"Missing")</f>
        <v/>
      </c>
      <c r="J4" s="2">
        <f>XLOOKUP(B4,Raw_Risk_Profiles!$A:$A,Raw_Risk_Profiles!$D:$D,"")</f>
        <v/>
      </c>
      <c r="K4" s="2">
        <f>IFERROR(INDEX(Raw_Risk_Profiles!$E:$E,MATCH(B4,Raw_Risk_Profiles!$A:$A,0)),"Unknown")</f>
        <v/>
      </c>
      <c r="L4" s="2">
        <f>IFERROR(XLOOKUP(A4,Raw_Alerts!$B:$B,Raw_Alerts!$A:$A),"No Alert")</f>
        <v/>
      </c>
      <c r="M4" s="2">
        <f>IFERROR(XLOOKUP(A4,Raw_Alerts!$B:$B,Raw_Alerts!$C:$C),"")</f>
        <v/>
      </c>
      <c r="N4" s="2">
        <f>IFERROR(XLOOKUP(A4,Raw_Alerts!$B:$B,Raw_Alerts!$D:$D),"")</f>
        <v/>
      </c>
      <c r="O4" s="2">
        <f>IFERROR(XLOOKUP(A4,Raw_Alerts!$B:$B,Raw_Alerts!$F:$F),"")</f>
        <v/>
      </c>
      <c r="P4" s="2">
        <f>IF(H4="Not Found","CRITICAL: No Risk Profile",IF(I4="Missing","WARN: Missing KYC",IF(I4="Expired","WARN: KYC Expired",IF(I4="Pending","INFO: KYC Pending","OK"))))</f>
        <v/>
      </c>
    </row>
    <row r="5">
      <c r="A5" s="4">
        <f>Raw_Transactions!A5</f>
        <v/>
      </c>
      <c r="B5" s="4">
        <f>Raw_Transactions!B5</f>
        <v/>
      </c>
      <c r="C5" s="4">
        <f>Raw_Transactions!C5</f>
        <v/>
      </c>
      <c r="D5" s="5">
        <f>Raw_Transactions!D5</f>
        <v/>
      </c>
      <c r="E5" s="4">
        <f>Raw_Transactions!E5</f>
        <v/>
      </c>
      <c r="F5" s="4">
        <f>Raw_Transactions!F5</f>
        <v/>
      </c>
      <c r="G5" s="4">
        <f>Raw_Transactions!G5</f>
        <v/>
      </c>
      <c r="H5" s="4">
        <f>XLOOKUP(B5,Raw_Risk_Profiles!$A:$A,Raw_Risk_Profiles!$B:$B,"Not Found")</f>
        <v/>
      </c>
      <c r="I5" s="4">
        <f>XLOOKUP(B5,Raw_Risk_Profiles!$A:$A,Raw_Risk_Profiles!$C:$C,"Missing")</f>
        <v/>
      </c>
      <c r="J5" s="4">
        <f>XLOOKUP(B5,Raw_Risk_Profiles!$A:$A,Raw_Risk_Profiles!$D:$D,"")</f>
        <v/>
      </c>
      <c r="K5" s="4">
        <f>IFERROR(INDEX(Raw_Risk_Profiles!$E:$E,MATCH(B5,Raw_Risk_Profiles!$A:$A,0)),"Unknown")</f>
        <v/>
      </c>
      <c r="L5" s="4">
        <f>IFERROR(XLOOKUP(A5,Raw_Alerts!$B:$B,Raw_Alerts!$A:$A),"No Alert")</f>
        <v/>
      </c>
      <c r="M5" s="4">
        <f>IFERROR(XLOOKUP(A5,Raw_Alerts!$B:$B,Raw_Alerts!$C:$C),"")</f>
        <v/>
      </c>
      <c r="N5" s="4">
        <f>IFERROR(XLOOKUP(A5,Raw_Alerts!$B:$B,Raw_Alerts!$D:$D),"")</f>
        <v/>
      </c>
      <c r="O5" s="4">
        <f>IFERROR(XLOOKUP(A5,Raw_Alerts!$B:$B,Raw_Alerts!$F:$F),"")</f>
        <v/>
      </c>
      <c r="P5" s="4">
        <f>IF(H5="Not Found","CRITICAL: No Risk Profile",IF(I5="Missing","WARN: Missing KYC",IF(I5="Expired","WARN: KYC Expired",IF(I5="Pending","INFO: KYC Pending","OK"))))</f>
        <v/>
      </c>
    </row>
    <row r="6">
      <c r="A6" s="2">
        <f>Raw_Transactions!A6</f>
        <v/>
      </c>
      <c r="B6" s="2">
        <f>Raw_Transactions!B6</f>
        <v/>
      </c>
      <c r="C6" s="2">
        <f>Raw_Transactions!C6</f>
        <v/>
      </c>
      <c r="D6" s="3">
        <f>Raw_Transactions!D6</f>
        <v/>
      </c>
      <c r="E6" s="2">
        <f>Raw_Transactions!E6</f>
        <v/>
      </c>
      <c r="F6" s="2">
        <f>Raw_Transactions!F6</f>
        <v/>
      </c>
      <c r="G6" s="2">
        <f>Raw_Transactions!G6</f>
        <v/>
      </c>
      <c r="H6" s="2">
        <f>XLOOKUP(B6,Raw_Risk_Profiles!$A:$A,Raw_Risk_Profiles!$B:$B,"Not Found")</f>
        <v/>
      </c>
      <c r="I6" s="2">
        <f>XLOOKUP(B6,Raw_Risk_Profiles!$A:$A,Raw_Risk_Profiles!$C:$C,"Missing")</f>
        <v/>
      </c>
      <c r="J6" s="2">
        <f>XLOOKUP(B6,Raw_Risk_Profiles!$A:$A,Raw_Risk_Profiles!$D:$D,"")</f>
        <v/>
      </c>
      <c r="K6" s="2">
        <f>IFERROR(INDEX(Raw_Risk_Profiles!$E:$E,MATCH(B6,Raw_Risk_Profiles!$A:$A,0)),"Unknown")</f>
        <v/>
      </c>
      <c r="L6" s="2">
        <f>IFERROR(XLOOKUP(A6,Raw_Alerts!$B:$B,Raw_Alerts!$A:$A),"No Alert")</f>
        <v/>
      </c>
      <c r="M6" s="2">
        <f>IFERROR(XLOOKUP(A6,Raw_Alerts!$B:$B,Raw_Alerts!$C:$C),"")</f>
        <v/>
      </c>
      <c r="N6" s="2">
        <f>IFERROR(XLOOKUP(A6,Raw_Alerts!$B:$B,Raw_Alerts!$D:$D),"")</f>
        <v/>
      </c>
      <c r="O6" s="2">
        <f>IFERROR(XLOOKUP(A6,Raw_Alerts!$B:$B,Raw_Alerts!$F:$F),"")</f>
        <v/>
      </c>
      <c r="P6" s="2">
        <f>IF(H6="Not Found","CRITICAL: No Risk Profile",IF(I6="Missing","WARN: Missing KYC",IF(I6="Expired","WARN: KYC Expired",IF(I6="Pending","INFO: KYC Pending","OK"))))</f>
        <v/>
      </c>
    </row>
    <row r="7">
      <c r="A7" s="4">
        <f>Raw_Transactions!A7</f>
        <v/>
      </c>
      <c r="B7" s="4">
        <f>Raw_Transactions!B7</f>
        <v/>
      </c>
      <c r="C7" s="4">
        <f>Raw_Transactions!C7</f>
        <v/>
      </c>
      <c r="D7" s="5">
        <f>Raw_Transactions!D7</f>
        <v/>
      </c>
      <c r="E7" s="4">
        <f>Raw_Transactions!E7</f>
        <v/>
      </c>
      <c r="F7" s="4">
        <f>Raw_Transactions!F7</f>
        <v/>
      </c>
      <c r="G7" s="4">
        <f>Raw_Transactions!G7</f>
        <v/>
      </c>
      <c r="H7" s="4">
        <f>XLOOKUP(B7,Raw_Risk_Profiles!$A:$A,Raw_Risk_Profiles!$B:$B,"Not Found")</f>
        <v/>
      </c>
      <c r="I7" s="4">
        <f>XLOOKUP(B7,Raw_Risk_Profiles!$A:$A,Raw_Risk_Profiles!$C:$C,"Missing")</f>
        <v/>
      </c>
      <c r="J7" s="4">
        <f>XLOOKUP(B7,Raw_Risk_Profiles!$A:$A,Raw_Risk_Profiles!$D:$D,"")</f>
        <v/>
      </c>
      <c r="K7" s="4">
        <f>IFERROR(INDEX(Raw_Risk_Profiles!$E:$E,MATCH(B7,Raw_Risk_Profiles!$A:$A,0)),"Unknown")</f>
        <v/>
      </c>
      <c r="L7" s="4">
        <f>IFERROR(XLOOKUP(A7,Raw_Alerts!$B:$B,Raw_Alerts!$A:$A),"No Alert")</f>
        <v/>
      </c>
      <c r="M7" s="4">
        <f>IFERROR(XLOOKUP(A7,Raw_Alerts!$B:$B,Raw_Alerts!$C:$C),"")</f>
        <v/>
      </c>
      <c r="N7" s="4">
        <f>IFERROR(XLOOKUP(A7,Raw_Alerts!$B:$B,Raw_Alerts!$D:$D),"")</f>
        <v/>
      </c>
      <c r="O7" s="4">
        <f>IFERROR(XLOOKUP(A7,Raw_Alerts!$B:$B,Raw_Alerts!$F:$F),"")</f>
        <v/>
      </c>
      <c r="P7" s="4">
        <f>IF(H7="Not Found","CRITICAL: No Risk Profile",IF(I7="Missing","WARN: Missing KYC",IF(I7="Expired","WARN: KYC Expired",IF(I7="Pending","INFO: KYC Pending","OK"))))</f>
        <v/>
      </c>
    </row>
    <row r="8">
      <c r="A8" s="2">
        <f>Raw_Transactions!A8</f>
        <v/>
      </c>
      <c r="B8" s="2">
        <f>Raw_Transactions!B8</f>
        <v/>
      </c>
      <c r="C8" s="2">
        <f>Raw_Transactions!C8</f>
        <v/>
      </c>
      <c r="D8" s="3">
        <f>Raw_Transactions!D8</f>
        <v/>
      </c>
      <c r="E8" s="2">
        <f>Raw_Transactions!E8</f>
        <v/>
      </c>
      <c r="F8" s="2">
        <f>Raw_Transactions!F8</f>
        <v/>
      </c>
      <c r="G8" s="2">
        <f>Raw_Transactions!G8</f>
        <v/>
      </c>
      <c r="H8" s="2">
        <f>XLOOKUP(B8,Raw_Risk_Profiles!$A:$A,Raw_Risk_Profiles!$B:$B,"Not Found")</f>
        <v/>
      </c>
      <c r="I8" s="2">
        <f>XLOOKUP(B8,Raw_Risk_Profiles!$A:$A,Raw_Risk_Profiles!$C:$C,"Missing")</f>
        <v/>
      </c>
      <c r="J8" s="2">
        <f>XLOOKUP(B8,Raw_Risk_Profiles!$A:$A,Raw_Risk_Profiles!$D:$D,"")</f>
        <v/>
      </c>
      <c r="K8" s="2">
        <f>IFERROR(INDEX(Raw_Risk_Profiles!$E:$E,MATCH(B8,Raw_Risk_Profiles!$A:$A,0)),"Unknown")</f>
        <v/>
      </c>
      <c r="L8" s="2">
        <f>IFERROR(XLOOKUP(A8,Raw_Alerts!$B:$B,Raw_Alerts!$A:$A),"No Alert")</f>
        <v/>
      </c>
      <c r="M8" s="2">
        <f>IFERROR(XLOOKUP(A8,Raw_Alerts!$B:$B,Raw_Alerts!$C:$C),"")</f>
        <v/>
      </c>
      <c r="N8" s="2">
        <f>IFERROR(XLOOKUP(A8,Raw_Alerts!$B:$B,Raw_Alerts!$D:$D),"")</f>
        <v/>
      </c>
      <c r="O8" s="2">
        <f>IFERROR(XLOOKUP(A8,Raw_Alerts!$B:$B,Raw_Alerts!$F:$F),"")</f>
        <v/>
      </c>
      <c r="P8" s="2">
        <f>IF(H8="Not Found","CRITICAL: No Risk Profile",IF(I8="Missing","WARN: Missing KYC",IF(I8="Expired","WARN: KYC Expired",IF(I8="Pending","INFO: KYC Pending","OK"))))</f>
        <v/>
      </c>
    </row>
    <row r="9">
      <c r="A9" s="4">
        <f>Raw_Transactions!A9</f>
        <v/>
      </c>
      <c r="B9" s="4">
        <f>Raw_Transactions!B9</f>
        <v/>
      </c>
      <c r="C9" s="4">
        <f>Raw_Transactions!C9</f>
        <v/>
      </c>
      <c r="D9" s="5">
        <f>Raw_Transactions!D9</f>
        <v/>
      </c>
      <c r="E9" s="4">
        <f>Raw_Transactions!E9</f>
        <v/>
      </c>
      <c r="F9" s="4">
        <f>Raw_Transactions!F9</f>
        <v/>
      </c>
      <c r="G9" s="4">
        <f>Raw_Transactions!G9</f>
        <v/>
      </c>
      <c r="H9" s="4">
        <f>XLOOKUP(B9,Raw_Risk_Profiles!$A:$A,Raw_Risk_Profiles!$B:$B,"Not Found")</f>
        <v/>
      </c>
      <c r="I9" s="4">
        <f>XLOOKUP(B9,Raw_Risk_Profiles!$A:$A,Raw_Risk_Profiles!$C:$C,"Missing")</f>
        <v/>
      </c>
      <c r="J9" s="4">
        <f>XLOOKUP(B9,Raw_Risk_Profiles!$A:$A,Raw_Risk_Profiles!$D:$D,"")</f>
        <v/>
      </c>
      <c r="K9" s="4">
        <f>IFERROR(INDEX(Raw_Risk_Profiles!$E:$E,MATCH(B9,Raw_Risk_Profiles!$A:$A,0)),"Unknown")</f>
        <v/>
      </c>
      <c r="L9" s="4">
        <f>IFERROR(XLOOKUP(A9,Raw_Alerts!$B:$B,Raw_Alerts!$A:$A),"No Alert")</f>
        <v/>
      </c>
      <c r="M9" s="4">
        <f>IFERROR(XLOOKUP(A9,Raw_Alerts!$B:$B,Raw_Alerts!$C:$C),"")</f>
        <v/>
      </c>
      <c r="N9" s="4">
        <f>IFERROR(XLOOKUP(A9,Raw_Alerts!$B:$B,Raw_Alerts!$D:$D),"")</f>
        <v/>
      </c>
      <c r="O9" s="4">
        <f>IFERROR(XLOOKUP(A9,Raw_Alerts!$B:$B,Raw_Alerts!$F:$F),"")</f>
        <v/>
      </c>
      <c r="P9" s="4">
        <f>IF(H9="Not Found","CRITICAL: No Risk Profile",IF(I9="Missing","WARN: Missing KYC",IF(I9="Expired","WARN: KYC Expired",IF(I9="Pending","INFO: KYC Pending","OK"))))</f>
        <v/>
      </c>
    </row>
    <row r="10">
      <c r="A10" s="2">
        <f>Raw_Transactions!A10</f>
        <v/>
      </c>
      <c r="B10" s="2">
        <f>Raw_Transactions!B10</f>
        <v/>
      </c>
      <c r="C10" s="2">
        <f>Raw_Transactions!C10</f>
        <v/>
      </c>
      <c r="D10" s="3">
        <f>Raw_Transactions!D10</f>
        <v/>
      </c>
      <c r="E10" s="2">
        <f>Raw_Transactions!E10</f>
        <v/>
      </c>
      <c r="F10" s="2">
        <f>Raw_Transactions!F10</f>
        <v/>
      </c>
      <c r="G10" s="2">
        <f>Raw_Transactions!G10</f>
        <v/>
      </c>
      <c r="H10" s="2">
        <f>XLOOKUP(B10,Raw_Risk_Profiles!$A:$A,Raw_Risk_Profiles!$B:$B,"Not Found")</f>
        <v/>
      </c>
      <c r="I10" s="2">
        <f>XLOOKUP(B10,Raw_Risk_Profiles!$A:$A,Raw_Risk_Profiles!$C:$C,"Missing")</f>
        <v/>
      </c>
      <c r="J10" s="2">
        <f>XLOOKUP(B10,Raw_Risk_Profiles!$A:$A,Raw_Risk_Profiles!$D:$D,"")</f>
        <v/>
      </c>
      <c r="K10" s="2">
        <f>IFERROR(INDEX(Raw_Risk_Profiles!$E:$E,MATCH(B10,Raw_Risk_Profiles!$A:$A,0)),"Unknown")</f>
        <v/>
      </c>
      <c r="L10" s="2">
        <f>IFERROR(XLOOKUP(A10,Raw_Alerts!$B:$B,Raw_Alerts!$A:$A),"No Alert")</f>
        <v/>
      </c>
      <c r="M10" s="2">
        <f>IFERROR(XLOOKUP(A10,Raw_Alerts!$B:$B,Raw_Alerts!$C:$C),"")</f>
        <v/>
      </c>
      <c r="N10" s="2">
        <f>IFERROR(XLOOKUP(A10,Raw_Alerts!$B:$B,Raw_Alerts!$D:$D),"")</f>
        <v/>
      </c>
      <c r="O10" s="2">
        <f>IFERROR(XLOOKUP(A10,Raw_Alerts!$B:$B,Raw_Alerts!$F:$F),"")</f>
        <v/>
      </c>
      <c r="P10" s="2">
        <f>IF(H10="Not Found","CRITICAL: No Risk Profile",IF(I10="Missing","WARN: Missing KYC",IF(I10="Expired","WARN: KYC Expired",IF(I10="Pending","INFO: KYC Pending","OK"))))</f>
        <v/>
      </c>
    </row>
    <row r="11">
      <c r="A11" s="4">
        <f>Raw_Transactions!A11</f>
        <v/>
      </c>
      <c r="B11" s="4">
        <f>Raw_Transactions!B11</f>
        <v/>
      </c>
      <c r="C11" s="4">
        <f>Raw_Transactions!C11</f>
        <v/>
      </c>
      <c r="D11" s="5">
        <f>Raw_Transactions!D11</f>
        <v/>
      </c>
      <c r="E11" s="4">
        <f>Raw_Transactions!E11</f>
        <v/>
      </c>
      <c r="F11" s="4">
        <f>Raw_Transactions!F11</f>
        <v/>
      </c>
      <c r="G11" s="4">
        <f>Raw_Transactions!G11</f>
        <v/>
      </c>
      <c r="H11" s="4">
        <f>XLOOKUP(B11,Raw_Risk_Profiles!$A:$A,Raw_Risk_Profiles!$B:$B,"Not Found")</f>
        <v/>
      </c>
      <c r="I11" s="4">
        <f>XLOOKUP(B11,Raw_Risk_Profiles!$A:$A,Raw_Risk_Profiles!$C:$C,"Missing")</f>
        <v/>
      </c>
      <c r="J11" s="4">
        <f>XLOOKUP(B11,Raw_Risk_Profiles!$A:$A,Raw_Risk_Profiles!$D:$D,"")</f>
        <v/>
      </c>
      <c r="K11" s="4">
        <f>IFERROR(INDEX(Raw_Risk_Profiles!$E:$E,MATCH(B11,Raw_Risk_Profiles!$A:$A,0)),"Unknown")</f>
        <v/>
      </c>
      <c r="L11" s="4">
        <f>IFERROR(XLOOKUP(A11,Raw_Alerts!$B:$B,Raw_Alerts!$A:$A),"No Alert")</f>
        <v/>
      </c>
      <c r="M11" s="4">
        <f>IFERROR(XLOOKUP(A11,Raw_Alerts!$B:$B,Raw_Alerts!$C:$C),"")</f>
        <v/>
      </c>
      <c r="N11" s="4">
        <f>IFERROR(XLOOKUP(A11,Raw_Alerts!$B:$B,Raw_Alerts!$D:$D),"")</f>
        <v/>
      </c>
      <c r="O11" s="4">
        <f>IFERROR(XLOOKUP(A11,Raw_Alerts!$B:$B,Raw_Alerts!$F:$F),"")</f>
        <v/>
      </c>
      <c r="P11" s="4">
        <f>IF(H11="Not Found","CRITICAL: No Risk Profile",IF(I11="Missing","WARN: Missing KYC",IF(I11="Expired","WARN: KYC Expired",IF(I11="Pending","INFO: KYC Pending","OK"))))</f>
        <v/>
      </c>
    </row>
    <row r="12">
      <c r="A12" s="2">
        <f>Raw_Transactions!A12</f>
        <v/>
      </c>
      <c r="B12" s="2">
        <f>Raw_Transactions!B12</f>
        <v/>
      </c>
      <c r="C12" s="2">
        <f>Raw_Transactions!C12</f>
        <v/>
      </c>
      <c r="D12" s="3">
        <f>Raw_Transactions!D12</f>
        <v/>
      </c>
      <c r="E12" s="2">
        <f>Raw_Transactions!E12</f>
        <v/>
      </c>
      <c r="F12" s="2">
        <f>Raw_Transactions!F12</f>
        <v/>
      </c>
      <c r="G12" s="2">
        <f>Raw_Transactions!G12</f>
        <v/>
      </c>
      <c r="H12" s="2">
        <f>XLOOKUP(B12,Raw_Risk_Profiles!$A:$A,Raw_Risk_Profiles!$B:$B,"Not Found")</f>
        <v/>
      </c>
      <c r="I12" s="2">
        <f>XLOOKUP(B12,Raw_Risk_Profiles!$A:$A,Raw_Risk_Profiles!$C:$C,"Missing")</f>
        <v/>
      </c>
      <c r="J12" s="2">
        <f>XLOOKUP(B12,Raw_Risk_Profiles!$A:$A,Raw_Risk_Profiles!$D:$D,"")</f>
        <v/>
      </c>
      <c r="K12" s="2">
        <f>IFERROR(INDEX(Raw_Risk_Profiles!$E:$E,MATCH(B12,Raw_Risk_Profiles!$A:$A,0)),"Unknown")</f>
        <v/>
      </c>
      <c r="L12" s="2">
        <f>IFERROR(XLOOKUP(A12,Raw_Alerts!$B:$B,Raw_Alerts!$A:$A),"No Alert")</f>
        <v/>
      </c>
      <c r="M12" s="2">
        <f>IFERROR(XLOOKUP(A12,Raw_Alerts!$B:$B,Raw_Alerts!$C:$C),"")</f>
        <v/>
      </c>
      <c r="N12" s="2">
        <f>IFERROR(XLOOKUP(A12,Raw_Alerts!$B:$B,Raw_Alerts!$D:$D),"")</f>
        <v/>
      </c>
      <c r="O12" s="2">
        <f>IFERROR(XLOOKUP(A12,Raw_Alerts!$B:$B,Raw_Alerts!$F:$F),"")</f>
        <v/>
      </c>
      <c r="P12" s="2">
        <f>IF(H12="Not Found","CRITICAL: No Risk Profile",IF(I12="Missing","WARN: Missing KYC",IF(I12="Expired","WARN: KYC Expired",IF(I12="Pending","INFO: KYC Pending","OK"))))</f>
        <v/>
      </c>
    </row>
    <row r="13">
      <c r="A13" s="4">
        <f>Raw_Transactions!A13</f>
        <v/>
      </c>
      <c r="B13" s="4">
        <f>Raw_Transactions!B13</f>
        <v/>
      </c>
      <c r="C13" s="4">
        <f>Raw_Transactions!C13</f>
        <v/>
      </c>
      <c r="D13" s="5">
        <f>Raw_Transactions!D13</f>
        <v/>
      </c>
      <c r="E13" s="4">
        <f>Raw_Transactions!E13</f>
        <v/>
      </c>
      <c r="F13" s="4">
        <f>Raw_Transactions!F13</f>
        <v/>
      </c>
      <c r="G13" s="4">
        <f>Raw_Transactions!G13</f>
        <v/>
      </c>
      <c r="H13" s="4">
        <f>XLOOKUP(B13,Raw_Risk_Profiles!$A:$A,Raw_Risk_Profiles!$B:$B,"Not Found")</f>
        <v/>
      </c>
      <c r="I13" s="4">
        <f>XLOOKUP(B13,Raw_Risk_Profiles!$A:$A,Raw_Risk_Profiles!$C:$C,"Missing")</f>
        <v/>
      </c>
      <c r="J13" s="4">
        <f>XLOOKUP(B13,Raw_Risk_Profiles!$A:$A,Raw_Risk_Profiles!$D:$D,"")</f>
        <v/>
      </c>
      <c r="K13" s="4">
        <f>IFERROR(INDEX(Raw_Risk_Profiles!$E:$E,MATCH(B13,Raw_Risk_Profiles!$A:$A,0)),"Unknown")</f>
        <v/>
      </c>
      <c r="L13" s="4">
        <f>IFERROR(XLOOKUP(A13,Raw_Alerts!$B:$B,Raw_Alerts!$A:$A),"No Alert")</f>
        <v/>
      </c>
      <c r="M13" s="4">
        <f>IFERROR(XLOOKUP(A13,Raw_Alerts!$B:$B,Raw_Alerts!$C:$C),"")</f>
        <v/>
      </c>
      <c r="N13" s="4">
        <f>IFERROR(XLOOKUP(A13,Raw_Alerts!$B:$B,Raw_Alerts!$D:$D),"")</f>
        <v/>
      </c>
      <c r="O13" s="4">
        <f>IFERROR(XLOOKUP(A13,Raw_Alerts!$B:$B,Raw_Alerts!$F:$F),"")</f>
        <v/>
      </c>
      <c r="P13" s="4">
        <f>IF(H13="Not Found","CRITICAL: No Risk Profile",IF(I13="Missing","WARN: Missing KYC",IF(I13="Expired","WARN: KYC Expired",IF(I13="Pending","INFO: KYC Pending","OK"))))</f>
        <v/>
      </c>
    </row>
    <row r="14">
      <c r="A14" s="2">
        <f>Raw_Transactions!A14</f>
        <v/>
      </c>
      <c r="B14" s="2">
        <f>Raw_Transactions!B14</f>
        <v/>
      </c>
      <c r="C14" s="2">
        <f>Raw_Transactions!C14</f>
        <v/>
      </c>
      <c r="D14" s="3">
        <f>Raw_Transactions!D14</f>
        <v/>
      </c>
      <c r="E14" s="2">
        <f>Raw_Transactions!E14</f>
        <v/>
      </c>
      <c r="F14" s="2">
        <f>Raw_Transactions!F14</f>
        <v/>
      </c>
      <c r="G14" s="2">
        <f>Raw_Transactions!G14</f>
        <v/>
      </c>
      <c r="H14" s="2">
        <f>XLOOKUP(B14,Raw_Risk_Profiles!$A:$A,Raw_Risk_Profiles!$B:$B,"Not Found")</f>
        <v/>
      </c>
      <c r="I14" s="2">
        <f>XLOOKUP(B14,Raw_Risk_Profiles!$A:$A,Raw_Risk_Profiles!$C:$C,"Missing")</f>
        <v/>
      </c>
      <c r="J14" s="2">
        <f>XLOOKUP(B14,Raw_Risk_Profiles!$A:$A,Raw_Risk_Profiles!$D:$D,"")</f>
        <v/>
      </c>
      <c r="K14" s="2">
        <f>IFERROR(INDEX(Raw_Risk_Profiles!$E:$E,MATCH(B14,Raw_Risk_Profiles!$A:$A,0)),"Unknown")</f>
        <v/>
      </c>
      <c r="L14" s="2">
        <f>IFERROR(XLOOKUP(A14,Raw_Alerts!$B:$B,Raw_Alerts!$A:$A),"No Alert")</f>
        <v/>
      </c>
      <c r="M14" s="2">
        <f>IFERROR(XLOOKUP(A14,Raw_Alerts!$B:$B,Raw_Alerts!$C:$C),"")</f>
        <v/>
      </c>
      <c r="N14" s="2">
        <f>IFERROR(XLOOKUP(A14,Raw_Alerts!$B:$B,Raw_Alerts!$D:$D),"")</f>
        <v/>
      </c>
      <c r="O14" s="2">
        <f>IFERROR(XLOOKUP(A14,Raw_Alerts!$B:$B,Raw_Alerts!$F:$F),"")</f>
        <v/>
      </c>
      <c r="P14" s="2">
        <f>IF(H14="Not Found","CRITICAL: No Risk Profile",IF(I14="Missing","WARN: Missing KYC",IF(I14="Expired","WARN: KYC Expired",IF(I14="Pending","INFO: KYC Pending","OK"))))</f>
        <v/>
      </c>
    </row>
    <row r="15">
      <c r="A15" s="4">
        <f>Raw_Transactions!A15</f>
        <v/>
      </c>
      <c r="B15" s="4">
        <f>Raw_Transactions!B15</f>
        <v/>
      </c>
      <c r="C15" s="4">
        <f>Raw_Transactions!C15</f>
        <v/>
      </c>
      <c r="D15" s="5">
        <f>Raw_Transactions!D15</f>
        <v/>
      </c>
      <c r="E15" s="4">
        <f>Raw_Transactions!E15</f>
        <v/>
      </c>
      <c r="F15" s="4">
        <f>Raw_Transactions!F15</f>
        <v/>
      </c>
      <c r="G15" s="4">
        <f>Raw_Transactions!G15</f>
        <v/>
      </c>
      <c r="H15" s="4">
        <f>XLOOKUP(B15,Raw_Risk_Profiles!$A:$A,Raw_Risk_Profiles!$B:$B,"Not Found")</f>
        <v/>
      </c>
      <c r="I15" s="4">
        <f>XLOOKUP(B15,Raw_Risk_Profiles!$A:$A,Raw_Risk_Profiles!$C:$C,"Missing")</f>
        <v/>
      </c>
      <c r="J15" s="4">
        <f>XLOOKUP(B15,Raw_Risk_Profiles!$A:$A,Raw_Risk_Profiles!$D:$D,"")</f>
        <v/>
      </c>
      <c r="K15" s="4">
        <f>IFERROR(INDEX(Raw_Risk_Profiles!$E:$E,MATCH(B15,Raw_Risk_Profiles!$A:$A,0)),"Unknown")</f>
        <v/>
      </c>
      <c r="L15" s="4">
        <f>IFERROR(XLOOKUP(A15,Raw_Alerts!$B:$B,Raw_Alerts!$A:$A),"No Alert")</f>
        <v/>
      </c>
      <c r="M15" s="4">
        <f>IFERROR(XLOOKUP(A15,Raw_Alerts!$B:$B,Raw_Alerts!$C:$C),"")</f>
        <v/>
      </c>
      <c r="N15" s="4">
        <f>IFERROR(XLOOKUP(A15,Raw_Alerts!$B:$B,Raw_Alerts!$D:$D),"")</f>
        <v/>
      </c>
      <c r="O15" s="4">
        <f>IFERROR(XLOOKUP(A15,Raw_Alerts!$B:$B,Raw_Alerts!$F:$F),"")</f>
        <v/>
      </c>
      <c r="P15" s="4">
        <f>IF(H15="Not Found","CRITICAL: No Risk Profile",IF(I15="Missing","WARN: Missing KYC",IF(I15="Expired","WARN: KYC Expired",IF(I15="Pending","INFO: KYC Pending","OK"))))</f>
        <v/>
      </c>
    </row>
    <row r="16">
      <c r="A16" s="2">
        <f>Raw_Transactions!A16</f>
        <v/>
      </c>
      <c r="B16" s="2">
        <f>Raw_Transactions!B16</f>
        <v/>
      </c>
      <c r="C16" s="2">
        <f>Raw_Transactions!C16</f>
        <v/>
      </c>
      <c r="D16" s="3">
        <f>Raw_Transactions!D16</f>
        <v/>
      </c>
      <c r="E16" s="2">
        <f>Raw_Transactions!E16</f>
        <v/>
      </c>
      <c r="F16" s="2">
        <f>Raw_Transactions!F16</f>
        <v/>
      </c>
      <c r="G16" s="2">
        <f>Raw_Transactions!G16</f>
        <v/>
      </c>
      <c r="H16" s="2">
        <f>XLOOKUP(B16,Raw_Risk_Profiles!$A:$A,Raw_Risk_Profiles!$B:$B,"Not Found")</f>
        <v/>
      </c>
      <c r="I16" s="2">
        <f>XLOOKUP(B16,Raw_Risk_Profiles!$A:$A,Raw_Risk_Profiles!$C:$C,"Missing")</f>
        <v/>
      </c>
      <c r="J16" s="2">
        <f>XLOOKUP(B16,Raw_Risk_Profiles!$A:$A,Raw_Risk_Profiles!$D:$D,"")</f>
        <v/>
      </c>
      <c r="K16" s="2">
        <f>IFERROR(INDEX(Raw_Risk_Profiles!$E:$E,MATCH(B16,Raw_Risk_Profiles!$A:$A,0)),"Unknown")</f>
        <v/>
      </c>
      <c r="L16" s="2">
        <f>IFERROR(XLOOKUP(A16,Raw_Alerts!$B:$B,Raw_Alerts!$A:$A),"No Alert")</f>
        <v/>
      </c>
      <c r="M16" s="2">
        <f>IFERROR(XLOOKUP(A16,Raw_Alerts!$B:$B,Raw_Alerts!$C:$C),"")</f>
        <v/>
      </c>
      <c r="N16" s="2">
        <f>IFERROR(XLOOKUP(A16,Raw_Alerts!$B:$B,Raw_Alerts!$D:$D),"")</f>
        <v/>
      </c>
      <c r="O16" s="2">
        <f>IFERROR(XLOOKUP(A16,Raw_Alerts!$B:$B,Raw_Alerts!$F:$F),"")</f>
        <v/>
      </c>
      <c r="P16" s="2">
        <f>IF(H16="Not Found","CRITICAL: No Risk Profile",IF(I16="Missing","WARN: Missing KYC",IF(I16="Expired","WARN: KYC Expired",IF(I16="Pending","INFO: KYC Pending","OK"))))</f>
        <v/>
      </c>
    </row>
    <row r="17">
      <c r="A17" s="4">
        <f>Raw_Transactions!A17</f>
        <v/>
      </c>
      <c r="B17" s="4">
        <f>Raw_Transactions!B17</f>
        <v/>
      </c>
      <c r="C17" s="4">
        <f>Raw_Transactions!C17</f>
        <v/>
      </c>
      <c r="D17" s="5">
        <f>Raw_Transactions!D17</f>
        <v/>
      </c>
      <c r="E17" s="4">
        <f>Raw_Transactions!E17</f>
        <v/>
      </c>
      <c r="F17" s="4">
        <f>Raw_Transactions!F17</f>
        <v/>
      </c>
      <c r="G17" s="4">
        <f>Raw_Transactions!G17</f>
        <v/>
      </c>
      <c r="H17" s="4">
        <f>XLOOKUP(B17,Raw_Risk_Profiles!$A:$A,Raw_Risk_Profiles!$B:$B,"Not Found")</f>
        <v/>
      </c>
      <c r="I17" s="4">
        <f>XLOOKUP(B17,Raw_Risk_Profiles!$A:$A,Raw_Risk_Profiles!$C:$C,"Missing")</f>
        <v/>
      </c>
      <c r="J17" s="4">
        <f>XLOOKUP(B17,Raw_Risk_Profiles!$A:$A,Raw_Risk_Profiles!$D:$D,"")</f>
        <v/>
      </c>
      <c r="K17" s="4">
        <f>IFERROR(INDEX(Raw_Risk_Profiles!$E:$E,MATCH(B17,Raw_Risk_Profiles!$A:$A,0)),"Unknown")</f>
        <v/>
      </c>
      <c r="L17" s="4">
        <f>IFERROR(XLOOKUP(A17,Raw_Alerts!$B:$B,Raw_Alerts!$A:$A),"No Alert")</f>
        <v/>
      </c>
      <c r="M17" s="4">
        <f>IFERROR(XLOOKUP(A17,Raw_Alerts!$B:$B,Raw_Alerts!$C:$C),"")</f>
        <v/>
      </c>
      <c r="N17" s="4">
        <f>IFERROR(XLOOKUP(A17,Raw_Alerts!$B:$B,Raw_Alerts!$D:$D),"")</f>
        <v/>
      </c>
      <c r="O17" s="4">
        <f>IFERROR(XLOOKUP(A17,Raw_Alerts!$B:$B,Raw_Alerts!$F:$F),"")</f>
        <v/>
      </c>
      <c r="P17" s="4">
        <f>IF(H17="Not Found","CRITICAL: No Risk Profile",IF(I17="Missing","WARN: Missing KYC",IF(I17="Expired","WARN: KYC Expired",IF(I17="Pending","INFO: KYC Pending","OK"))))</f>
        <v/>
      </c>
    </row>
    <row r="18">
      <c r="A18" s="2">
        <f>Raw_Transactions!A18</f>
        <v/>
      </c>
      <c r="B18" s="2">
        <f>Raw_Transactions!B18</f>
        <v/>
      </c>
      <c r="C18" s="2">
        <f>Raw_Transactions!C18</f>
        <v/>
      </c>
      <c r="D18" s="3">
        <f>Raw_Transactions!D18</f>
        <v/>
      </c>
      <c r="E18" s="2">
        <f>Raw_Transactions!E18</f>
        <v/>
      </c>
      <c r="F18" s="2">
        <f>Raw_Transactions!F18</f>
        <v/>
      </c>
      <c r="G18" s="2">
        <f>Raw_Transactions!G18</f>
        <v/>
      </c>
      <c r="H18" s="2">
        <f>XLOOKUP(B18,Raw_Risk_Profiles!$A:$A,Raw_Risk_Profiles!$B:$B,"Not Found")</f>
        <v/>
      </c>
      <c r="I18" s="2">
        <f>XLOOKUP(B18,Raw_Risk_Profiles!$A:$A,Raw_Risk_Profiles!$C:$C,"Missing")</f>
        <v/>
      </c>
      <c r="J18" s="2">
        <f>XLOOKUP(B18,Raw_Risk_Profiles!$A:$A,Raw_Risk_Profiles!$D:$D,"")</f>
        <v/>
      </c>
      <c r="K18" s="2">
        <f>IFERROR(INDEX(Raw_Risk_Profiles!$E:$E,MATCH(B18,Raw_Risk_Profiles!$A:$A,0)),"Unknown")</f>
        <v/>
      </c>
      <c r="L18" s="2">
        <f>IFERROR(XLOOKUP(A18,Raw_Alerts!$B:$B,Raw_Alerts!$A:$A),"No Alert")</f>
        <v/>
      </c>
      <c r="M18" s="2">
        <f>IFERROR(XLOOKUP(A18,Raw_Alerts!$B:$B,Raw_Alerts!$C:$C),"")</f>
        <v/>
      </c>
      <c r="N18" s="2">
        <f>IFERROR(XLOOKUP(A18,Raw_Alerts!$B:$B,Raw_Alerts!$D:$D),"")</f>
        <v/>
      </c>
      <c r="O18" s="2">
        <f>IFERROR(XLOOKUP(A18,Raw_Alerts!$B:$B,Raw_Alerts!$F:$F),"")</f>
        <v/>
      </c>
      <c r="P18" s="2">
        <f>IF(H18="Not Found","CRITICAL: No Risk Profile",IF(I18="Missing","WARN: Missing KYC",IF(I18="Expired","WARN: KYC Expired",IF(I18="Pending","INFO: KYC Pending","OK"))))</f>
        <v/>
      </c>
    </row>
    <row r="19">
      <c r="A19" s="4">
        <f>Raw_Transactions!A19</f>
        <v/>
      </c>
      <c r="B19" s="4">
        <f>Raw_Transactions!B19</f>
        <v/>
      </c>
      <c r="C19" s="4">
        <f>Raw_Transactions!C19</f>
        <v/>
      </c>
      <c r="D19" s="5">
        <f>Raw_Transactions!D19</f>
        <v/>
      </c>
      <c r="E19" s="4">
        <f>Raw_Transactions!E19</f>
        <v/>
      </c>
      <c r="F19" s="4">
        <f>Raw_Transactions!F19</f>
        <v/>
      </c>
      <c r="G19" s="4">
        <f>Raw_Transactions!G19</f>
        <v/>
      </c>
      <c r="H19" s="4">
        <f>XLOOKUP(B19,Raw_Risk_Profiles!$A:$A,Raw_Risk_Profiles!$B:$B,"Not Found")</f>
        <v/>
      </c>
      <c r="I19" s="4">
        <f>XLOOKUP(B19,Raw_Risk_Profiles!$A:$A,Raw_Risk_Profiles!$C:$C,"Missing")</f>
        <v/>
      </c>
      <c r="J19" s="4">
        <f>XLOOKUP(B19,Raw_Risk_Profiles!$A:$A,Raw_Risk_Profiles!$D:$D,"")</f>
        <v/>
      </c>
      <c r="K19" s="4">
        <f>IFERROR(INDEX(Raw_Risk_Profiles!$E:$E,MATCH(B19,Raw_Risk_Profiles!$A:$A,0)),"Unknown")</f>
        <v/>
      </c>
      <c r="L19" s="4">
        <f>IFERROR(XLOOKUP(A19,Raw_Alerts!$B:$B,Raw_Alerts!$A:$A),"No Alert")</f>
        <v/>
      </c>
      <c r="M19" s="4">
        <f>IFERROR(XLOOKUP(A19,Raw_Alerts!$B:$B,Raw_Alerts!$C:$C),"")</f>
        <v/>
      </c>
      <c r="N19" s="4">
        <f>IFERROR(XLOOKUP(A19,Raw_Alerts!$B:$B,Raw_Alerts!$D:$D),"")</f>
        <v/>
      </c>
      <c r="O19" s="4">
        <f>IFERROR(XLOOKUP(A19,Raw_Alerts!$B:$B,Raw_Alerts!$F:$F),"")</f>
        <v/>
      </c>
      <c r="P19" s="4">
        <f>IF(H19="Not Found","CRITICAL: No Risk Profile",IF(I19="Missing","WARN: Missing KYC",IF(I19="Expired","WARN: KYC Expired",IF(I19="Pending","INFO: KYC Pending","OK"))))</f>
        <v/>
      </c>
    </row>
    <row r="20">
      <c r="A20" s="2">
        <f>Raw_Transactions!A20</f>
        <v/>
      </c>
      <c r="B20" s="2">
        <f>Raw_Transactions!B20</f>
        <v/>
      </c>
      <c r="C20" s="2">
        <f>Raw_Transactions!C20</f>
        <v/>
      </c>
      <c r="D20" s="3">
        <f>Raw_Transactions!D20</f>
        <v/>
      </c>
      <c r="E20" s="2">
        <f>Raw_Transactions!E20</f>
        <v/>
      </c>
      <c r="F20" s="2">
        <f>Raw_Transactions!F20</f>
        <v/>
      </c>
      <c r="G20" s="2">
        <f>Raw_Transactions!G20</f>
        <v/>
      </c>
      <c r="H20" s="2">
        <f>XLOOKUP(B20,Raw_Risk_Profiles!$A:$A,Raw_Risk_Profiles!$B:$B,"Not Found")</f>
        <v/>
      </c>
      <c r="I20" s="2">
        <f>XLOOKUP(B20,Raw_Risk_Profiles!$A:$A,Raw_Risk_Profiles!$C:$C,"Missing")</f>
        <v/>
      </c>
      <c r="J20" s="2">
        <f>XLOOKUP(B20,Raw_Risk_Profiles!$A:$A,Raw_Risk_Profiles!$D:$D,"")</f>
        <v/>
      </c>
      <c r="K20" s="2">
        <f>IFERROR(INDEX(Raw_Risk_Profiles!$E:$E,MATCH(B20,Raw_Risk_Profiles!$A:$A,0)),"Unknown")</f>
        <v/>
      </c>
      <c r="L20" s="2">
        <f>IFERROR(XLOOKUP(A20,Raw_Alerts!$B:$B,Raw_Alerts!$A:$A),"No Alert")</f>
        <v/>
      </c>
      <c r="M20" s="2">
        <f>IFERROR(XLOOKUP(A20,Raw_Alerts!$B:$B,Raw_Alerts!$C:$C),"")</f>
        <v/>
      </c>
      <c r="N20" s="2">
        <f>IFERROR(XLOOKUP(A20,Raw_Alerts!$B:$B,Raw_Alerts!$D:$D),"")</f>
        <v/>
      </c>
      <c r="O20" s="2">
        <f>IFERROR(XLOOKUP(A20,Raw_Alerts!$B:$B,Raw_Alerts!$F:$F),"")</f>
        <v/>
      </c>
      <c r="P20" s="2">
        <f>IF(H20="Not Found","CRITICAL: No Risk Profile",IF(I20="Missing","WARN: Missing KYC",IF(I20="Expired","WARN: KYC Expired",IF(I20="Pending","INFO: KYC Pending","OK"))))</f>
        <v/>
      </c>
    </row>
    <row r="21">
      <c r="A21" s="4">
        <f>Raw_Transactions!A21</f>
        <v/>
      </c>
      <c r="B21" s="4">
        <f>Raw_Transactions!B21</f>
        <v/>
      </c>
      <c r="C21" s="4">
        <f>Raw_Transactions!C21</f>
        <v/>
      </c>
      <c r="D21" s="5">
        <f>Raw_Transactions!D21</f>
        <v/>
      </c>
      <c r="E21" s="4">
        <f>Raw_Transactions!E21</f>
        <v/>
      </c>
      <c r="F21" s="4">
        <f>Raw_Transactions!F21</f>
        <v/>
      </c>
      <c r="G21" s="4">
        <f>Raw_Transactions!G21</f>
        <v/>
      </c>
      <c r="H21" s="4">
        <f>XLOOKUP(B21,Raw_Risk_Profiles!$A:$A,Raw_Risk_Profiles!$B:$B,"Not Found")</f>
        <v/>
      </c>
      <c r="I21" s="4">
        <f>XLOOKUP(B21,Raw_Risk_Profiles!$A:$A,Raw_Risk_Profiles!$C:$C,"Missing")</f>
        <v/>
      </c>
      <c r="J21" s="4">
        <f>XLOOKUP(B21,Raw_Risk_Profiles!$A:$A,Raw_Risk_Profiles!$D:$D,"")</f>
        <v/>
      </c>
      <c r="K21" s="4">
        <f>IFERROR(INDEX(Raw_Risk_Profiles!$E:$E,MATCH(B21,Raw_Risk_Profiles!$A:$A,0)),"Unknown")</f>
        <v/>
      </c>
      <c r="L21" s="4">
        <f>IFERROR(XLOOKUP(A21,Raw_Alerts!$B:$B,Raw_Alerts!$A:$A),"No Alert")</f>
        <v/>
      </c>
      <c r="M21" s="4">
        <f>IFERROR(XLOOKUP(A21,Raw_Alerts!$B:$B,Raw_Alerts!$C:$C),"")</f>
        <v/>
      </c>
      <c r="N21" s="4">
        <f>IFERROR(XLOOKUP(A21,Raw_Alerts!$B:$B,Raw_Alerts!$D:$D),"")</f>
        <v/>
      </c>
      <c r="O21" s="4">
        <f>IFERROR(XLOOKUP(A21,Raw_Alerts!$B:$B,Raw_Alerts!$F:$F),"")</f>
        <v/>
      </c>
      <c r="P21" s="4">
        <f>IF(H21="Not Found","CRITICAL: No Risk Profile",IF(I21="Missing","WARN: Missing KYC",IF(I21="Expired","WARN: KYC Expired",IF(I21="Pending","INFO: KYC Pending","OK"))))</f>
        <v/>
      </c>
    </row>
    <row r="22">
      <c r="A22" s="2">
        <f>Raw_Transactions!A22</f>
        <v/>
      </c>
      <c r="B22" s="2">
        <f>Raw_Transactions!B22</f>
        <v/>
      </c>
      <c r="C22" s="2">
        <f>Raw_Transactions!C22</f>
        <v/>
      </c>
      <c r="D22" s="3">
        <f>Raw_Transactions!D22</f>
        <v/>
      </c>
      <c r="E22" s="2">
        <f>Raw_Transactions!E22</f>
        <v/>
      </c>
      <c r="F22" s="2">
        <f>Raw_Transactions!F22</f>
        <v/>
      </c>
      <c r="G22" s="2">
        <f>Raw_Transactions!G22</f>
        <v/>
      </c>
      <c r="H22" s="2">
        <f>XLOOKUP(B22,Raw_Risk_Profiles!$A:$A,Raw_Risk_Profiles!$B:$B,"Not Found")</f>
        <v/>
      </c>
      <c r="I22" s="2">
        <f>XLOOKUP(B22,Raw_Risk_Profiles!$A:$A,Raw_Risk_Profiles!$C:$C,"Missing")</f>
        <v/>
      </c>
      <c r="J22" s="2">
        <f>XLOOKUP(B22,Raw_Risk_Profiles!$A:$A,Raw_Risk_Profiles!$D:$D,"")</f>
        <v/>
      </c>
      <c r="K22" s="2">
        <f>IFERROR(INDEX(Raw_Risk_Profiles!$E:$E,MATCH(B22,Raw_Risk_Profiles!$A:$A,0)),"Unknown")</f>
        <v/>
      </c>
      <c r="L22" s="2">
        <f>IFERROR(XLOOKUP(A22,Raw_Alerts!$B:$B,Raw_Alerts!$A:$A),"No Alert")</f>
        <v/>
      </c>
      <c r="M22" s="2">
        <f>IFERROR(XLOOKUP(A22,Raw_Alerts!$B:$B,Raw_Alerts!$C:$C),"")</f>
        <v/>
      </c>
      <c r="N22" s="2">
        <f>IFERROR(XLOOKUP(A22,Raw_Alerts!$B:$B,Raw_Alerts!$D:$D),"")</f>
        <v/>
      </c>
      <c r="O22" s="2">
        <f>IFERROR(XLOOKUP(A22,Raw_Alerts!$B:$B,Raw_Alerts!$F:$F),"")</f>
        <v/>
      </c>
      <c r="P22" s="2">
        <f>IF(H22="Not Found","CRITICAL: No Risk Profile",IF(I22="Missing","WARN: Missing KYC",IF(I22="Expired","WARN: KYC Expired",IF(I22="Pending","INFO: KYC Pending","OK"))))</f>
        <v/>
      </c>
    </row>
    <row r="23">
      <c r="A23" s="4">
        <f>Raw_Transactions!A23</f>
        <v/>
      </c>
      <c r="B23" s="4">
        <f>Raw_Transactions!B23</f>
        <v/>
      </c>
      <c r="C23" s="4">
        <f>Raw_Transactions!C23</f>
        <v/>
      </c>
      <c r="D23" s="5">
        <f>Raw_Transactions!D23</f>
        <v/>
      </c>
      <c r="E23" s="4">
        <f>Raw_Transactions!E23</f>
        <v/>
      </c>
      <c r="F23" s="4">
        <f>Raw_Transactions!F23</f>
        <v/>
      </c>
      <c r="G23" s="4">
        <f>Raw_Transactions!G23</f>
        <v/>
      </c>
      <c r="H23" s="4">
        <f>XLOOKUP(B23,Raw_Risk_Profiles!$A:$A,Raw_Risk_Profiles!$B:$B,"Not Found")</f>
        <v/>
      </c>
      <c r="I23" s="4">
        <f>XLOOKUP(B23,Raw_Risk_Profiles!$A:$A,Raw_Risk_Profiles!$C:$C,"Missing")</f>
        <v/>
      </c>
      <c r="J23" s="4">
        <f>XLOOKUP(B23,Raw_Risk_Profiles!$A:$A,Raw_Risk_Profiles!$D:$D,"")</f>
        <v/>
      </c>
      <c r="K23" s="4">
        <f>IFERROR(INDEX(Raw_Risk_Profiles!$E:$E,MATCH(B23,Raw_Risk_Profiles!$A:$A,0)),"Unknown")</f>
        <v/>
      </c>
      <c r="L23" s="4">
        <f>IFERROR(XLOOKUP(A23,Raw_Alerts!$B:$B,Raw_Alerts!$A:$A),"No Alert")</f>
        <v/>
      </c>
      <c r="M23" s="4">
        <f>IFERROR(XLOOKUP(A23,Raw_Alerts!$B:$B,Raw_Alerts!$C:$C),"")</f>
        <v/>
      </c>
      <c r="N23" s="4">
        <f>IFERROR(XLOOKUP(A23,Raw_Alerts!$B:$B,Raw_Alerts!$D:$D),"")</f>
        <v/>
      </c>
      <c r="O23" s="4">
        <f>IFERROR(XLOOKUP(A23,Raw_Alerts!$B:$B,Raw_Alerts!$F:$F),"")</f>
        <v/>
      </c>
      <c r="P23" s="4">
        <f>IF(H23="Not Found","CRITICAL: No Risk Profile",IF(I23="Missing","WARN: Missing KYC",IF(I23="Expired","WARN: KYC Expired",IF(I23="Pending","INFO: KYC Pending","OK"))))</f>
        <v/>
      </c>
    </row>
    <row r="24">
      <c r="A24" s="2">
        <f>Raw_Transactions!A24</f>
        <v/>
      </c>
      <c r="B24" s="2">
        <f>Raw_Transactions!B24</f>
        <v/>
      </c>
      <c r="C24" s="2">
        <f>Raw_Transactions!C24</f>
        <v/>
      </c>
      <c r="D24" s="3">
        <f>Raw_Transactions!D24</f>
        <v/>
      </c>
      <c r="E24" s="2">
        <f>Raw_Transactions!E24</f>
        <v/>
      </c>
      <c r="F24" s="2">
        <f>Raw_Transactions!F24</f>
        <v/>
      </c>
      <c r="G24" s="2">
        <f>Raw_Transactions!G24</f>
        <v/>
      </c>
      <c r="H24" s="2">
        <f>XLOOKUP(B24,Raw_Risk_Profiles!$A:$A,Raw_Risk_Profiles!$B:$B,"Not Found")</f>
        <v/>
      </c>
      <c r="I24" s="2">
        <f>XLOOKUP(B24,Raw_Risk_Profiles!$A:$A,Raw_Risk_Profiles!$C:$C,"Missing")</f>
        <v/>
      </c>
      <c r="J24" s="2">
        <f>XLOOKUP(B24,Raw_Risk_Profiles!$A:$A,Raw_Risk_Profiles!$D:$D,"")</f>
        <v/>
      </c>
      <c r="K24" s="2">
        <f>IFERROR(INDEX(Raw_Risk_Profiles!$E:$E,MATCH(B24,Raw_Risk_Profiles!$A:$A,0)),"Unknown")</f>
        <v/>
      </c>
      <c r="L24" s="2">
        <f>IFERROR(XLOOKUP(A24,Raw_Alerts!$B:$B,Raw_Alerts!$A:$A),"No Alert")</f>
        <v/>
      </c>
      <c r="M24" s="2">
        <f>IFERROR(XLOOKUP(A24,Raw_Alerts!$B:$B,Raw_Alerts!$C:$C),"")</f>
        <v/>
      </c>
      <c r="N24" s="2">
        <f>IFERROR(XLOOKUP(A24,Raw_Alerts!$B:$B,Raw_Alerts!$D:$D),"")</f>
        <v/>
      </c>
      <c r="O24" s="2">
        <f>IFERROR(XLOOKUP(A24,Raw_Alerts!$B:$B,Raw_Alerts!$F:$F),"")</f>
        <v/>
      </c>
      <c r="P24" s="2">
        <f>IF(H24="Not Found","CRITICAL: No Risk Profile",IF(I24="Missing","WARN: Missing KYC",IF(I24="Expired","WARN: KYC Expired",IF(I24="Pending","INFO: KYC Pending","OK"))))</f>
        <v/>
      </c>
    </row>
    <row r="25">
      <c r="A25" s="4">
        <f>Raw_Transactions!A25</f>
        <v/>
      </c>
      <c r="B25" s="4">
        <f>Raw_Transactions!B25</f>
        <v/>
      </c>
      <c r="C25" s="4">
        <f>Raw_Transactions!C25</f>
        <v/>
      </c>
      <c r="D25" s="5">
        <f>Raw_Transactions!D25</f>
        <v/>
      </c>
      <c r="E25" s="4">
        <f>Raw_Transactions!E25</f>
        <v/>
      </c>
      <c r="F25" s="4">
        <f>Raw_Transactions!F25</f>
        <v/>
      </c>
      <c r="G25" s="4">
        <f>Raw_Transactions!G25</f>
        <v/>
      </c>
      <c r="H25" s="4">
        <f>XLOOKUP(B25,Raw_Risk_Profiles!$A:$A,Raw_Risk_Profiles!$B:$B,"Not Found")</f>
        <v/>
      </c>
      <c r="I25" s="4">
        <f>XLOOKUP(B25,Raw_Risk_Profiles!$A:$A,Raw_Risk_Profiles!$C:$C,"Missing")</f>
        <v/>
      </c>
      <c r="J25" s="4">
        <f>XLOOKUP(B25,Raw_Risk_Profiles!$A:$A,Raw_Risk_Profiles!$D:$D,"")</f>
        <v/>
      </c>
      <c r="K25" s="4">
        <f>IFERROR(INDEX(Raw_Risk_Profiles!$E:$E,MATCH(B25,Raw_Risk_Profiles!$A:$A,0)),"Unknown")</f>
        <v/>
      </c>
      <c r="L25" s="4">
        <f>IFERROR(XLOOKUP(A25,Raw_Alerts!$B:$B,Raw_Alerts!$A:$A),"No Alert")</f>
        <v/>
      </c>
      <c r="M25" s="4">
        <f>IFERROR(XLOOKUP(A25,Raw_Alerts!$B:$B,Raw_Alerts!$C:$C),"")</f>
        <v/>
      </c>
      <c r="N25" s="4">
        <f>IFERROR(XLOOKUP(A25,Raw_Alerts!$B:$B,Raw_Alerts!$D:$D),"")</f>
        <v/>
      </c>
      <c r="O25" s="4">
        <f>IFERROR(XLOOKUP(A25,Raw_Alerts!$B:$B,Raw_Alerts!$F:$F),"")</f>
        <v/>
      </c>
      <c r="P25" s="4">
        <f>IF(H25="Not Found","CRITICAL: No Risk Profile",IF(I25="Missing","WARN: Missing KYC",IF(I25="Expired","WARN: KYC Expired",IF(I25="Pending","INFO: KYC Pending","OK"))))</f>
        <v/>
      </c>
    </row>
    <row r="26">
      <c r="A26" s="2">
        <f>Raw_Transactions!A26</f>
        <v/>
      </c>
      <c r="B26" s="2">
        <f>Raw_Transactions!B26</f>
        <v/>
      </c>
      <c r="C26" s="2">
        <f>Raw_Transactions!C26</f>
        <v/>
      </c>
      <c r="D26" s="3">
        <f>Raw_Transactions!D26</f>
        <v/>
      </c>
      <c r="E26" s="2">
        <f>Raw_Transactions!E26</f>
        <v/>
      </c>
      <c r="F26" s="2">
        <f>Raw_Transactions!F26</f>
        <v/>
      </c>
      <c r="G26" s="2">
        <f>Raw_Transactions!G26</f>
        <v/>
      </c>
      <c r="H26" s="2">
        <f>XLOOKUP(B26,Raw_Risk_Profiles!$A:$A,Raw_Risk_Profiles!$B:$B,"Not Found")</f>
        <v/>
      </c>
      <c r="I26" s="2">
        <f>XLOOKUP(B26,Raw_Risk_Profiles!$A:$A,Raw_Risk_Profiles!$C:$C,"Missing")</f>
        <v/>
      </c>
      <c r="J26" s="2">
        <f>XLOOKUP(B26,Raw_Risk_Profiles!$A:$A,Raw_Risk_Profiles!$D:$D,"")</f>
        <v/>
      </c>
      <c r="K26" s="2">
        <f>IFERROR(INDEX(Raw_Risk_Profiles!$E:$E,MATCH(B26,Raw_Risk_Profiles!$A:$A,0)),"Unknown")</f>
        <v/>
      </c>
      <c r="L26" s="2">
        <f>IFERROR(XLOOKUP(A26,Raw_Alerts!$B:$B,Raw_Alerts!$A:$A),"No Alert")</f>
        <v/>
      </c>
      <c r="M26" s="2">
        <f>IFERROR(XLOOKUP(A26,Raw_Alerts!$B:$B,Raw_Alerts!$C:$C),"")</f>
        <v/>
      </c>
      <c r="N26" s="2">
        <f>IFERROR(XLOOKUP(A26,Raw_Alerts!$B:$B,Raw_Alerts!$D:$D),"")</f>
        <v/>
      </c>
      <c r="O26" s="2">
        <f>IFERROR(XLOOKUP(A26,Raw_Alerts!$B:$B,Raw_Alerts!$F:$F),"")</f>
        <v/>
      </c>
      <c r="P26" s="2">
        <f>IF(H26="Not Found","CRITICAL: No Risk Profile",IF(I26="Missing","WARN: Missing KYC",IF(I26="Expired","WARN: KYC Expired",IF(I26="Pending","INFO: KYC Pending","OK"))))</f>
        <v/>
      </c>
    </row>
    <row r="27">
      <c r="A27" s="4">
        <f>Raw_Transactions!A27</f>
        <v/>
      </c>
      <c r="B27" s="4">
        <f>Raw_Transactions!B27</f>
        <v/>
      </c>
      <c r="C27" s="4">
        <f>Raw_Transactions!C27</f>
        <v/>
      </c>
      <c r="D27" s="5">
        <f>Raw_Transactions!D27</f>
        <v/>
      </c>
      <c r="E27" s="4">
        <f>Raw_Transactions!E27</f>
        <v/>
      </c>
      <c r="F27" s="4">
        <f>Raw_Transactions!F27</f>
        <v/>
      </c>
      <c r="G27" s="4">
        <f>Raw_Transactions!G27</f>
        <v/>
      </c>
      <c r="H27" s="4">
        <f>XLOOKUP(B27,Raw_Risk_Profiles!$A:$A,Raw_Risk_Profiles!$B:$B,"Not Found")</f>
        <v/>
      </c>
      <c r="I27" s="4">
        <f>XLOOKUP(B27,Raw_Risk_Profiles!$A:$A,Raw_Risk_Profiles!$C:$C,"Missing")</f>
        <v/>
      </c>
      <c r="J27" s="4">
        <f>XLOOKUP(B27,Raw_Risk_Profiles!$A:$A,Raw_Risk_Profiles!$D:$D,"")</f>
        <v/>
      </c>
      <c r="K27" s="4">
        <f>IFERROR(INDEX(Raw_Risk_Profiles!$E:$E,MATCH(B27,Raw_Risk_Profiles!$A:$A,0)),"Unknown")</f>
        <v/>
      </c>
      <c r="L27" s="4">
        <f>IFERROR(XLOOKUP(A27,Raw_Alerts!$B:$B,Raw_Alerts!$A:$A),"No Alert")</f>
        <v/>
      </c>
      <c r="M27" s="4">
        <f>IFERROR(XLOOKUP(A27,Raw_Alerts!$B:$B,Raw_Alerts!$C:$C),"")</f>
        <v/>
      </c>
      <c r="N27" s="4">
        <f>IFERROR(XLOOKUP(A27,Raw_Alerts!$B:$B,Raw_Alerts!$D:$D),"")</f>
        <v/>
      </c>
      <c r="O27" s="4">
        <f>IFERROR(XLOOKUP(A27,Raw_Alerts!$B:$B,Raw_Alerts!$F:$F),"")</f>
        <v/>
      </c>
      <c r="P27" s="4">
        <f>IF(H27="Not Found","CRITICAL: No Risk Profile",IF(I27="Missing","WARN: Missing KYC",IF(I27="Expired","WARN: KYC Expired",IF(I27="Pending","INFO: KYC Pending","OK"))))</f>
        <v/>
      </c>
    </row>
    <row r="28">
      <c r="A28" s="2">
        <f>Raw_Transactions!A28</f>
        <v/>
      </c>
      <c r="B28" s="2">
        <f>Raw_Transactions!B28</f>
        <v/>
      </c>
      <c r="C28" s="2">
        <f>Raw_Transactions!C28</f>
        <v/>
      </c>
      <c r="D28" s="3">
        <f>Raw_Transactions!D28</f>
        <v/>
      </c>
      <c r="E28" s="2">
        <f>Raw_Transactions!E28</f>
        <v/>
      </c>
      <c r="F28" s="2">
        <f>Raw_Transactions!F28</f>
        <v/>
      </c>
      <c r="G28" s="2">
        <f>Raw_Transactions!G28</f>
        <v/>
      </c>
      <c r="H28" s="2">
        <f>XLOOKUP(B28,Raw_Risk_Profiles!$A:$A,Raw_Risk_Profiles!$B:$B,"Not Found")</f>
        <v/>
      </c>
      <c r="I28" s="2">
        <f>XLOOKUP(B28,Raw_Risk_Profiles!$A:$A,Raw_Risk_Profiles!$C:$C,"Missing")</f>
        <v/>
      </c>
      <c r="J28" s="2">
        <f>XLOOKUP(B28,Raw_Risk_Profiles!$A:$A,Raw_Risk_Profiles!$D:$D,"")</f>
        <v/>
      </c>
      <c r="K28" s="2">
        <f>IFERROR(INDEX(Raw_Risk_Profiles!$E:$E,MATCH(B28,Raw_Risk_Profiles!$A:$A,0)),"Unknown")</f>
        <v/>
      </c>
      <c r="L28" s="2">
        <f>IFERROR(XLOOKUP(A28,Raw_Alerts!$B:$B,Raw_Alerts!$A:$A),"No Alert")</f>
        <v/>
      </c>
      <c r="M28" s="2">
        <f>IFERROR(XLOOKUP(A28,Raw_Alerts!$B:$B,Raw_Alerts!$C:$C),"")</f>
        <v/>
      </c>
      <c r="N28" s="2">
        <f>IFERROR(XLOOKUP(A28,Raw_Alerts!$B:$B,Raw_Alerts!$D:$D),"")</f>
        <v/>
      </c>
      <c r="O28" s="2">
        <f>IFERROR(XLOOKUP(A28,Raw_Alerts!$B:$B,Raw_Alerts!$F:$F),"")</f>
        <v/>
      </c>
      <c r="P28" s="2">
        <f>IF(H28="Not Found","CRITICAL: No Risk Profile",IF(I28="Missing","WARN: Missing KYC",IF(I28="Expired","WARN: KYC Expired",IF(I28="Pending","INFO: KYC Pending","OK"))))</f>
        <v/>
      </c>
    </row>
    <row r="29">
      <c r="A29" s="4">
        <f>Raw_Transactions!A29</f>
        <v/>
      </c>
      <c r="B29" s="4">
        <f>Raw_Transactions!B29</f>
        <v/>
      </c>
      <c r="C29" s="4">
        <f>Raw_Transactions!C29</f>
        <v/>
      </c>
      <c r="D29" s="5">
        <f>Raw_Transactions!D29</f>
        <v/>
      </c>
      <c r="E29" s="4">
        <f>Raw_Transactions!E29</f>
        <v/>
      </c>
      <c r="F29" s="4">
        <f>Raw_Transactions!F29</f>
        <v/>
      </c>
      <c r="G29" s="4">
        <f>Raw_Transactions!G29</f>
        <v/>
      </c>
      <c r="H29" s="4">
        <f>XLOOKUP(B29,Raw_Risk_Profiles!$A:$A,Raw_Risk_Profiles!$B:$B,"Not Found")</f>
        <v/>
      </c>
      <c r="I29" s="4">
        <f>XLOOKUP(B29,Raw_Risk_Profiles!$A:$A,Raw_Risk_Profiles!$C:$C,"Missing")</f>
        <v/>
      </c>
      <c r="J29" s="4">
        <f>XLOOKUP(B29,Raw_Risk_Profiles!$A:$A,Raw_Risk_Profiles!$D:$D,"")</f>
        <v/>
      </c>
      <c r="K29" s="4">
        <f>IFERROR(INDEX(Raw_Risk_Profiles!$E:$E,MATCH(B29,Raw_Risk_Profiles!$A:$A,0)),"Unknown")</f>
        <v/>
      </c>
      <c r="L29" s="4">
        <f>IFERROR(XLOOKUP(A29,Raw_Alerts!$B:$B,Raw_Alerts!$A:$A),"No Alert")</f>
        <v/>
      </c>
      <c r="M29" s="4">
        <f>IFERROR(XLOOKUP(A29,Raw_Alerts!$B:$B,Raw_Alerts!$C:$C),"")</f>
        <v/>
      </c>
      <c r="N29" s="4">
        <f>IFERROR(XLOOKUP(A29,Raw_Alerts!$B:$B,Raw_Alerts!$D:$D),"")</f>
        <v/>
      </c>
      <c r="O29" s="4">
        <f>IFERROR(XLOOKUP(A29,Raw_Alerts!$B:$B,Raw_Alerts!$F:$F),"")</f>
        <v/>
      </c>
      <c r="P29" s="4">
        <f>IF(H29="Not Found","CRITICAL: No Risk Profile",IF(I29="Missing","WARN: Missing KYC",IF(I29="Expired","WARN: KYC Expired",IF(I29="Pending","INFO: KYC Pending","OK"))))</f>
        <v/>
      </c>
    </row>
    <row r="30">
      <c r="A30" s="2">
        <f>Raw_Transactions!A30</f>
        <v/>
      </c>
      <c r="B30" s="2">
        <f>Raw_Transactions!B30</f>
        <v/>
      </c>
      <c r="C30" s="2">
        <f>Raw_Transactions!C30</f>
        <v/>
      </c>
      <c r="D30" s="3">
        <f>Raw_Transactions!D30</f>
        <v/>
      </c>
      <c r="E30" s="2">
        <f>Raw_Transactions!E30</f>
        <v/>
      </c>
      <c r="F30" s="2">
        <f>Raw_Transactions!F30</f>
        <v/>
      </c>
      <c r="G30" s="2">
        <f>Raw_Transactions!G30</f>
        <v/>
      </c>
      <c r="H30" s="2">
        <f>XLOOKUP(B30,Raw_Risk_Profiles!$A:$A,Raw_Risk_Profiles!$B:$B,"Not Found")</f>
        <v/>
      </c>
      <c r="I30" s="2">
        <f>XLOOKUP(B30,Raw_Risk_Profiles!$A:$A,Raw_Risk_Profiles!$C:$C,"Missing")</f>
        <v/>
      </c>
      <c r="J30" s="2">
        <f>XLOOKUP(B30,Raw_Risk_Profiles!$A:$A,Raw_Risk_Profiles!$D:$D,"")</f>
        <v/>
      </c>
      <c r="K30" s="2">
        <f>IFERROR(INDEX(Raw_Risk_Profiles!$E:$E,MATCH(B30,Raw_Risk_Profiles!$A:$A,0)),"Unknown")</f>
        <v/>
      </c>
      <c r="L30" s="2">
        <f>IFERROR(XLOOKUP(A30,Raw_Alerts!$B:$B,Raw_Alerts!$A:$A),"No Alert")</f>
        <v/>
      </c>
      <c r="M30" s="2">
        <f>IFERROR(XLOOKUP(A30,Raw_Alerts!$B:$B,Raw_Alerts!$C:$C),"")</f>
        <v/>
      </c>
      <c r="N30" s="2">
        <f>IFERROR(XLOOKUP(A30,Raw_Alerts!$B:$B,Raw_Alerts!$D:$D),"")</f>
        <v/>
      </c>
      <c r="O30" s="2">
        <f>IFERROR(XLOOKUP(A30,Raw_Alerts!$B:$B,Raw_Alerts!$F:$F),"")</f>
        <v/>
      </c>
      <c r="P30" s="2">
        <f>IF(H30="Not Found","CRITICAL: No Risk Profile",IF(I30="Missing","WARN: Missing KYC",IF(I30="Expired","WARN: KYC Expired",IF(I30="Pending","INFO: KYC Pending","OK"))))</f>
        <v/>
      </c>
    </row>
    <row r="31">
      <c r="A31" s="4">
        <f>Raw_Transactions!A31</f>
        <v/>
      </c>
      <c r="B31" s="4">
        <f>Raw_Transactions!B31</f>
        <v/>
      </c>
      <c r="C31" s="4">
        <f>Raw_Transactions!C31</f>
        <v/>
      </c>
      <c r="D31" s="5">
        <f>Raw_Transactions!D31</f>
        <v/>
      </c>
      <c r="E31" s="4">
        <f>Raw_Transactions!E31</f>
        <v/>
      </c>
      <c r="F31" s="4">
        <f>Raw_Transactions!F31</f>
        <v/>
      </c>
      <c r="G31" s="4">
        <f>Raw_Transactions!G31</f>
        <v/>
      </c>
      <c r="H31" s="4">
        <f>XLOOKUP(B31,Raw_Risk_Profiles!$A:$A,Raw_Risk_Profiles!$B:$B,"Not Found")</f>
        <v/>
      </c>
      <c r="I31" s="4">
        <f>XLOOKUP(B31,Raw_Risk_Profiles!$A:$A,Raw_Risk_Profiles!$C:$C,"Missing")</f>
        <v/>
      </c>
      <c r="J31" s="4">
        <f>XLOOKUP(B31,Raw_Risk_Profiles!$A:$A,Raw_Risk_Profiles!$D:$D,"")</f>
        <v/>
      </c>
      <c r="K31" s="4">
        <f>IFERROR(INDEX(Raw_Risk_Profiles!$E:$E,MATCH(B31,Raw_Risk_Profiles!$A:$A,0)),"Unknown")</f>
        <v/>
      </c>
      <c r="L31" s="4">
        <f>IFERROR(XLOOKUP(A31,Raw_Alerts!$B:$B,Raw_Alerts!$A:$A),"No Alert")</f>
        <v/>
      </c>
      <c r="M31" s="4">
        <f>IFERROR(XLOOKUP(A31,Raw_Alerts!$B:$B,Raw_Alerts!$C:$C),"")</f>
        <v/>
      </c>
      <c r="N31" s="4">
        <f>IFERROR(XLOOKUP(A31,Raw_Alerts!$B:$B,Raw_Alerts!$D:$D),"")</f>
        <v/>
      </c>
      <c r="O31" s="4">
        <f>IFERROR(XLOOKUP(A31,Raw_Alerts!$B:$B,Raw_Alerts!$F:$F),"")</f>
        <v/>
      </c>
      <c r="P31" s="4">
        <f>IF(H31="Not Found","CRITICAL: No Risk Profile",IF(I31="Missing","WARN: Missing KYC",IF(I31="Expired","WARN: KYC Expired",IF(I31="Pending","INFO: KYC Pending","OK"))))</f>
        <v/>
      </c>
    </row>
    <row r="32">
      <c r="A32" s="2">
        <f>Raw_Transactions!A32</f>
        <v/>
      </c>
      <c r="B32" s="2">
        <f>Raw_Transactions!B32</f>
        <v/>
      </c>
      <c r="C32" s="2">
        <f>Raw_Transactions!C32</f>
        <v/>
      </c>
      <c r="D32" s="3">
        <f>Raw_Transactions!D32</f>
        <v/>
      </c>
      <c r="E32" s="2">
        <f>Raw_Transactions!E32</f>
        <v/>
      </c>
      <c r="F32" s="2">
        <f>Raw_Transactions!F32</f>
        <v/>
      </c>
      <c r="G32" s="2">
        <f>Raw_Transactions!G32</f>
        <v/>
      </c>
      <c r="H32" s="2">
        <f>XLOOKUP(B32,Raw_Risk_Profiles!$A:$A,Raw_Risk_Profiles!$B:$B,"Not Found")</f>
        <v/>
      </c>
      <c r="I32" s="2">
        <f>XLOOKUP(B32,Raw_Risk_Profiles!$A:$A,Raw_Risk_Profiles!$C:$C,"Missing")</f>
        <v/>
      </c>
      <c r="J32" s="2">
        <f>XLOOKUP(B32,Raw_Risk_Profiles!$A:$A,Raw_Risk_Profiles!$D:$D,"")</f>
        <v/>
      </c>
      <c r="K32" s="2">
        <f>IFERROR(INDEX(Raw_Risk_Profiles!$E:$E,MATCH(B32,Raw_Risk_Profiles!$A:$A,0)),"Unknown")</f>
        <v/>
      </c>
      <c r="L32" s="2">
        <f>IFERROR(XLOOKUP(A32,Raw_Alerts!$B:$B,Raw_Alerts!$A:$A),"No Alert")</f>
        <v/>
      </c>
      <c r="M32" s="2">
        <f>IFERROR(XLOOKUP(A32,Raw_Alerts!$B:$B,Raw_Alerts!$C:$C),"")</f>
        <v/>
      </c>
      <c r="N32" s="2">
        <f>IFERROR(XLOOKUP(A32,Raw_Alerts!$B:$B,Raw_Alerts!$D:$D),"")</f>
        <v/>
      </c>
      <c r="O32" s="2">
        <f>IFERROR(XLOOKUP(A32,Raw_Alerts!$B:$B,Raw_Alerts!$F:$F),"")</f>
        <v/>
      </c>
      <c r="P32" s="2">
        <f>IF(H32="Not Found","CRITICAL: No Risk Profile",IF(I32="Missing","WARN: Missing KYC",IF(I32="Expired","WARN: KYC Expired",IF(I32="Pending","INFO: KYC Pending","OK"))))</f>
        <v/>
      </c>
    </row>
    <row r="33">
      <c r="A33" s="4">
        <f>Raw_Transactions!A33</f>
        <v/>
      </c>
      <c r="B33" s="4">
        <f>Raw_Transactions!B33</f>
        <v/>
      </c>
      <c r="C33" s="4">
        <f>Raw_Transactions!C33</f>
        <v/>
      </c>
      <c r="D33" s="5">
        <f>Raw_Transactions!D33</f>
        <v/>
      </c>
      <c r="E33" s="4">
        <f>Raw_Transactions!E33</f>
        <v/>
      </c>
      <c r="F33" s="4">
        <f>Raw_Transactions!F33</f>
        <v/>
      </c>
      <c r="G33" s="4">
        <f>Raw_Transactions!G33</f>
        <v/>
      </c>
      <c r="H33" s="4">
        <f>XLOOKUP(B33,Raw_Risk_Profiles!$A:$A,Raw_Risk_Profiles!$B:$B,"Not Found")</f>
        <v/>
      </c>
      <c r="I33" s="4">
        <f>XLOOKUP(B33,Raw_Risk_Profiles!$A:$A,Raw_Risk_Profiles!$C:$C,"Missing")</f>
        <v/>
      </c>
      <c r="J33" s="4">
        <f>XLOOKUP(B33,Raw_Risk_Profiles!$A:$A,Raw_Risk_Profiles!$D:$D,"")</f>
        <v/>
      </c>
      <c r="K33" s="4">
        <f>IFERROR(INDEX(Raw_Risk_Profiles!$E:$E,MATCH(B33,Raw_Risk_Profiles!$A:$A,0)),"Unknown")</f>
        <v/>
      </c>
      <c r="L33" s="4">
        <f>IFERROR(XLOOKUP(A33,Raw_Alerts!$B:$B,Raw_Alerts!$A:$A),"No Alert")</f>
        <v/>
      </c>
      <c r="M33" s="4">
        <f>IFERROR(XLOOKUP(A33,Raw_Alerts!$B:$B,Raw_Alerts!$C:$C),"")</f>
        <v/>
      </c>
      <c r="N33" s="4">
        <f>IFERROR(XLOOKUP(A33,Raw_Alerts!$B:$B,Raw_Alerts!$D:$D),"")</f>
        <v/>
      </c>
      <c r="O33" s="4">
        <f>IFERROR(XLOOKUP(A33,Raw_Alerts!$B:$B,Raw_Alerts!$F:$F),"")</f>
        <v/>
      </c>
      <c r="P33" s="4">
        <f>IF(H33="Not Found","CRITICAL: No Risk Profile",IF(I33="Missing","WARN: Missing KYC",IF(I33="Expired","WARN: KYC Expired",IF(I33="Pending","INFO: KYC Pending","OK"))))</f>
        <v/>
      </c>
    </row>
    <row r="34">
      <c r="A34" s="2">
        <f>Raw_Transactions!A34</f>
        <v/>
      </c>
      <c r="B34" s="2">
        <f>Raw_Transactions!B34</f>
        <v/>
      </c>
      <c r="C34" s="2">
        <f>Raw_Transactions!C34</f>
        <v/>
      </c>
      <c r="D34" s="3">
        <f>Raw_Transactions!D34</f>
        <v/>
      </c>
      <c r="E34" s="2">
        <f>Raw_Transactions!E34</f>
        <v/>
      </c>
      <c r="F34" s="2">
        <f>Raw_Transactions!F34</f>
        <v/>
      </c>
      <c r="G34" s="2">
        <f>Raw_Transactions!G34</f>
        <v/>
      </c>
      <c r="H34" s="2">
        <f>XLOOKUP(B34,Raw_Risk_Profiles!$A:$A,Raw_Risk_Profiles!$B:$B,"Not Found")</f>
        <v/>
      </c>
      <c r="I34" s="2">
        <f>XLOOKUP(B34,Raw_Risk_Profiles!$A:$A,Raw_Risk_Profiles!$C:$C,"Missing")</f>
        <v/>
      </c>
      <c r="J34" s="2">
        <f>XLOOKUP(B34,Raw_Risk_Profiles!$A:$A,Raw_Risk_Profiles!$D:$D,"")</f>
        <v/>
      </c>
      <c r="K34" s="2">
        <f>IFERROR(INDEX(Raw_Risk_Profiles!$E:$E,MATCH(B34,Raw_Risk_Profiles!$A:$A,0)),"Unknown")</f>
        <v/>
      </c>
      <c r="L34" s="2">
        <f>IFERROR(XLOOKUP(A34,Raw_Alerts!$B:$B,Raw_Alerts!$A:$A),"No Alert")</f>
        <v/>
      </c>
      <c r="M34" s="2">
        <f>IFERROR(XLOOKUP(A34,Raw_Alerts!$B:$B,Raw_Alerts!$C:$C),"")</f>
        <v/>
      </c>
      <c r="N34" s="2">
        <f>IFERROR(XLOOKUP(A34,Raw_Alerts!$B:$B,Raw_Alerts!$D:$D),"")</f>
        <v/>
      </c>
      <c r="O34" s="2">
        <f>IFERROR(XLOOKUP(A34,Raw_Alerts!$B:$B,Raw_Alerts!$F:$F),"")</f>
        <v/>
      </c>
      <c r="P34" s="2">
        <f>IF(H34="Not Found","CRITICAL: No Risk Profile",IF(I34="Missing","WARN: Missing KYC",IF(I34="Expired","WARN: KYC Expired",IF(I34="Pending","INFO: KYC Pending","OK"))))</f>
        <v/>
      </c>
    </row>
    <row r="35">
      <c r="A35" s="4">
        <f>Raw_Transactions!A35</f>
        <v/>
      </c>
      <c r="B35" s="4">
        <f>Raw_Transactions!B35</f>
        <v/>
      </c>
      <c r="C35" s="4">
        <f>Raw_Transactions!C35</f>
        <v/>
      </c>
      <c r="D35" s="5">
        <f>Raw_Transactions!D35</f>
        <v/>
      </c>
      <c r="E35" s="4">
        <f>Raw_Transactions!E35</f>
        <v/>
      </c>
      <c r="F35" s="4">
        <f>Raw_Transactions!F35</f>
        <v/>
      </c>
      <c r="G35" s="4">
        <f>Raw_Transactions!G35</f>
        <v/>
      </c>
      <c r="H35" s="4">
        <f>XLOOKUP(B35,Raw_Risk_Profiles!$A:$A,Raw_Risk_Profiles!$B:$B,"Not Found")</f>
        <v/>
      </c>
      <c r="I35" s="4">
        <f>XLOOKUP(B35,Raw_Risk_Profiles!$A:$A,Raw_Risk_Profiles!$C:$C,"Missing")</f>
        <v/>
      </c>
      <c r="J35" s="4">
        <f>XLOOKUP(B35,Raw_Risk_Profiles!$A:$A,Raw_Risk_Profiles!$D:$D,"")</f>
        <v/>
      </c>
      <c r="K35" s="4">
        <f>IFERROR(INDEX(Raw_Risk_Profiles!$E:$E,MATCH(B35,Raw_Risk_Profiles!$A:$A,0)),"Unknown")</f>
        <v/>
      </c>
      <c r="L35" s="4">
        <f>IFERROR(XLOOKUP(A35,Raw_Alerts!$B:$B,Raw_Alerts!$A:$A),"No Alert")</f>
        <v/>
      </c>
      <c r="M35" s="4">
        <f>IFERROR(XLOOKUP(A35,Raw_Alerts!$B:$B,Raw_Alerts!$C:$C),"")</f>
        <v/>
      </c>
      <c r="N35" s="4">
        <f>IFERROR(XLOOKUP(A35,Raw_Alerts!$B:$B,Raw_Alerts!$D:$D),"")</f>
        <v/>
      </c>
      <c r="O35" s="4">
        <f>IFERROR(XLOOKUP(A35,Raw_Alerts!$B:$B,Raw_Alerts!$F:$F),"")</f>
        <v/>
      </c>
      <c r="P35" s="4">
        <f>IF(H35="Not Found","CRITICAL: No Risk Profile",IF(I35="Missing","WARN: Missing KYC",IF(I35="Expired","WARN: KYC Expired",IF(I35="Pending","INFO: KYC Pending","OK"))))</f>
        <v/>
      </c>
    </row>
    <row r="36">
      <c r="A36" s="2">
        <f>Raw_Transactions!A36</f>
        <v/>
      </c>
      <c r="B36" s="2">
        <f>Raw_Transactions!B36</f>
        <v/>
      </c>
      <c r="C36" s="2">
        <f>Raw_Transactions!C36</f>
        <v/>
      </c>
      <c r="D36" s="3">
        <f>Raw_Transactions!D36</f>
        <v/>
      </c>
      <c r="E36" s="2">
        <f>Raw_Transactions!E36</f>
        <v/>
      </c>
      <c r="F36" s="2">
        <f>Raw_Transactions!F36</f>
        <v/>
      </c>
      <c r="G36" s="2">
        <f>Raw_Transactions!G36</f>
        <v/>
      </c>
      <c r="H36" s="2">
        <f>XLOOKUP(B36,Raw_Risk_Profiles!$A:$A,Raw_Risk_Profiles!$B:$B,"Not Found")</f>
        <v/>
      </c>
      <c r="I36" s="2">
        <f>XLOOKUP(B36,Raw_Risk_Profiles!$A:$A,Raw_Risk_Profiles!$C:$C,"Missing")</f>
        <v/>
      </c>
      <c r="J36" s="2">
        <f>XLOOKUP(B36,Raw_Risk_Profiles!$A:$A,Raw_Risk_Profiles!$D:$D,"")</f>
        <v/>
      </c>
      <c r="K36" s="2">
        <f>IFERROR(INDEX(Raw_Risk_Profiles!$E:$E,MATCH(B36,Raw_Risk_Profiles!$A:$A,0)),"Unknown")</f>
        <v/>
      </c>
      <c r="L36" s="2">
        <f>IFERROR(XLOOKUP(A36,Raw_Alerts!$B:$B,Raw_Alerts!$A:$A),"No Alert")</f>
        <v/>
      </c>
      <c r="M36" s="2">
        <f>IFERROR(XLOOKUP(A36,Raw_Alerts!$B:$B,Raw_Alerts!$C:$C),"")</f>
        <v/>
      </c>
      <c r="N36" s="2">
        <f>IFERROR(XLOOKUP(A36,Raw_Alerts!$B:$B,Raw_Alerts!$D:$D),"")</f>
        <v/>
      </c>
      <c r="O36" s="2">
        <f>IFERROR(XLOOKUP(A36,Raw_Alerts!$B:$B,Raw_Alerts!$F:$F),"")</f>
        <v/>
      </c>
      <c r="P36" s="2">
        <f>IF(H36="Not Found","CRITICAL: No Risk Profile",IF(I36="Missing","WARN: Missing KYC",IF(I36="Expired","WARN: KYC Expired",IF(I36="Pending","INFO: KYC Pending","OK"))))</f>
        <v/>
      </c>
    </row>
    <row r="37">
      <c r="A37" s="4">
        <f>Raw_Transactions!A37</f>
        <v/>
      </c>
      <c r="B37" s="4">
        <f>Raw_Transactions!B37</f>
        <v/>
      </c>
      <c r="C37" s="4">
        <f>Raw_Transactions!C37</f>
        <v/>
      </c>
      <c r="D37" s="5">
        <f>Raw_Transactions!D37</f>
        <v/>
      </c>
      <c r="E37" s="4">
        <f>Raw_Transactions!E37</f>
        <v/>
      </c>
      <c r="F37" s="4">
        <f>Raw_Transactions!F37</f>
        <v/>
      </c>
      <c r="G37" s="4">
        <f>Raw_Transactions!G37</f>
        <v/>
      </c>
      <c r="H37" s="4">
        <f>XLOOKUP(B37,Raw_Risk_Profiles!$A:$A,Raw_Risk_Profiles!$B:$B,"Not Found")</f>
        <v/>
      </c>
      <c r="I37" s="4">
        <f>XLOOKUP(B37,Raw_Risk_Profiles!$A:$A,Raw_Risk_Profiles!$C:$C,"Missing")</f>
        <v/>
      </c>
      <c r="J37" s="4">
        <f>XLOOKUP(B37,Raw_Risk_Profiles!$A:$A,Raw_Risk_Profiles!$D:$D,"")</f>
        <v/>
      </c>
      <c r="K37" s="4">
        <f>IFERROR(INDEX(Raw_Risk_Profiles!$E:$E,MATCH(B37,Raw_Risk_Profiles!$A:$A,0)),"Unknown")</f>
        <v/>
      </c>
      <c r="L37" s="4">
        <f>IFERROR(XLOOKUP(A37,Raw_Alerts!$B:$B,Raw_Alerts!$A:$A),"No Alert")</f>
        <v/>
      </c>
      <c r="M37" s="4">
        <f>IFERROR(XLOOKUP(A37,Raw_Alerts!$B:$B,Raw_Alerts!$C:$C),"")</f>
        <v/>
      </c>
      <c r="N37" s="4">
        <f>IFERROR(XLOOKUP(A37,Raw_Alerts!$B:$B,Raw_Alerts!$D:$D),"")</f>
        <v/>
      </c>
      <c r="O37" s="4">
        <f>IFERROR(XLOOKUP(A37,Raw_Alerts!$B:$B,Raw_Alerts!$F:$F),"")</f>
        <v/>
      </c>
      <c r="P37" s="4">
        <f>IF(H37="Not Found","CRITICAL: No Risk Profile",IF(I37="Missing","WARN: Missing KYC",IF(I37="Expired","WARN: KYC Expired",IF(I37="Pending","INFO: KYC Pending","OK"))))</f>
        <v/>
      </c>
    </row>
    <row r="38">
      <c r="A38" s="2">
        <f>Raw_Transactions!A38</f>
        <v/>
      </c>
      <c r="B38" s="2">
        <f>Raw_Transactions!B38</f>
        <v/>
      </c>
      <c r="C38" s="2">
        <f>Raw_Transactions!C38</f>
        <v/>
      </c>
      <c r="D38" s="3">
        <f>Raw_Transactions!D38</f>
        <v/>
      </c>
      <c r="E38" s="2">
        <f>Raw_Transactions!E38</f>
        <v/>
      </c>
      <c r="F38" s="2">
        <f>Raw_Transactions!F38</f>
        <v/>
      </c>
      <c r="G38" s="2">
        <f>Raw_Transactions!G38</f>
        <v/>
      </c>
      <c r="H38" s="2">
        <f>XLOOKUP(B38,Raw_Risk_Profiles!$A:$A,Raw_Risk_Profiles!$B:$B,"Not Found")</f>
        <v/>
      </c>
      <c r="I38" s="2">
        <f>XLOOKUP(B38,Raw_Risk_Profiles!$A:$A,Raw_Risk_Profiles!$C:$C,"Missing")</f>
        <v/>
      </c>
      <c r="J38" s="2">
        <f>XLOOKUP(B38,Raw_Risk_Profiles!$A:$A,Raw_Risk_Profiles!$D:$D,"")</f>
        <v/>
      </c>
      <c r="K38" s="2">
        <f>IFERROR(INDEX(Raw_Risk_Profiles!$E:$E,MATCH(B38,Raw_Risk_Profiles!$A:$A,0)),"Unknown")</f>
        <v/>
      </c>
      <c r="L38" s="2">
        <f>IFERROR(XLOOKUP(A38,Raw_Alerts!$B:$B,Raw_Alerts!$A:$A),"No Alert")</f>
        <v/>
      </c>
      <c r="M38" s="2">
        <f>IFERROR(XLOOKUP(A38,Raw_Alerts!$B:$B,Raw_Alerts!$C:$C),"")</f>
        <v/>
      </c>
      <c r="N38" s="2">
        <f>IFERROR(XLOOKUP(A38,Raw_Alerts!$B:$B,Raw_Alerts!$D:$D),"")</f>
        <v/>
      </c>
      <c r="O38" s="2">
        <f>IFERROR(XLOOKUP(A38,Raw_Alerts!$B:$B,Raw_Alerts!$F:$F),"")</f>
        <v/>
      </c>
      <c r="P38" s="2">
        <f>IF(H38="Not Found","CRITICAL: No Risk Profile",IF(I38="Missing","WARN: Missing KYC",IF(I38="Expired","WARN: KYC Expired",IF(I38="Pending","INFO: KYC Pending","OK"))))</f>
        <v/>
      </c>
    </row>
    <row r="39">
      <c r="A39" s="4">
        <f>Raw_Transactions!A39</f>
        <v/>
      </c>
      <c r="B39" s="4">
        <f>Raw_Transactions!B39</f>
        <v/>
      </c>
      <c r="C39" s="4">
        <f>Raw_Transactions!C39</f>
        <v/>
      </c>
      <c r="D39" s="5">
        <f>Raw_Transactions!D39</f>
        <v/>
      </c>
      <c r="E39" s="4">
        <f>Raw_Transactions!E39</f>
        <v/>
      </c>
      <c r="F39" s="4">
        <f>Raw_Transactions!F39</f>
        <v/>
      </c>
      <c r="G39" s="4">
        <f>Raw_Transactions!G39</f>
        <v/>
      </c>
      <c r="H39" s="4">
        <f>XLOOKUP(B39,Raw_Risk_Profiles!$A:$A,Raw_Risk_Profiles!$B:$B,"Not Found")</f>
        <v/>
      </c>
      <c r="I39" s="4">
        <f>XLOOKUP(B39,Raw_Risk_Profiles!$A:$A,Raw_Risk_Profiles!$C:$C,"Missing")</f>
        <v/>
      </c>
      <c r="J39" s="4">
        <f>XLOOKUP(B39,Raw_Risk_Profiles!$A:$A,Raw_Risk_Profiles!$D:$D,"")</f>
        <v/>
      </c>
      <c r="K39" s="4">
        <f>IFERROR(INDEX(Raw_Risk_Profiles!$E:$E,MATCH(B39,Raw_Risk_Profiles!$A:$A,0)),"Unknown")</f>
        <v/>
      </c>
      <c r="L39" s="4">
        <f>IFERROR(XLOOKUP(A39,Raw_Alerts!$B:$B,Raw_Alerts!$A:$A),"No Alert")</f>
        <v/>
      </c>
      <c r="M39" s="4">
        <f>IFERROR(XLOOKUP(A39,Raw_Alerts!$B:$B,Raw_Alerts!$C:$C),"")</f>
        <v/>
      </c>
      <c r="N39" s="4">
        <f>IFERROR(XLOOKUP(A39,Raw_Alerts!$B:$B,Raw_Alerts!$D:$D),"")</f>
        <v/>
      </c>
      <c r="O39" s="4">
        <f>IFERROR(XLOOKUP(A39,Raw_Alerts!$B:$B,Raw_Alerts!$F:$F),"")</f>
        <v/>
      </c>
      <c r="P39" s="4">
        <f>IF(H39="Not Found","CRITICAL: No Risk Profile",IF(I39="Missing","WARN: Missing KYC",IF(I39="Expired","WARN: KYC Expired",IF(I39="Pending","INFO: KYC Pending","OK"))))</f>
        <v/>
      </c>
    </row>
    <row r="40">
      <c r="A40" s="2">
        <f>Raw_Transactions!A40</f>
        <v/>
      </c>
      <c r="B40" s="2">
        <f>Raw_Transactions!B40</f>
        <v/>
      </c>
      <c r="C40" s="2">
        <f>Raw_Transactions!C40</f>
        <v/>
      </c>
      <c r="D40" s="3">
        <f>Raw_Transactions!D40</f>
        <v/>
      </c>
      <c r="E40" s="2">
        <f>Raw_Transactions!E40</f>
        <v/>
      </c>
      <c r="F40" s="2">
        <f>Raw_Transactions!F40</f>
        <v/>
      </c>
      <c r="G40" s="2">
        <f>Raw_Transactions!G40</f>
        <v/>
      </c>
      <c r="H40" s="2">
        <f>XLOOKUP(B40,Raw_Risk_Profiles!$A:$A,Raw_Risk_Profiles!$B:$B,"Not Found")</f>
        <v/>
      </c>
      <c r="I40" s="2">
        <f>XLOOKUP(B40,Raw_Risk_Profiles!$A:$A,Raw_Risk_Profiles!$C:$C,"Missing")</f>
        <v/>
      </c>
      <c r="J40" s="2">
        <f>XLOOKUP(B40,Raw_Risk_Profiles!$A:$A,Raw_Risk_Profiles!$D:$D,"")</f>
        <v/>
      </c>
      <c r="K40" s="2">
        <f>IFERROR(INDEX(Raw_Risk_Profiles!$E:$E,MATCH(B40,Raw_Risk_Profiles!$A:$A,0)),"Unknown")</f>
        <v/>
      </c>
      <c r="L40" s="2">
        <f>IFERROR(XLOOKUP(A40,Raw_Alerts!$B:$B,Raw_Alerts!$A:$A),"No Alert")</f>
        <v/>
      </c>
      <c r="M40" s="2">
        <f>IFERROR(XLOOKUP(A40,Raw_Alerts!$B:$B,Raw_Alerts!$C:$C),"")</f>
        <v/>
      </c>
      <c r="N40" s="2">
        <f>IFERROR(XLOOKUP(A40,Raw_Alerts!$B:$B,Raw_Alerts!$D:$D),"")</f>
        <v/>
      </c>
      <c r="O40" s="2">
        <f>IFERROR(XLOOKUP(A40,Raw_Alerts!$B:$B,Raw_Alerts!$F:$F),"")</f>
        <v/>
      </c>
      <c r="P40" s="2">
        <f>IF(H40="Not Found","CRITICAL: No Risk Profile",IF(I40="Missing","WARN: Missing KYC",IF(I40="Expired","WARN: KYC Expired",IF(I40="Pending","INFO: KYC Pending","OK"))))</f>
        <v/>
      </c>
    </row>
    <row r="41">
      <c r="A41" s="4">
        <f>Raw_Transactions!A41</f>
        <v/>
      </c>
      <c r="B41" s="4">
        <f>Raw_Transactions!B41</f>
        <v/>
      </c>
      <c r="C41" s="4">
        <f>Raw_Transactions!C41</f>
        <v/>
      </c>
      <c r="D41" s="5">
        <f>Raw_Transactions!D41</f>
        <v/>
      </c>
      <c r="E41" s="4">
        <f>Raw_Transactions!E41</f>
        <v/>
      </c>
      <c r="F41" s="4">
        <f>Raw_Transactions!F41</f>
        <v/>
      </c>
      <c r="G41" s="4">
        <f>Raw_Transactions!G41</f>
        <v/>
      </c>
      <c r="H41" s="4">
        <f>XLOOKUP(B41,Raw_Risk_Profiles!$A:$A,Raw_Risk_Profiles!$B:$B,"Not Found")</f>
        <v/>
      </c>
      <c r="I41" s="4">
        <f>XLOOKUP(B41,Raw_Risk_Profiles!$A:$A,Raw_Risk_Profiles!$C:$C,"Missing")</f>
        <v/>
      </c>
      <c r="J41" s="4">
        <f>XLOOKUP(B41,Raw_Risk_Profiles!$A:$A,Raw_Risk_Profiles!$D:$D,"")</f>
        <v/>
      </c>
      <c r="K41" s="4">
        <f>IFERROR(INDEX(Raw_Risk_Profiles!$E:$E,MATCH(B41,Raw_Risk_Profiles!$A:$A,0)),"Unknown")</f>
        <v/>
      </c>
      <c r="L41" s="4">
        <f>IFERROR(XLOOKUP(A41,Raw_Alerts!$B:$B,Raw_Alerts!$A:$A),"No Alert")</f>
        <v/>
      </c>
      <c r="M41" s="4">
        <f>IFERROR(XLOOKUP(A41,Raw_Alerts!$B:$B,Raw_Alerts!$C:$C),"")</f>
        <v/>
      </c>
      <c r="N41" s="4">
        <f>IFERROR(XLOOKUP(A41,Raw_Alerts!$B:$B,Raw_Alerts!$D:$D),"")</f>
        <v/>
      </c>
      <c r="O41" s="4">
        <f>IFERROR(XLOOKUP(A41,Raw_Alerts!$B:$B,Raw_Alerts!$F:$F),"")</f>
        <v/>
      </c>
      <c r="P41" s="4">
        <f>IF(H41="Not Found","CRITICAL: No Risk Profile",IF(I41="Missing","WARN: Missing KYC",IF(I41="Expired","WARN: KYC Expired",IF(I41="Pending","INFO: KYC Pending","OK"))))</f>
        <v/>
      </c>
    </row>
    <row r="42">
      <c r="A42" s="2">
        <f>Raw_Transactions!A42</f>
        <v/>
      </c>
      <c r="B42" s="2">
        <f>Raw_Transactions!B42</f>
        <v/>
      </c>
      <c r="C42" s="2">
        <f>Raw_Transactions!C42</f>
        <v/>
      </c>
      <c r="D42" s="3">
        <f>Raw_Transactions!D42</f>
        <v/>
      </c>
      <c r="E42" s="2">
        <f>Raw_Transactions!E42</f>
        <v/>
      </c>
      <c r="F42" s="2">
        <f>Raw_Transactions!F42</f>
        <v/>
      </c>
      <c r="G42" s="2">
        <f>Raw_Transactions!G42</f>
        <v/>
      </c>
      <c r="H42" s="2">
        <f>XLOOKUP(B42,Raw_Risk_Profiles!$A:$A,Raw_Risk_Profiles!$B:$B,"Not Found")</f>
        <v/>
      </c>
      <c r="I42" s="2">
        <f>XLOOKUP(B42,Raw_Risk_Profiles!$A:$A,Raw_Risk_Profiles!$C:$C,"Missing")</f>
        <v/>
      </c>
      <c r="J42" s="2">
        <f>XLOOKUP(B42,Raw_Risk_Profiles!$A:$A,Raw_Risk_Profiles!$D:$D,"")</f>
        <v/>
      </c>
      <c r="K42" s="2">
        <f>IFERROR(INDEX(Raw_Risk_Profiles!$E:$E,MATCH(B42,Raw_Risk_Profiles!$A:$A,0)),"Unknown")</f>
        <v/>
      </c>
      <c r="L42" s="2">
        <f>IFERROR(XLOOKUP(A42,Raw_Alerts!$B:$B,Raw_Alerts!$A:$A),"No Alert")</f>
        <v/>
      </c>
      <c r="M42" s="2">
        <f>IFERROR(XLOOKUP(A42,Raw_Alerts!$B:$B,Raw_Alerts!$C:$C),"")</f>
        <v/>
      </c>
      <c r="N42" s="2">
        <f>IFERROR(XLOOKUP(A42,Raw_Alerts!$B:$B,Raw_Alerts!$D:$D),"")</f>
        <v/>
      </c>
      <c r="O42" s="2">
        <f>IFERROR(XLOOKUP(A42,Raw_Alerts!$B:$B,Raw_Alerts!$F:$F),"")</f>
        <v/>
      </c>
      <c r="P42" s="2">
        <f>IF(H42="Not Found","CRITICAL: No Risk Profile",IF(I42="Missing","WARN: Missing KYC",IF(I42="Expired","WARN: KYC Expired",IF(I42="Pending","INFO: KYC Pending","OK"))))</f>
        <v/>
      </c>
    </row>
    <row r="43">
      <c r="A43" s="4">
        <f>Raw_Transactions!A43</f>
        <v/>
      </c>
      <c r="B43" s="4">
        <f>Raw_Transactions!B43</f>
        <v/>
      </c>
      <c r="C43" s="4">
        <f>Raw_Transactions!C43</f>
        <v/>
      </c>
      <c r="D43" s="5">
        <f>Raw_Transactions!D43</f>
        <v/>
      </c>
      <c r="E43" s="4">
        <f>Raw_Transactions!E43</f>
        <v/>
      </c>
      <c r="F43" s="4">
        <f>Raw_Transactions!F43</f>
        <v/>
      </c>
      <c r="G43" s="4">
        <f>Raw_Transactions!G43</f>
        <v/>
      </c>
      <c r="H43" s="4">
        <f>XLOOKUP(B43,Raw_Risk_Profiles!$A:$A,Raw_Risk_Profiles!$B:$B,"Not Found")</f>
        <v/>
      </c>
      <c r="I43" s="4">
        <f>XLOOKUP(B43,Raw_Risk_Profiles!$A:$A,Raw_Risk_Profiles!$C:$C,"Missing")</f>
        <v/>
      </c>
      <c r="J43" s="4">
        <f>XLOOKUP(B43,Raw_Risk_Profiles!$A:$A,Raw_Risk_Profiles!$D:$D,"")</f>
        <v/>
      </c>
      <c r="K43" s="4">
        <f>IFERROR(INDEX(Raw_Risk_Profiles!$E:$E,MATCH(B43,Raw_Risk_Profiles!$A:$A,0)),"Unknown")</f>
        <v/>
      </c>
      <c r="L43" s="4">
        <f>IFERROR(XLOOKUP(A43,Raw_Alerts!$B:$B,Raw_Alerts!$A:$A),"No Alert")</f>
        <v/>
      </c>
      <c r="M43" s="4">
        <f>IFERROR(XLOOKUP(A43,Raw_Alerts!$B:$B,Raw_Alerts!$C:$C),"")</f>
        <v/>
      </c>
      <c r="N43" s="4">
        <f>IFERROR(XLOOKUP(A43,Raw_Alerts!$B:$B,Raw_Alerts!$D:$D),"")</f>
        <v/>
      </c>
      <c r="O43" s="4">
        <f>IFERROR(XLOOKUP(A43,Raw_Alerts!$B:$B,Raw_Alerts!$F:$F),"")</f>
        <v/>
      </c>
      <c r="P43" s="4">
        <f>IF(H43="Not Found","CRITICAL: No Risk Profile",IF(I43="Missing","WARN: Missing KYC",IF(I43="Expired","WARN: KYC Expired",IF(I43="Pending","INFO: KYC Pending","OK"))))</f>
        <v/>
      </c>
    </row>
    <row r="44">
      <c r="A44" s="2">
        <f>Raw_Transactions!A44</f>
        <v/>
      </c>
      <c r="B44" s="2">
        <f>Raw_Transactions!B44</f>
        <v/>
      </c>
      <c r="C44" s="2">
        <f>Raw_Transactions!C44</f>
        <v/>
      </c>
      <c r="D44" s="3">
        <f>Raw_Transactions!D44</f>
        <v/>
      </c>
      <c r="E44" s="2">
        <f>Raw_Transactions!E44</f>
        <v/>
      </c>
      <c r="F44" s="2">
        <f>Raw_Transactions!F44</f>
        <v/>
      </c>
      <c r="G44" s="2">
        <f>Raw_Transactions!G44</f>
        <v/>
      </c>
      <c r="H44" s="2">
        <f>XLOOKUP(B44,Raw_Risk_Profiles!$A:$A,Raw_Risk_Profiles!$B:$B,"Not Found")</f>
        <v/>
      </c>
      <c r="I44" s="2">
        <f>XLOOKUP(B44,Raw_Risk_Profiles!$A:$A,Raw_Risk_Profiles!$C:$C,"Missing")</f>
        <v/>
      </c>
      <c r="J44" s="2">
        <f>XLOOKUP(B44,Raw_Risk_Profiles!$A:$A,Raw_Risk_Profiles!$D:$D,"")</f>
        <v/>
      </c>
      <c r="K44" s="2">
        <f>IFERROR(INDEX(Raw_Risk_Profiles!$E:$E,MATCH(B44,Raw_Risk_Profiles!$A:$A,0)),"Unknown")</f>
        <v/>
      </c>
      <c r="L44" s="2">
        <f>IFERROR(XLOOKUP(A44,Raw_Alerts!$B:$B,Raw_Alerts!$A:$A),"No Alert")</f>
        <v/>
      </c>
      <c r="M44" s="2">
        <f>IFERROR(XLOOKUP(A44,Raw_Alerts!$B:$B,Raw_Alerts!$C:$C),"")</f>
        <v/>
      </c>
      <c r="N44" s="2">
        <f>IFERROR(XLOOKUP(A44,Raw_Alerts!$B:$B,Raw_Alerts!$D:$D),"")</f>
        <v/>
      </c>
      <c r="O44" s="2">
        <f>IFERROR(XLOOKUP(A44,Raw_Alerts!$B:$B,Raw_Alerts!$F:$F),"")</f>
        <v/>
      </c>
      <c r="P44" s="2">
        <f>IF(H44="Not Found","CRITICAL: No Risk Profile",IF(I44="Missing","WARN: Missing KYC",IF(I44="Expired","WARN: KYC Expired",IF(I44="Pending","INFO: KYC Pending","OK"))))</f>
        <v/>
      </c>
    </row>
    <row r="45">
      <c r="A45" s="4">
        <f>Raw_Transactions!A45</f>
        <v/>
      </c>
      <c r="B45" s="4">
        <f>Raw_Transactions!B45</f>
        <v/>
      </c>
      <c r="C45" s="4">
        <f>Raw_Transactions!C45</f>
        <v/>
      </c>
      <c r="D45" s="5">
        <f>Raw_Transactions!D45</f>
        <v/>
      </c>
      <c r="E45" s="4">
        <f>Raw_Transactions!E45</f>
        <v/>
      </c>
      <c r="F45" s="4">
        <f>Raw_Transactions!F45</f>
        <v/>
      </c>
      <c r="G45" s="4">
        <f>Raw_Transactions!G45</f>
        <v/>
      </c>
      <c r="H45" s="4">
        <f>XLOOKUP(B45,Raw_Risk_Profiles!$A:$A,Raw_Risk_Profiles!$B:$B,"Not Found")</f>
        <v/>
      </c>
      <c r="I45" s="4">
        <f>XLOOKUP(B45,Raw_Risk_Profiles!$A:$A,Raw_Risk_Profiles!$C:$C,"Missing")</f>
        <v/>
      </c>
      <c r="J45" s="4">
        <f>XLOOKUP(B45,Raw_Risk_Profiles!$A:$A,Raw_Risk_Profiles!$D:$D,"")</f>
        <v/>
      </c>
      <c r="K45" s="4">
        <f>IFERROR(INDEX(Raw_Risk_Profiles!$E:$E,MATCH(B45,Raw_Risk_Profiles!$A:$A,0)),"Unknown")</f>
        <v/>
      </c>
      <c r="L45" s="4">
        <f>IFERROR(XLOOKUP(A45,Raw_Alerts!$B:$B,Raw_Alerts!$A:$A),"No Alert")</f>
        <v/>
      </c>
      <c r="M45" s="4">
        <f>IFERROR(XLOOKUP(A45,Raw_Alerts!$B:$B,Raw_Alerts!$C:$C),"")</f>
        <v/>
      </c>
      <c r="N45" s="4">
        <f>IFERROR(XLOOKUP(A45,Raw_Alerts!$B:$B,Raw_Alerts!$D:$D),"")</f>
        <v/>
      </c>
      <c r="O45" s="4">
        <f>IFERROR(XLOOKUP(A45,Raw_Alerts!$B:$B,Raw_Alerts!$F:$F),"")</f>
        <v/>
      </c>
      <c r="P45" s="4">
        <f>IF(H45="Not Found","CRITICAL: No Risk Profile",IF(I45="Missing","WARN: Missing KYC",IF(I45="Expired","WARN: KYC Expired",IF(I45="Pending","INFO: KYC Pending","OK"))))</f>
        <v/>
      </c>
    </row>
    <row r="46">
      <c r="A46" s="2">
        <f>Raw_Transactions!A46</f>
        <v/>
      </c>
      <c r="B46" s="2">
        <f>Raw_Transactions!B46</f>
        <v/>
      </c>
      <c r="C46" s="2">
        <f>Raw_Transactions!C46</f>
        <v/>
      </c>
      <c r="D46" s="3">
        <f>Raw_Transactions!D46</f>
        <v/>
      </c>
      <c r="E46" s="2">
        <f>Raw_Transactions!E46</f>
        <v/>
      </c>
      <c r="F46" s="2">
        <f>Raw_Transactions!F46</f>
        <v/>
      </c>
      <c r="G46" s="2">
        <f>Raw_Transactions!G46</f>
        <v/>
      </c>
      <c r="H46" s="2">
        <f>XLOOKUP(B46,Raw_Risk_Profiles!$A:$A,Raw_Risk_Profiles!$B:$B,"Not Found")</f>
        <v/>
      </c>
      <c r="I46" s="2">
        <f>XLOOKUP(B46,Raw_Risk_Profiles!$A:$A,Raw_Risk_Profiles!$C:$C,"Missing")</f>
        <v/>
      </c>
      <c r="J46" s="2">
        <f>XLOOKUP(B46,Raw_Risk_Profiles!$A:$A,Raw_Risk_Profiles!$D:$D,"")</f>
        <v/>
      </c>
      <c r="K46" s="2">
        <f>IFERROR(INDEX(Raw_Risk_Profiles!$E:$E,MATCH(B46,Raw_Risk_Profiles!$A:$A,0)),"Unknown")</f>
        <v/>
      </c>
      <c r="L46" s="2">
        <f>IFERROR(XLOOKUP(A46,Raw_Alerts!$B:$B,Raw_Alerts!$A:$A),"No Alert")</f>
        <v/>
      </c>
      <c r="M46" s="2">
        <f>IFERROR(XLOOKUP(A46,Raw_Alerts!$B:$B,Raw_Alerts!$C:$C),"")</f>
        <v/>
      </c>
      <c r="N46" s="2">
        <f>IFERROR(XLOOKUP(A46,Raw_Alerts!$B:$B,Raw_Alerts!$D:$D),"")</f>
        <v/>
      </c>
      <c r="O46" s="2">
        <f>IFERROR(XLOOKUP(A46,Raw_Alerts!$B:$B,Raw_Alerts!$F:$F),"")</f>
        <v/>
      </c>
      <c r="P46" s="2">
        <f>IF(H46="Not Found","CRITICAL: No Risk Profile",IF(I46="Missing","WARN: Missing KYC",IF(I46="Expired","WARN: KYC Expired",IF(I46="Pending","INFO: KYC Pending","OK"))))</f>
        <v/>
      </c>
    </row>
    <row r="47">
      <c r="A47" s="4">
        <f>Raw_Transactions!A47</f>
        <v/>
      </c>
      <c r="B47" s="4">
        <f>Raw_Transactions!B47</f>
        <v/>
      </c>
      <c r="C47" s="4">
        <f>Raw_Transactions!C47</f>
        <v/>
      </c>
      <c r="D47" s="5">
        <f>Raw_Transactions!D47</f>
        <v/>
      </c>
      <c r="E47" s="4">
        <f>Raw_Transactions!E47</f>
        <v/>
      </c>
      <c r="F47" s="4">
        <f>Raw_Transactions!F47</f>
        <v/>
      </c>
      <c r="G47" s="4">
        <f>Raw_Transactions!G47</f>
        <v/>
      </c>
      <c r="H47" s="4">
        <f>XLOOKUP(B47,Raw_Risk_Profiles!$A:$A,Raw_Risk_Profiles!$B:$B,"Not Found")</f>
        <v/>
      </c>
      <c r="I47" s="4">
        <f>XLOOKUP(B47,Raw_Risk_Profiles!$A:$A,Raw_Risk_Profiles!$C:$C,"Missing")</f>
        <v/>
      </c>
      <c r="J47" s="4">
        <f>XLOOKUP(B47,Raw_Risk_Profiles!$A:$A,Raw_Risk_Profiles!$D:$D,"")</f>
        <v/>
      </c>
      <c r="K47" s="4">
        <f>IFERROR(INDEX(Raw_Risk_Profiles!$E:$E,MATCH(B47,Raw_Risk_Profiles!$A:$A,0)),"Unknown")</f>
        <v/>
      </c>
      <c r="L47" s="4">
        <f>IFERROR(XLOOKUP(A47,Raw_Alerts!$B:$B,Raw_Alerts!$A:$A),"No Alert")</f>
        <v/>
      </c>
      <c r="M47" s="4">
        <f>IFERROR(XLOOKUP(A47,Raw_Alerts!$B:$B,Raw_Alerts!$C:$C),"")</f>
        <v/>
      </c>
      <c r="N47" s="4">
        <f>IFERROR(XLOOKUP(A47,Raw_Alerts!$B:$B,Raw_Alerts!$D:$D),"")</f>
        <v/>
      </c>
      <c r="O47" s="4">
        <f>IFERROR(XLOOKUP(A47,Raw_Alerts!$B:$B,Raw_Alerts!$F:$F),"")</f>
        <v/>
      </c>
      <c r="P47" s="4">
        <f>IF(H47="Not Found","CRITICAL: No Risk Profile",IF(I47="Missing","WARN: Missing KYC",IF(I47="Expired","WARN: KYC Expired",IF(I47="Pending","INFO: KYC Pending","OK"))))</f>
        <v/>
      </c>
    </row>
    <row r="48">
      <c r="A48" s="2">
        <f>Raw_Transactions!A48</f>
        <v/>
      </c>
      <c r="B48" s="2">
        <f>Raw_Transactions!B48</f>
        <v/>
      </c>
      <c r="C48" s="2">
        <f>Raw_Transactions!C48</f>
        <v/>
      </c>
      <c r="D48" s="3">
        <f>Raw_Transactions!D48</f>
        <v/>
      </c>
      <c r="E48" s="2">
        <f>Raw_Transactions!E48</f>
        <v/>
      </c>
      <c r="F48" s="2">
        <f>Raw_Transactions!F48</f>
        <v/>
      </c>
      <c r="G48" s="2">
        <f>Raw_Transactions!G48</f>
        <v/>
      </c>
      <c r="H48" s="2">
        <f>XLOOKUP(B48,Raw_Risk_Profiles!$A:$A,Raw_Risk_Profiles!$B:$B,"Not Found")</f>
        <v/>
      </c>
      <c r="I48" s="2">
        <f>XLOOKUP(B48,Raw_Risk_Profiles!$A:$A,Raw_Risk_Profiles!$C:$C,"Missing")</f>
        <v/>
      </c>
      <c r="J48" s="2">
        <f>XLOOKUP(B48,Raw_Risk_Profiles!$A:$A,Raw_Risk_Profiles!$D:$D,"")</f>
        <v/>
      </c>
      <c r="K48" s="2">
        <f>IFERROR(INDEX(Raw_Risk_Profiles!$E:$E,MATCH(B48,Raw_Risk_Profiles!$A:$A,0)),"Unknown")</f>
        <v/>
      </c>
      <c r="L48" s="2">
        <f>IFERROR(XLOOKUP(A48,Raw_Alerts!$B:$B,Raw_Alerts!$A:$A),"No Alert")</f>
        <v/>
      </c>
      <c r="M48" s="2">
        <f>IFERROR(XLOOKUP(A48,Raw_Alerts!$B:$B,Raw_Alerts!$C:$C),"")</f>
        <v/>
      </c>
      <c r="N48" s="2">
        <f>IFERROR(XLOOKUP(A48,Raw_Alerts!$B:$B,Raw_Alerts!$D:$D),"")</f>
        <v/>
      </c>
      <c r="O48" s="2">
        <f>IFERROR(XLOOKUP(A48,Raw_Alerts!$B:$B,Raw_Alerts!$F:$F),"")</f>
        <v/>
      </c>
      <c r="P48" s="2">
        <f>IF(H48="Not Found","CRITICAL: No Risk Profile",IF(I48="Missing","WARN: Missing KYC",IF(I48="Expired","WARN: KYC Expired",IF(I48="Pending","INFO: KYC Pending","OK"))))</f>
        <v/>
      </c>
    </row>
    <row r="49">
      <c r="A49" s="4">
        <f>Raw_Transactions!A49</f>
        <v/>
      </c>
      <c r="B49" s="4">
        <f>Raw_Transactions!B49</f>
        <v/>
      </c>
      <c r="C49" s="4">
        <f>Raw_Transactions!C49</f>
        <v/>
      </c>
      <c r="D49" s="5">
        <f>Raw_Transactions!D49</f>
        <v/>
      </c>
      <c r="E49" s="4">
        <f>Raw_Transactions!E49</f>
        <v/>
      </c>
      <c r="F49" s="4">
        <f>Raw_Transactions!F49</f>
        <v/>
      </c>
      <c r="G49" s="4">
        <f>Raw_Transactions!G49</f>
        <v/>
      </c>
      <c r="H49" s="4">
        <f>XLOOKUP(B49,Raw_Risk_Profiles!$A:$A,Raw_Risk_Profiles!$B:$B,"Not Found")</f>
        <v/>
      </c>
      <c r="I49" s="4">
        <f>XLOOKUP(B49,Raw_Risk_Profiles!$A:$A,Raw_Risk_Profiles!$C:$C,"Missing")</f>
        <v/>
      </c>
      <c r="J49" s="4">
        <f>XLOOKUP(B49,Raw_Risk_Profiles!$A:$A,Raw_Risk_Profiles!$D:$D,"")</f>
        <v/>
      </c>
      <c r="K49" s="4">
        <f>IFERROR(INDEX(Raw_Risk_Profiles!$E:$E,MATCH(B49,Raw_Risk_Profiles!$A:$A,0)),"Unknown")</f>
        <v/>
      </c>
      <c r="L49" s="4">
        <f>IFERROR(XLOOKUP(A49,Raw_Alerts!$B:$B,Raw_Alerts!$A:$A),"No Alert")</f>
        <v/>
      </c>
      <c r="M49" s="4">
        <f>IFERROR(XLOOKUP(A49,Raw_Alerts!$B:$B,Raw_Alerts!$C:$C),"")</f>
        <v/>
      </c>
      <c r="N49" s="4">
        <f>IFERROR(XLOOKUP(A49,Raw_Alerts!$B:$B,Raw_Alerts!$D:$D),"")</f>
        <v/>
      </c>
      <c r="O49" s="4">
        <f>IFERROR(XLOOKUP(A49,Raw_Alerts!$B:$B,Raw_Alerts!$F:$F),"")</f>
        <v/>
      </c>
      <c r="P49" s="4">
        <f>IF(H49="Not Found","CRITICAL: No Risk Profile",IF(I49="Missing","WARN: Missing KYC",IF(I49="Expired","WARN: KYC Expired",IF(I49="Pending","INFO: KYC Pending","OK"))))</f>
        <v/>
      </c>
    </row>
    <row r="50">
      <c r="A50" s="2">
        <f>Raw_Transactions!A50</f>
        <v/>
      </c>
      <c r="B50" s="2">
        <f>Raw_Transactions!B50</f>
        <v/>
      </c>
      <c r="C50" s="2">
        <f>Raw_Transactions!C50</f>
        <v/>
      </c>
      <c r="D50" s="3">
        <f>Raw_Transactions!D50</f>
        <v/>
      </c>
      <c r="E50" s="2">
        <f>Raw_Transactions!E50</f>
        <v/>
      </c>
      <c r="F50" s="2">
        <f>Raw_Transactions!F50</f>
        <v/>
      </c>
      <c r="G50" s="2">
        <f>Raw_Transactions!G50</f>
        <v/>
      </c>
      <c r="H50" s="2">
        <f>XLOOKUP(B50,Raw_Risk_Profiles!$A:$A,Raw_Risk_Profiles!$B:$B,"Not Found")</f>
        <v/>
      </c>
      <c r="I50" s="2">
        <f>XLOOKUP(B50,Raw_Risk_Profiles!$A:$A,Raw_Risk_Profiles!$C:$C,"Missing")</f>
        <v/>
      </c>
      <c r="J50" s="2">
        <f>XLOOKUP(B50,Raw_Risk_Profiles!$A:$A,Raw_Risk_Profiles!$D:$D,"")</f>
        <v/>
      </c>
      <c r="K50" s="2">
        <f>IFERROR(INDEX(Raw_Risk_Profiles!$E:$E,MATCH(B50,Raw_Risk_Profiles!$A:$A,0)),"Unknown")</f>
        <v/>
      </c>
      <c r="L50" s="2">
        <f>IFERROR(XLOOKUP(A50,Raw_Alerts!$B:$B,Raw_Alerts!$A:$A),"No Alert")</f>
        <v/>
      </c>
      <c r="M50" s="2">
        <f>IFERROR(XLOOKUP(A50,Raw_Alerts!$B:$B,Raw_Alerts!$C:$C),"")</f>
        <v/>
      </c>
      <c r="N50" s="2">
        <f>IFERROR(XLOOKUP(A50,Raw_Alerts!$B:$B,Raw_Alerts!$D:$D),"")</f>
        <v/>
      </c>
      <c r="O50" s="2">
        <f>IFERROR(XLOOKUP(A50,Raw_Alerts!$B:$B,Raw_Alerts!$F:$F),"")</f>
        <v/>
      </c>
      <c r="P50" s="2">
        <f>IF(H50="Not Found","CRITICAL: No Risk Profile",IF(I50="Missing","WARN: Missing KYC",IF(I50="Expired","WARN: KYC Expired",IF(I50="Pending","INFO: KYC Pending","OK"))))</f>
        <v/>
      </c>
    </row>
    <row r="51">
      <c r="A51" s="4">
        <f>Raw_Transactions!A51</f>
        <v/>
      </c>
      <c r="B51" s="4">
        <f>Raw_Transactions!B51</f>
        <v/>
      </c>
      <c r="C51" s="4">
        <f>Raw_Transactions!C51</f>
        <v/>
      </c>
      <c r="D51" s="5">
        <f>Raw_Transactions!D51</f>
        <v/>
      </c>
      <c r="E51" s="4">
        <f>Raw_Transactions!E51</f>
        <v/>
      </c>
      <c r="F51" s="4">
        <f>Raw_Transactions!F51</f>
        <v/>
      </c>
      <c r="G51" s="4">
        <f>Raw_Transactions!G51</f>
        <v/>
      </c>
      <c r="H51" s="4">
        <f>XLOOKUP(B51,Raw_Risk_Profiles!$A:$A,Raw_Risk_Profiles!$B:$B,"Not Found")</f>
        <v/>
      </c>
      <c r="I51" s="4">
        <f>XLOOKUP(B51,Raw_Risk_Profiles!$A:$A,Raw_Risk_Profiles!$C:$C,"Missing")</f>
        <v/>
      </c>
      <c r="J51" s="4">
        <f>XLOOKUP(B51,Raw_Risk_Profiles!$A:$A,Raw_Risk_Profiles!$D:$D,"")</f>
        <v/>
      </c>
      <c r="K51" s="4">
        <f>IFERROR(INDEX(Raw_Risk_Profiles!$E:$E,MATCH(B51,Raw_Risk_Profiles!$A:$A,0)),"Unknown")</f>
        <v/>
      </c>
      <c r="L51" s="4">
        <f>IFERROR(XLOOKUP(A51,Raw_Alerts!$B:$B,Raw_Alerts!$A:$A),"No Alert")</f>
        <v/>
      </c>
      <c r="M51" s="4">
        <f>IFERROR(XLOOKUP(A51,Raw_Alerts!$B:$B,Raw_Alerts!$C:$C),"")</f>
        <v/>
      </c>
      <c r="N51" s="4">
        <f>IFERROR(XLOOKUP(A51,Raw_Alerts!$B:$B,Raw_Alerts!$D:$D),"")</f>
        <v/>
      </c>
      <c r="O51" s="4">
        <f>IFERROR(XLOOKUP(A51,Raw_Alerts!$B:$B,Raw_Alerts!$F:$F),"")</f>
        <v/>
      </c>
      <c r="P51" s="4">
        <f>IF(H51="Not Found","CRITICAL: No Risk Profile",IF(I51="Missing","WARN: Missing KYC",IF(I51="Expired","WARN: KYC Expired",IF(I51="Pending","INFO: KYC Pending","OK"))))</f>
        <v/>
      </c>
    </row>
    <row r="52">
      <c r="A52" s="2">
        <f>Raw_Transactions!A52</f>
        <v/>
      </c>
      <c r="B52" s="2">
        <f>Raw_Transactions!B52</f>
        <v/>
      </c>
      <c r="C52" s="2">
        <f>Raw_Transactions!C52</f>
        <v/>
      </c>
      <c r="D52" s="3">
        <f>Raw_Transactions!D52</f>
        <v/>
      </c>
      <c r="E52" s="2">
        <f>Raw_Transactions!E52</f>
        <v/>
      </c>
      <c r="F52" s="2">
        <f>Raw_Transactions!F52</f>
        <v/>
      </c>
      <c r="G52" s="2">
        <f>Raw_Transactions!G52</f>
        <v/>
      </c>
      <c r="H52" s="2">
        <f>XLOOKUP(B52,Raw_Risk_Profiles!$A:$A,Raw_Risk_Profiles!$B:$B,"Not Found")</f>
        <v/>
      </c>
      <c r="I52" s="2">
        <f>XLOOKUP(B52,Raw_Risk_Profiles!$A:$A,Raw_Risk_Profiles!$C:$C,"Missing")</f>
        <v/>
      </c>
      <c r="J52" s="2">
        <f>XLOOKUP(B52,Raw_Risk_Profiles!$A:$A,Raw_Risk_Profiles!$D:$D,"")</f>
        <v/>
      </c>
      <c r="K52" s="2">
        <f>IFERROR(INDEX(Raw_Risk_Profiles!$E:$E,MATCH(B52,Raw_Risk_Profiles!$A:$A,0)),"Unknown")</f>
        <v/>
      </c>
      <c r="L52" s="2">
        <f>IFERROR(XLOOKUP(A52,Raw_Alerts!$B:$B,Raw_Alerts!$A:$A),"No Alert")</f>
        <v/>
      </c>
      <c r="M52" s="2">
        <f>IFERROR(XLOOKUP(A52,Raw_Alerts!$B:$B,Raw_Alerts!$C:$C),"")</f>
        <v/>
      </c>
      <c r="N52" s="2">
        <f>IFERROR(XLOOKUP(A52,Raw_Alerts!$B:$B,Raw_Alerts!$D:$D),"")</f>
        <v/>
      </c>
      <c r="O52" s="2">
        <f>IFERROR(XLOOKUP(A52,Raw_Alerts!$B:$B,Raw_Alerts!$F:$F),"")</f>
        <v/>
      </c>
      <c r="P52" s="2">
        <f>IF(H52="Not Found","CRITICAL: No Risk Profile",IF(I52="Missing","WARN: Missing KYC",IF(I52="Expired","WARN: KYC Expired",IF(I52="Pending","INFO: KYC Pending","OK"))))</f>
        <v/>
      </c>
    </row>
    <row r="53">
      <c r="A53" s="4">
        <f>Raw_Transactions!A53</f>
        <v/>
      </c>
      <c r="B53" s="4">
        <f>Raw_Transactions!B53</f>
        <v/>
      </c>
      <c r="C53" s="4">
        <f>Raw_Transactions!C53</f>
        <v/>
      </c>
      <c r="D53" s="5">
        <f>Raw_Transactions!D53</f>
        <v/>
      </c>
      <c r="E53" s="4">
        <f>Raw_Transactions!E53</f>
        <v/>
      </c>
      <c r="F53" s="4">
        <f>Raw_Transactions!F53</f>
        <v/>
      </c>
      <c r="G53" s="4">
        <f>Raw_Transactions!G53</f>
        <v/>
      </c>
      <c r="H53" s="4">
        <f>XLOOKUP(B53,Raw_Risk_Profiles!$A:$A,Raw_Risk_Profiles!$B:$B,"Not Found")</f>
        <v/>
      </c>
      <c r="I53" s="4">
        <f>XLOOKUP(B53,Raw_Risk_Profiles!$A:$A,Raw_Risk_Profiles!$C:$C,"Missing")</f>
        <v/>
      </c>
      <c r="J53" s="4">
        <f>XLOOKUP(B53,Raw_Risk_Profiles!$A:$A,Raw_Risk_Profiles!$D:$D,"")</f>
        <v/>
      </c>
      <c r="K53" s="4">
        <f>IFERROR(INDEX(Raw_Risk_Profiles!$E:$E,MATCH(B53,Raw_Risk_Profiles!$A:$A,0)),"Unknown")</f>
        <v/>
      </c>
      <c r="L53" s="4">
        <f>IFERROR(XLOOKUP(A53,Raw_Alerts!$B:$B,Raw_Alerts!$A:$A),"No Alert")</f>
        <v/>
      </c>
      <c r="M53" s="4">
        <f>IFERROR(XLOOKUP(A53,Raw_Alerts!$B:$B,Raw_Alerts!$C:$C),"")</f>
        <v/>
      </c>
      <c r="N53" s="4">
        <f>IFERROR(XLOOKUP(A53,Raw_Alerts!$B:$B,Raw_Alerts!$D:$D),"")</f>
        <v/>
      </c>
      <c r="O53" s="4">
        <f>IFERROR(XLOOKUP(A53,Raw_Alerts!$B:$B,Raw_Alerts!$F:$F),"")</f>
        <v/>
      </c>
      <c r="P53" s="4">
        <f>IF(H53="Not Found","CRITICAL: No Risk Profile",IF(I53="Missing","WARN: Missing KYC",IF(I53="Expired","WARN: KYC Expired",IF(I53="Pending","INFO: KYC Pending","OK"))))</f>
        <v/>
      </c>
    </row>
    <row r="54">
      <c r="A54" s="2">
        <f>Raw_Transactions!A54</f>
        <v/>
      </c>
      <c r="B54" s="2">
        <f>Raw_Transactions!B54</f>
        <v/>
      </c>
      <c r="C54" s="2">
        <f>Raw_Transactions!C54</f>
        <v/>
      </c>
      <c r="D54" s="3">
        <f>Raw_Transactions!D54</f>
        <v/>
      </c>
      <c r="E54" s="2">
        <f>Raw_Transactions!E54</f>
        <v/>
      </c>
      <c r="F54" s="2">
        <f>Raw_Transactions!F54</f>
        <v/>
      </c>
      <c r="G54" s="2">
        <f>Raw_Transactions!G54</f>
        <v/>
      </c>
      <c r="H54" s="2">
        <f>XLOOKUP(B54,Raw_Risk_Profiles!$A:$A,Raw_Risk_Profiles!$B:$B,"Not Found")</f>
        <v/>
      </c>
      <c r="I54" s="2">
        <f>XLOOKUP(B54,Raw_Risk_Profiles!$A:$A,Raw_Risk_Profiles!$C:$C,"Missing")</f>
        <v/>
      </c>
      <c r="J54" s="2">
        <f>XLOOKUP(B54,Raw_Risk_Profiles!$A:$A,Raw_Risk_Profiles!$D:$D,"")</f>
        <v/>
      </c>
      <c r="K54" s="2">
        <f>IFERROR(INDEX(Raw_Risk_Profiles!$E:$E,MATCH(B54,Raw_Risk_Profiles!$A:$A,0)),"Unknown")</f>
        <v/>
      </c>
      <c r="L54" s="2">
        <f>IFERROR(XLOOKUP(A54,Raw_Alerts!$B:$B,Raw_Alerts!$A:$A),"No Alert")</f>
        <v/>
      </c>
      <c r="M54" s="2">
        <f>IFERROR(XLOOKUP(A54,Raw_Alerts!$B:$B,Raw_Alerts!$C:$C),"")</f>
        <v/>
      </c>
      <c r="N54" s="2">
        <f>IFERROR(XLOOKUP(A54,Raw_Alerts!$B:$B,Raw_Alerts!$D:$D),"")</f>
        <v/>
      </c>
      <c r="O54" s="2">
        <f>IFERROR(XLOOKUP(A54,Raw_Alerts!$B:$B,Raw_Alerts!$F:$F),"")</f>
        <v/>
      </c>
      <c r="P54" s="2">
        <f>IF(H54="Not Found","CRITICAL: No Risk Profile",IF(I54="Missing","WARN: Missing KYC",IF(I54="Expired","WARN: KYC Expired",IF(I54="Pending","INFO: KYC Pending","OK"))))</f>
        <v/>
      </c>
    </row>
    <row r="55">
      <c r="A55" s="4">
        <f>Raw_Transactions!A55</f>
        <v/>
      </c>
      <c r="B55" s="4">
        <f>Raw_Transactions!B55</f>
        <v/>
      </c>
      <c r="C55" s="4">
        <f>Raw_Transactions!C55</f>
        <v/>
      </c>
      <c r="D55" s="5">
        <f>Raw_Transactions!D55</f>
        <v/>
      </c>
      <c r="E55" s="4">
        <f>Raw_Transactions!E55</f>
        <v/>
      </c>
      <c r="F55" s="4">
        <f>Raw_Transactions!F55</f>
        <v/>
      </c>
      <c r="G55" s="4">
        <f>Raw_Transactions!G55</f>
        <v/>
      </c>
      <c r="H55" s="4">
        <f>XLOOKUP(B55,Raw_Risk_Profiles!$A:$A,Raw_Risk_Profiles!$B:$B,"Not Found")</f>
        <v/>
      </c>
      <c r="I55" s="4">
        <f>XLOOKUP(B55,Raw_Risk_Profiles!$A:$A,Raw_Risk_Profiles!$C:$C,"Missing")</f>
        <v/>
      </c>
      <c r="J55" s="4">
        <f>XLOOKUP(B55,Raw_Risk_Profiles!$A:$A,Raw_Risk_Profiles!$D:$D,"")</f>
        <v/>
      </c>
      <c r="K55" s="4">
        <f>IFERROR(INDEX(Raw_Risk_Profiles!$E:$E,MATCH(B55,Raw_Risk_Profiles!$A:$A,0)),"Unknown")</f>
        <v/>
      </c>
      <c r="L55" s="4">
        <f>IFERROR(XLOOKUP(A55,Raw_Alerts!$B:$B,Raw_Alerts!$A:$A),"No Alert")</f>
        <v/>
      </c>
      <c r="M55" s="4">
        <f>IFERROR(XLOOKUP(A55,Raw_Alerts!$B:$B,Raw_Alerts!$C:$C),"")</f>
        <v/>
      </c>
      <c r="N55" s="4">
        <f>IFERROR(XLOOKUP(A55,Raw_Alerts!$B:$B,Raw_Alerts!$D:$D),"")</f>
        <v/>
      </c>
      <c r="O55" s="4">
        <f>IFERROR(XLOOKUP(A55,Raw_Alerts!$B:$B,Raw_Alerts!$F:$F),"")</f>
        <v/>
      </c>
      <c r="P55" s="4">
        <f>IF(H55="Not Found","CRITICAL: No Risk Profile",IF(I55="Missing","WARN: Missing KYC",IF(I55="Expired","WARN: KYC Expired",IF(I55="Pending","INFO: KYC Pending","OK"))))</f>
        <v/>
      </c>
    </row>
    <row r="56">
      <c r="A56" s="2">
        <f>Raw_Transactions!A56</f>
        <v/>
      </c>
      <c r="B56" s="2">
        <f>Raw_Transactions!B56</f>
        <v/>
      </c>
      <c r="C56" s="2">
        <f>Raw_Transactions!C56</f>
        <v/>
      </c>
      <c r="D56" s="3">
        <f>Raw_Transactions!D56</f>
        <v/>
      </c>
      <c r="E56" s="2">
        <f>Raw_Transactions!E56</f>
        <v/>
      </c>
      <c r="F56" s="2">
        <f>Raw_Transactions!F56</f>
        <v/>
      </c>
      <c r="G56" s="2">
        <f>Raw_Transactions!G56</f>
        <v/>
      </c>
      <c r="H56" s="2">
        <f>XLOOKUP(B56,Raw_Risk_Profiles!$A:$A,Raw_Risk_Profiles!$B:$B,"Not Found")</f>
        <v/>
      </c>
      <c r="I56" s="2">
        <f>XLOOKUP(B56,Raw_Risk_Profiles!$A:$A,Raw_Risk_Profiles!$C:$C,"Missing")</f>
        <v/>
      </c>
      <c r="J56" s="2">
        <f>XLOOKUP(B56,Raw_Risk_Profiles!$A:$A,Raw_Risk_Profiles!$D:$D,"")</f>
        <v/>
      </c>
      <c r="K56" s="2">
        <f>IFERROR(INDEX(Raw_Risk_Profiles!$E:$E,MATCH(B56,Raw_Risk_Profiles!$A:$A,0)),"Unknown")</f>
        <v/>
      </c>
      <c r="L56" s="2">
        <f>IFERROR(XLOOKUP(A56,Raw_Alerts!$B:$B,Raw_Alerts!$A:$A),"No Alert")</f>
        <v/>
      </c>
      <c r="M56" s="2">
        <f>IFERROR(XLOOKUP(A56,Raw_Alerts!$B:$B,Raw_Alerts!$C:$C),"")</f>
        <v/>
      </c>
      <c r="N56" s="2">
        <f>IFERROR(XLOOKUP(A56,Raw_Alerts!$B:$B,Raw_Alerts!$D:$D),"")</f>
        <v/>
      </c>
      <c r="O56" s="2">
        <f>IFERROR(XLOOKUP(A56,Raw_Alerts!$B:$B,Raw_Alerts!$F:$F),"")</f>
        <v/>
      </c>
      <c r="P56" s="2">
        <f>IF(H56="Not Found","CRITICAL: No Risk Profile",IF(I56="Missing","WARN: Missing KYC",IF(I56="Expired","WARN: KYC Expired",IF(I56="Pending","INFO: KYC Pending","OK"))))</f>
        <v/>
      </c>
    </row>
    <row r="57">
      <c r="A57" s="4">
        <f>Raw_Transactions!A57</f>
        <v/>
      </c>
      <c r="B57" s="4">
        <f>Raw_Transactions!B57</f>
        <v/>
      </c>
      <c r="C57" s="4">
        <f>Raw_Transactions!C57</f>
        <v/>
      </c>
      <c r="D57" s="5">
        <f>Raw_Transactions!D57</f>
        <v/>
      </c>
      <c r="E57" s="4">
        <f>Raw_Transactions!E57</f>
        <v/>
      </c>
      <c r="F57" s="4">
        <f>Raw_Transactions!F57</f>
        <v/>
      </c>
      <c r="G57" s="4">
        <f>Raw_Transactions!G57</f>
        <v/>
      </c>
      <c r="H57" s="4">
        <f>XLOOKUP(B57,Raw_Risk_Profiles!$A:$A,Raw_Risk_Profiles!$B:$B,"Not Found")</f>
        <v/>
      </c>
      <c r="I57" s="4">
        <f>XLOOKUP(B57,Raw_Risk_Profiles!$A:$A,Raw_Risk_Profiles!$C:$C,"Missing")</f>
        <v/>
      </c>
      <c r="J57" s="4">
        <f>XLOOKUP(B57,Raw_Risk_Profiles!$A:$A,Raw_Risk_Profiles!$D:$D,"")</f>
        <v/>
      </c>
      <c r="K57" s="4">
        <f>IFERROR(INDEX(Raw_Risk_Profiles!$E:$E,MATCH(B57,Raw_Risk_Profiles!$A:$A,0)),"Unknown")</f>
        <v/>
      </c>
      <c r="L57" s="4">
        <f>IFERROR(XLOOKUP(A57,Raw_Alerts!$B:$B,Raw_Alerts!$A:$A),"No Alert")</f>
        <v/>
      </c>
      <c r="M57" s="4">
        <f>IFERROR(XLOOKUP(A57,Raw_Alerts!$B:$B,Raw_Alerts!$C:$C),"")</f>
        <v/>
      </c>
      <c r="N57" s="4">
        <f>IFERROR(XLOOKUP(A57,Raw_Alerts!$B:$B,Raw_Alerts!$D:$D),"")</f>
        <v/>
      </c>
      <c r="O57" s="4">
        <f>IFERROR(XLOOKUP(A57,Raw_Alerts!$B:$B,Raw_Alerts!$F:$F),"")</f>
        <v/>
      </c>
      <c r="P57" s="4">
        <f>IF(H57="Not Found","CRITICAL: No Risk Profile",IF(I57="Missing","WARN: Missing KYC",IF(I57="Expired","WARN: KYC Expired",IF(I57="Pending","INFO: KYC Pending","OK"))))</f>
        <v/>
      </c>
    </row>
    <row r="58">
      <c r="A58" s="2">
        <f>Raw_Transactions!A58</f>
        <v/>
      </c>
      <c r="B58" s="2">
        <f>Raw_Transactions!B58</f>
        <v/>
      </c>
      <c r="C58" s="2">
        <f>Raw_Transactions!C58</f>
        <v/>
      </c>
      <c r="D58" s="3">
        <f>Raw_Transactions!D58</f>
        <v/>
      </c>
      <c r="E58" s="2">
        <f>Raw_Transactions!E58</f>
        <v/>
      </c>
      <c r="F58" s="2">
        <f>Raw_Transactions!F58</f>
        <v/>
      </c>
      <c r="G58" s="2">
        <f>Raw_Transactions!G58</f>
        <v/>
      </c>
      <c r="H58" s="2">
        <f>XLOOKUP(B58,Raw_Risk_Profiles!$A:$A,Raw_Risk_Profiles!$B:$B,"Not Found")</f>
        <v/>
      </c>
      <c r="I58" s="2">
        <f>XLOOKUP(B58,Raw_Risk_Profiles!$A:$A,Raw_Risk_Profiles!$C:$C,"Missing")</f>
        <v/>
      </c>
      <c r="J58" s="2">
        <f>XLOOKUP(B58,Raw_Risk_Profiles!$A:$A,Raw_Risk_Profiles!$D:$D,"")</f>
        <v/>
      </c>
      <c r="K58" s="2">
        <f>IFERROR(INDEX(Raw_Risk_Profiles!$E:$E,MATCH(B58,Raw_Risk_Profiles!$A:$A,0)),"Unknown")</f>
        <v/>
      </c>
      <c r="L58" s="2">
        <f>IFERROR(XLOOKUP(A58,Raw_Alerts!$B:$B,Raw_Alerts!$A:$A),"No Alert")</f>
        <v/>
      </c>
      <c r="M58" s="2">
        <f>IFERROR(XLOOKUP(A58,Raw_Alerts!$B:$B,Raw_Alerts!$C:$C),"")</f>
        <v/>
      </c>
      <c r="N58" s="2">
        <f>IFERROR(XLOOKUP(A58,Raw_Alerts!$B:$B,Raw_Alerts!$D:$D),"")</f>
        <v/>
      </c>
      <c r="O58" s="2">
        <f>IFERROR(XLOOKUP(A58,Raw_Alerts!$B:$B,Raw_Alerts!$F:$F),"")</f>
        <v/>
      </c>
      <c r="P58" s="2">
        <f>IF(H58="Not Found","CRITICAL: No Risk Profile",IF(I58="Missing","WARN: Missing KYC",IF(I58="Expired","WARN: KYC Expired",IF(I58="Pending","INFO: KYC Pending","OK"))))</f>
        <v/>
      </c>
    </row>
    <row r="59">
      <c r="A59" s="4">
        <f>Raw_Transactions!A59</f>
        <v/>
      </c>
      <c r="B59" s="4">
        <f>Raw_Transactions!B59</f>
        <v/>
      </c>
      <c r="C59" s="4">
        <f>Raw_Transactions!C59</f>
        <v/>
      </c>
      <c r="D59" s="5">
        <f>Raw_Transactions!D59</f>
        <v/>
      </c>
      <c r="E59" s="4">
        <f>Raw_Transactions!E59</f>
        <v/>
      </c>
      <c r="F59" s="4">
        <f>Raw_Transactions!F59</f>
        <v/>
      </c>
      <c r="G59" s="4">
        <f>Raw_Transactions!G59</f>
        <v/>
      </c>
      <c r="H59" s="4">
        <f>XLOOKUP(B59,Raw_Risk_Profiles!$A:$A,Raw_Risk_Profiles!$B:$B,"Not Found")</f>
        <v/>
      </c>
      <c r="I59" s="4">
        <f>XLOOKUP(B59,Raw_Risk_Profiles!$A:$A,Raw_Risk_Profiles!$C:$C,"Missing")</f>
        <v/>
      </c>
      <c r="J59" s="4">
        <f>XLOOKUP(B59,Raw_Risk_Profiles!$A:$A,Raw_Risk_Profiles!$D:$D,"")</f>
        <v/>
      </c>
      <c r="K59" s="4">
        <f>IFERROR(INDEX(Raw_Risk_Profiles!$E:$E,MATCH(B59,Raw_Risk_Profiles!$A:$A,0)),"Unknown")</f>
        <v/>
      </c>
      <c r="L59" s="4">
        <f>IFERROR(XLOOKUP(A59,Raw_Alerts!$B:$B,Raw_Alerts!$A:$A),"No Alert")</f>
        <v/>
      </c>
      <c r="M59" s="4">
        <f>IFERROR(XLOOKUP(A59,Raw_Alerts!$B:$B,Raw_Alerts!$C:$C),"")</f>
        <v/>
      </c>
      <c r="N59" s="4">
        <f>IFERROR(XLOOKUP(A59,Raw_Alerts!$B:$B,Raw_Alerts!$D:$D),"")</f>
        <v/>
      </c>
      <c r="O59" s="4">
        <f>IFERROR(XLOOKUP(A59,Raw_Alerts!$B:$B,Raw_Alerts!$F:$F),"")</f>
        <v/>
      </c>
      <c r="P59" s="4">
        <f>IF(H59="Not Found","CRITICAL: No Risk Profile",IF(I59="Missing","WARN: Missing KYC",IF(I59="Expired","WARN: KYC Expired",IF(I59="Pending","INFO: KYC Pending","OK"))))</f>
        <v/>
      </c>
    </row>
    <row r="60">
      <c r="A60" s="2">
        <f>Raw_Transactions!A60</f>
        <v/>
      </c>
      <c r="B60" s="2">
        <f>Raw_Transactions!B60</f>
        <v/>
      </c>
      <c r="C60" s="2">
        <f>Raw_Transactions!C60</f>
        <v/>
      </c>
      <c r="D60" s="3">
        <f>Raw_Transactions!D60</f>
        <v/>
      </c>
      <c r="E60" s="2">
        <f>Raw_Transactions!E60</f>
        <v/>
      </c>
      <c r="F60" s="2">
        <f>Raw_Transactions!F60</f>
        <v/>
      </c>
      <c r="G60" s="2">
        <f>Raw_Transactions!G60</f>
        <v/>
      </c>
      <c r="H60" s="2">
        <f>XLOOKUP(B60,Raw_Risk_Profiles!$A:$A,Raw_Risk_Profiles!$B:$B,"Not Found")</f>
        <v/>
      </c>
      <c r="I60" s="2">
        <f>XLOOKUP(B60,Raw_Risk_Profiles!$A:$A,Raw_Risk_Profiles!$C:$C,"Missing")</f>
        <v/>
      </c>
      <c r="J60" s="2">
        <f>XLOOKUP(B60,Raw_Risk_Profiles!$A:$A,Raw_Risk_Profiles!$D:$D,"")</f>
        <v/>
      </c>
      <c r="K60" s="2">
        <f>IFERROR(INDEX(Raw_Risk_Profiles!$E:$E,MATCH(B60,Raw_Risk_Profiles!$A:$A,0)),"Unknown")</f>
        <v/>
      </c>
      <c r="L60" s="2">
        <f>IFERROR(XLOOKUP(A60,Raw_Alerts!$B:$B,Raw_Alerts!$A:$A),"No Alert")</f>
        <v/>
      </c>
      <c r="M60" s="2">
        <f>IFERROR(XLOOKUP(A60,Raw_Alerts!$B:$B,Raw_Alerts!$C:$C),"")</f>
        <v/>
      </c>
      <c r="N60" s="2">
        <f>IFERROR(XLOOKUP(A60,Raw_Alerts!$B:$B,Raw_Alerts!$D:$D),"")</f>
        <v/>
      </c>
      <c r="O60" s="2">
        <f>IFERROR(XLOOKUP(A60,Raw_Alerts!$B:$B,Raw_Alerts!$F:$F),"")</f>
        <v/>
      </c>
      <c r="P60" s="2">
        <f>IF(H60="Not Found","CRITICAL: No Risk Profile",IF(I60="Missing","WARN: Missing KYC",IF(I60="Expired","WARN: KYC Expired",IF(I60="Pending","INFO: KYC Pending","OK"))))</f>
        <v/>
      </c>
    </row>
    <row r="61">
      <c r="A61" s="4">
        <f>Raw_Transactions!A61</f>
        <v/>
      </c>
      <c r="B61" s="4">
        <f>Raw_Transactions!B61</f>
        <v/>
      </c>
      <c r="C61" s="4">
        <f>Raw_Transactions!C61</f>
        <v/>
      </c>
      <c r="D61" s="5">
        <f>Raw_Transactions!D61</f>
        <v/>
      </c>
      <c r="E61" s="4">
        <f>Raw_Transactions!E61</f>
        <v/>
      </c>
      <c r="F61" s="4">
        <f>Raw_Transactions!F61</f>
        <v/>
      </c>
      <c r="G61" s="4">
        <f>Raw_Transactions!G61</f>
        <v/>
      </c>
      <c r="H61" s="4">
        <f>XLOOKUP(B61,Raw_Risk_Profiles!$A:$A,Raw_Risk_Profiles!$B:$B,"Not Found")</f>
        <v/>
      </c>
      <c r="I61" s="4">
        <f>XLOOKUP(B61,Raw_Risk_Profiles!$A:$A,Raw_Risk_Profiles!$C:$C,"Missing")</f>
        <v/>
      </c>
      <c r="J61" s="4">
        <f>XLOOKUP(B61,Raw_Risk_Profiles!$A:$A,Raw_Risk_Profiles!$D:$D,"")</f>
        <v/>
      </c>
      <c r="K61" s="4">
        <f>IFERROR(INDEX(Raw_Risk_Profiles!$E:$E,MATCH(B61,Raw_Risk_Profiles!$A:$A,0)),"Unknown")</f>
        <v/>
      </c>
      <c r="L61" s="4">
        <f>IFERROR(XLOOKUP(A61,Raw_Alerts!$B:$B,Raw_Alerts!$A:$A),"No Alert")</f>
        <v/>
      </c>
      <c r="M61" s="4">
        <f>IFERROR(XLOOKUP(A61,Raw_Alerts!$B:$B,Raw_Alerts!$C:$C),"")</f>
        <v/>
      </c>
      <c r="N61" s="4">
        <f>IFERROR(XLOOKUP(A61,Raw_Alerts!$B:$B,Raw_Alerts!$D:$D),"")</f>
        <v/>
      </c>
      <c r="O61" s="4">
        <f>IFERROR(XLOOKUP(A61,Raw_Alerts!$B:$B,Raw_Alerts!$F:$F),"")</f>
        <v/>
      </c>
      <c r="P61" s="4">
        <f>IF(H61="Not Found","CRITICAL: No Risk Profile",IF(I61="Missing","WARN: Missing KYC",IF(I61="Expired","WARN: KYC Expired",IF(I61="Pending","INFO: KYC Pending","OK"))))</f>
        <v/>
      </c>
    </row>
    <row r="62">
      <c r="A62" s="2">
        <f>Raw_Transactions!A62</f>
        <v/>
      </c>
      <c r="B62" s="2">
        <f>Raw_Transactions!B62</f>
        <v/>
      </c>
      <c r="C62" s="2">
        <f>Raw_Transactions!C62</f>
        <v/>
      </c>
      <c r="D62" s="3">
        <f>Raw_Transactions!D62</f>
        <v/>
      </c>
      <c r="E62" s="2">
        <f>Raw_Transactions!E62</f>
        <v/>
      </c>
      <c r="F62" s="2">
        <f>Raw_Transactions!F62</f>
        <v/>
      </c>
      <c r="G62" s="2">
        <f>Raw_Transactions!G62</f>
        <v/>
      </c>
      <c r="H62" s="2">
        <f>XLOOKUP(B62,Raw_Risk_Profiles!$A:$A,Raw_Risk_Profiles!$B:$B,"Not Found")</f>
        <v/>
      </c>
      <c r="I62" s="2">
        <f>XLOOKUP(B62,Raw_Risk_Profiles!$A:$A,Raw_Risk_Profiles!$C:$C,"Missing")</f>
        <v/>
      </c>
      <c r="J62" s="2">
        <f>XLOOKUP(B62,Raw_Risk_Profiles!$A:$A,Raw_Risk_Profiles!$D:$D,"")</f>
        <v/>
      </c>
      <c r="K62" s="2">
        <f>IFERROR(INDEX(Raw_Risk_Profiles!$E:$E,MATCH(B62,Raw_Risk_Profiles!$A:$A,0)),"Unknown")</f>
        <v/>
      </c>
      <c r="L62" s="2">
        <f>IFERROR(XLOOKUP(A62,Raw_Alerts!$B:$B,Raw_Alerts!$A:$A),"No Alert")</f>
        <v/>
      </c>
      <c r="M62" s="2">
        <f>IFERROR(XLOOKUP(A62,Raw_Alerts!$B:$B,Raw_Alerts!$C:$C),"")</f>
        <v/>
      </c>
      <c r="N62" s="2">
        <f>IFERROR(XLOOKUP(A62,Raw_Alerts!$B:$B,Raw_Alerts!$D:$D),"")</f>
        <v/>
      </c>
      <c r="O62" s="2">
        <f>IFERROR(XLOOKUP(A62,Raw_Alerts!$B:$B,Raw_Alerts!$F:$F),"")</f>
        <v/>
      </c>
      <c r="P62" s="2">
        <f>IF(H62="Not Found","CRITICAL: No Risk Profile",IF(I62="Missing","WARN: Missing KYC",IF(I62="Expired","WARN: KYC Expired",IF(I62="Pending","INFO: KYC Pending","OK"))))</f>
        <v/>
      </c>
    </row>
    <row r="63">
      <c r="A63" s="4">
        <f>Raw_Transactions!A63</f>
        <v/>
      </c>
      <c r="B63" s="4">
        <f>Raw_Transactions!B63</f>
        <v/>
      </c>
      <c r="C63" s="4">
        <f>Raw_Transactions!C63</f>
        <v/>
      </c>
      <c r="D63" s="5">
        <f>Raw_Transactions!D63</f>
        <v/>
      </c>
      <c r="E63" s="4">
        <f>Raw_Transactions!E63</f>
        <v/>
      </c>
      <c r="F63" s="4">
        <f>Raw_Transactions!F63</f>
        <v/>
      </c>
      <c r="G63" s="4">
        <f>Raw_Transactions!G63</f>
        <v/>
      </c>
      <c r="H63" s="4">
        <f>XLOOKUP(B63,Raw_Risk_Profiles!$A:$A,Raw_Risk_Profiles!$B:$B,"Not Found")</f>
        <v/>
      </c>
      <c r="I63" s="4">
        <f>XLOOKUP(B63,Raw_Risk_Profiles!$A:$A,Raw_Risk_Profiles!$C:$C,"Missing")</f>
        <v/>
      </c>
      <c r="J63" s="4">
        <f>XLOOKUP(B63,Raw_Risk_Profiles!$A:$A,Raw_Risk_Profiles!$D:$D,"")</f>
        <v/>
      </c>
      <c r="K63" s="4">
        <f>IFERROR(INDEX(Raw_Risk_Profiles!$E:$E,MATCH(B63,Raw_Risk_Profiles!$A:$A,0)),"Unknown")</f>
        <v/>
      </c>
      <c r="L63" s="4">
        <f>IFERROR(XLOOKUP(A63,Raw_Alerts!$B:$B,Raw_Alerts!$A:$A),"No Alert")</f>
        <v/>
      </c>
      <c r="M63" s="4">
        <f>IFERROR(XLOOKUP(A63,Raw_Alerts!$B:$B,Raw_Alerts!$C:$C),"")</f>
        <v/>
      </c>
      <c r="N63" s="4">
        <f>IFERROR(XLOOKUP(A63,Raw_Alerts!$B:$B,Raw_Alerts!$D:$D),"")</f>
        <v/>
      </c>
      <c r="O63" s="4">
        <f>IFERROR(XLOOKUP(A63,Raw_Alerts!$B:$B,Raw_Alerts!$F:$F),"")</f>
        <v/>
      </c>
      <c r="P63" s="4">
        <f>IF(H63="Not Found","CRITICAL: No Risk Profile",IF(I63="Missing","WARN: Missing KYC",IF(I63="Expired","WARN: KYC Expired",IF(I63="Pending","INFO: KYC Pending","OK"))))</f>
        <v/>
      </c>
    </row>
    <row r="64">
      <c r="A64" s="2">
        <f>Raw_Transactions!A64</f>
        <v/>
      </c>
      <c r="B64" s="2">
        <f>Raw_Transactions!B64</f>
        <v/>
      </c>
      <c r="C64" s="2">
        <f>Raw_Transactions!C64</f>
        <v/>
      </c>
      <c r="D64" s="3">
        <f>Raw_Transactions!D64</f>
        <v/>
      </c>
      <c r="E64" s="2">
        <f>Raw_Transactions!E64</f>
        <v/>
      </c>
      <c r="F64" s="2">
        <f>Raw_Transactions!F64</f>
        <v/>
      </c>
      <c r="G64" s="2">
        <f>Raw_Transactions!G64</f>
        <v/>
      </c>
      <c r="H64" s="2">
        <f>XLOOKUP(B64,Raw_Risk_Profiles!$A:$A,Raw_Risk_Profiles!$B:$B,"Not Found")</f>
        <v/>
      </c>
      <c r="I64" s="2">
        <f>XLOOKUP(B64,Raw_Risk_Profiles!$A:$A,Raw_Risk_Profiles!$C:$C,"Missing")</f>
        <v/>
      </c>
      <c r="J64" s="2">
        <f>XLOOKUP(B64,Raw_Risk_Profiles!$A:$A,Raw_Risk_Profiles!$D:$D,"")</f>
        <v/>
      </c>
      <c r="K64" s="2">
        <f>IFERROR(INDEX(Raw_Risk_Profiles!$E:$E,MATCH(B64,Raw_Risk_Profiles!$A:$A,0)),"Unknown")</f>
        <v/>
      </c>
      <c r="L64" s="2">
        <f>IFERROR(XLOOKUP(A64,Raw_Alerts!$B:$B,Raw_Alerts!$A:$A),"No Alert")</f>
        <v/>
      </c>
      <c r="M64" s="2">
        <f>IFERROR(XLOOKUP(A64,Raw_Alerts!$B:$B,Raw_Alerts!$C:$C),"")</f>
        <v/>
      </c>
      <c r="N64" s="2">
        <f>IFERROR(XLOOKUP(A64,Raw_Alerts!$B:$B,Raw_Alerts!$D:$D),"")</f>
        <v/>
      </c>
      <c r="O64" s="2">
        <f>IFERROR(XLOOKUP(A64,Raw_Alerts!$B:$B,Raw_Alerts!$F:$F),"")</f>
        <v/>
      </c>
      <c r="P64" s="2">
        <f>IF(H64="Not Found","CRITICAL: No Risk Profile",IF(I64="Missing","WARN: Missing KYC",IF(I64="Expired","WARN: KYC Expired",IF(I64="Pending","INFO: KYC Pending","OK"))))</f>
        <v/>
      </c>
    </row>
    <row r="65">
      <c r="A65" s="4">
        <f>Raw_Transactions!A65</f>
        <v/>
      </c>
      <c r="B65" s="4">
        <f>Raw_Transactions!B65</f>
        <v/>
      </c>
      <c r="C65" s="4">
        <f>Raw_Transactions!C65</f>
        <v/>
      </c>
      <c r="D65" s="5">
        <f>Raw_Transactions!D65</f>
        <v/>
      </c>
      <c r="E65" s="4">
        <f>Raw_Transactions!E65</f>
        <v/>
      </c>
      <c r="F65" s="4">
        <f>Raw_Transactions!F65</f>
        <v/>
      </c>
      <c r="G65" s="4">
        <f>Raw_Transactions!G65</f>
        <v/>
      </c>
      <c r="H65" s="4">
        <f>XLOOKUP(B65,Raw_Risk_Profiles!$A:$A,Raw_Risk_Profiles!$B:$B,"Not Found")</f>
        <v/>
      </c>
      <c r="I65" s="4">
        <f>XLOOKUP(B65,Raw_Risk_Profiles!$A:$A,Raw_Risk_Profiles!$C:$C,"Missing")</f>
        <v/>
      </c>
      <c r="J65" s="4">
        <f>XLOOKUP(B65,Raw_Risk_Profiles!$A:$A,Raw_Risk_Profiles!$D:$D,"")</f>
        <v/>
      </c>
      <c r="K65" s="4">
        <f>IFERROR(INDEX(Raw_Risk_Profiles!$E:$E,MATCH(B65,Raw_Risk_Profiles!$A:$A,0)),"Unknown")</f>
        <v/>
      </c>
      <c r="L65" s="4">
        <f>IFERROR(XLOOKUP(A65,Raw_Alerts!$B:$B,Raw_Alerts!$A:$A),"No Alert")</f>
        <v/>
      </c>
      <c r="M65" s="4">
        <f>IFERROR(XLOOKUP(A65,Raw_Alerts!$B:$B,Raw_Alerts!$C:$C),"")</f>
        <v/>
      </c>
      <c r="N65" s="4">
        <f>IFERROR(XLOOKUP(A65,Raw_Alerts!$B:$B,Raw_Alerts!$D:$D),"")</f>
        <v/>
      </c>
      <c r="O65" s="4">
        <f>IFERROR(XLOOKUP(A65,Raw_Alerts!$B:$B,Raw_Alerts!$F:$F),"")</f>
        <v/>
      </c>
      <c r="P65" s="4">
        <f>IF(H65="Not Found","CRITICAL: No Risk Profile",IF(I65="Missing","WARN: Missing KYC",IF(I65="Expired","WARN: KYC Expired",IF(I65="Pending","INFO: KYC Pending","OK"))))</f>
        <v/>
      </c>
    </row>
    <row r="66">
      <c r="A66" s="2">
        <f>Raw_Transactions!A66</f>
        <v/>
      </c>
      <c r="B66" s="2">
        <f>Raw_Transactions!B66</f>
        <v/>
      </c>
      <c r="C66" s="2">
        <f>Raw_Transactions!C66</f>
        <v/>
      </c>
      <c r="D66" s="3">
        <f>Raw_Transactions!D66</f>
        <v/>
      </c>
      <c r="E66" s="2">
        <f>Raw_Transactions!E66</f>
        <v/>
      </c>
      <c r="F66" s="2">
        <f>Raw_Transactions!F66</f>
        <v/>
      </c>
      <c r="G66" s="2">
        <f>Raw_Transactions!G66</f>
        <v/>
      </c>
      <c r="H66" s="2">
        <f>XLOOKUP(B66,Raw_Risk_Profiles!$A:$A,Raw_Risk_Profiles!$B:$B,"Not Found")</f>
        <v/>
      </c>
      <c r="I66" s="2">
        <f>XLOOKUP(B66,Raw_Risk_Profiles!$A:$A,Raw_Risk_Profiles!$C:$C,"Missing")</f>
        <v/>
      </c>
      <c r="J66" s="2">
        <f>XLOOKUP(B66,Raw_Risk_Profiles!$A:$A,Raw_Risk_Profiles!$D:$D,"")</f>
        <v/>
      </c>
      <c r="K66" s="2">
        <f>IFERROR(INDEX(Raw_Risk_Profiles!$E:$E,MATCH(B66,Raw_Risk_Profiles!$A:$A,0)),"Unknown")</f>
        <v/>
      </c>
      <c r="L66" s="2">
        <f>IFERROR(XLOOKUP(A66,Raw_Alerts!$B:$B,Raw_Alerts!$A:$A),"No Alert")</f>
        <v/>
      </c>
      <c r="M66" s="2">
        <f>IFERROR(XLOOKUP(A66,Raw_Alerts!$B:$B,Raw_Alerts!$C:$C),"")</f>
        <v/>
      </c>
      <c r="N66" s="2">
        <f>IFERROR(XLOOKUP(A66,Raw_Alerts!$B:$B,Raw_Alerts!$D:$D),"")</f>
        <v/>
      </c>
      <c r="O66" s="2">
        <f>IFERROR(XLOOKUP(A66,Raw_Alerts!$B:$B,Raw_Alerts!$F:$F),"")</f>
        <v/>
      </c>
      <c r="P66" s="2">
        <f>IF(H66="Not Found","CRITICAL: No Risk Profile",IF(I66="Missing","WARN: Missing KYC",IF(I66="Expired","WARN: KYC Expired",IF(I66="Pending","INFO: KYC Pending","OK"))))</f>
        <v/>
      </c>
    </row>
    <row r="67">
      <c r="A67" s="4">
        <f>Raw_Transactions!A67</f>
        <v/>
      </c>
      <c r="B67" s="4">
        <f>Raw_Transactions!B67</f>
        <v/>
      </c>
      <c r="C67" s="4">
        <f>Raw_Transactions!C67</f>
        <v/>
      </c>
      <c r="D67" s="5">
        <f>Raw_Transactions!D67</f>
        <v/>
      </c>
      <c r="E67" s="4">
        <f>Raw_Transactions!E67</f>
        <v/>
      </c>
      <c r="F67" s="4">
        <f>Raw_Transactions!F67</f>
        <v/>
      </c>
      <c r="G67" s="4">
        <f>Raw_Transactions!G67</f>
        <v/>
      </c>
      <c r="H67" s="4">
        <f>XLOOKUP(B67,Raw_Risk_Profiles!$A:$A,Raw_Risk_Profiles!$B:$B,"Not Found")</f>
        <v/>
      </c>
      <c r="I67" s="4">
        <f>XLOOKUP(B67,Raw_Risk_Profiles!$A:$A,Raw_Risk_Profiles!$C:$C,"Missing")</f>
        <v/>
      </c>
      <c r="J67" s="4">
        <f>XLOOKUP(B67,Raw_Risk_Profiles!$A:$A,Raw_Risk_Profiles!$D:$D,"")</f>
        <v/>
      </c>
      <c r="K67" s="4">
        <f>IFERROR(INDEX(Raw_Risk_Profiles!$E:$E,MATCH(B67,Raw_Risk_Profiles!$A:$A,0)),"Unknown")</f>
        <v/>
      </c>
      <c r="L67" s="4">
        <f>IFERROR(XLOOKUP(A67,Raw_Alerts!$B:$B,Raw_Alerts!$A:$A),"No Alert")</f>
        <v/>
      </c>
      <c r="M67" s="4">
        <f>IFERROR(XLOOKUP(A67,Raw_Alerts!$B:$B,Raw_Alerts!$C:$C),"")</f>
        <v/>
      </c>
      <c r="N67" s="4">
        <f>IFERROR(XLOOKUP(A67,Raw_Alerts!$B:$B,Raw_Alerts!$D:$D),"")</f>
        <v/>
      </c>
      <c r="O67" s="4">
        <f>IFERROR(XLOOKUP(A67,Raw_Alerts!$B:$B,Raw_Alerts!$F:$F),"")</f>
        <v/>
      </c>
      <c r="P67" s="4">
        <f>IF(H67="Not Found","CRITICAL: No Risk Profile",IF(I67="Missing","WARN: Missing KYC",IF(I67="Expired","WARN: KYC Expired",IF(I67="Pending","INFO: KYC Pending","OK"))))</f>
        <v/>
      </c>
    </row>
    <row r="68">
      <c r="A68" s="2">
        <f>Raw_Transactions!A68</f>
        <v/>
      </c>
      <c r="B68" s="2">
        <f>Raw_Transactions!B68</f>
        <v/>
      </c>
      <c r="C68" s="2">
        <f>Raw_Transactions!C68</f>
        <v/>
      </c>
      <c r="D68" s="3">
        <f>Raw_Transactions!D68</f>
        <v/>
      </c>
      <c r="E68" s="2">
        <f>Raw_Transactions!E68</f>
        <v/>
      </c>
      <c r="F68" s="2">
        <f>Raw_Transactions!F68</f>
        <v/>
      </c>
      <c r="G68" s="2">
        <f>Raw_Transactions!G68</f>
        <v/>
      </c>
      <c r="H68" s="2">
        <f>XLOOKUP(B68,Raw_Risk_Profiles!$A:$A,Raw_Risk_Profiles!$B:$B,"Not Found")</f>
        <v/>
      </c>
      <c r="I68" s="2">
        <f>XLOOKUP(B68,Raw_Risk_Profiles!$A:$A,Raw_Risk_Profiles!$C:$C,"Missing")</f>
        <v/>
      </c>
      <c r="J68" s="2">
        <f>XLOOKUP(B68,Raw_Risk_Profiles!$A:$A,Raw_Risk_Profiles!$D:$D,"")</f>
        <v/>
      </c>
      <c r="K68" s="2">
        <f>IFERROR(INDEX(Raw_Risk_Profiles!$E:$E,MATCH(B68,Raw_Risk_Profiles!$A:$A,0)),"Unknown")</f>
        <v/>
      </c>
      <c r="L68" s="2">
        <f>IFERROR(XLOOKUP(A68,Raw_Alerts!$B:$B,Raw_Alerts!$A:$A),"No Alert")</f>
        <v/>
      </c>
      <c r="M68" s="2">
        <f>IFERROR(XLOOKUP(A68,Raw_Alerts!$B:$B,Raw_Alerts!$C:$C),"")</f>
        <v/>
      </c>
      <c r="N68" s="2">
        <f>IFERROR(XLOOKUP(A68,Raw_Alerts!$B:$B,Raw_Alerts!$D:$D),"")</f>
        <v/>
      </c>
      <c r="O68" s="2">
        <f>IFERROR(XLOOKUP(A68,Raw_Alerts!$B:$B,Raw_Alerts!$F:$F),"")</f>
        <v/>
      </c>
      <c r="P68" s="2">
        <f>IF(H68="Not Found","CRITICAL: No Risk Profile",IF(I68="Missing","WARN: Missing KYC",IF(I68="Expired","WARN: KYC Expired",IF(I68="Pending","INFO: KYC Pending","OK"))))</f>
        <v/>
      </c>
    </row>
    <row r="69">
      <c r="A69" s="4">
        <f>Raw_Transactions!A69</f>
        <v/>
      </c>
      <c r="B69" s="4">
        <f>Raw_Transactions!B69</f>
        <v/>
      </c>
      <c r="C69" s="4">
        <f>Raw_Transactions!C69</f>
        <v/>
      </c>
      <c r="D69" s="5">
        <f>Raw_Transactions!D69</f>
        <v/>
      </c>
      <c r="E69" s="4">
        <f>Raw_Transactions!E69</f>
        <v/>
      </c>
      <c r="F69" s="4">
        <f>Raw_Transactions!F69</f>
        <v/>
      </c>
      <c r="G69" s="4">
        <f>Raw_Transactions!G69</f>
        <v/>
      </c>
      <c r="H69" s="4">
        <f>XLOOKUP(B69,Raw_Risk_Profiles!$A:$A,Raw_Risk_Profiles!$B:$B,"Not Found")</f>
        <v/>
      </c>
      <c r="I69" s="4">
        <f>XLOOKUP(B69,Raw_Risk_Profiles!$A:$A,Raw_Risk_Profiles!$C:$C,"Missing")</f>
        <v/>
      </c>
      <c r="J69" s="4">
        <f>XLOOKUP(B69,Raw_Risk_Profiles!$A:$A,Raw_Risk_Profiles!$D:$D,"")</f>
        <v/>
      </c>
      <c r="K69" s="4">
        <f>IFERROR(INDEX(Raw_Risk_Profiles!$E:$E,MATCH(B69,Raw_Risk_Profiles!$A:$A,0)),"Unknown")</f>
        <v/>
      </c>
      <c r="L69" s="4">
        <f>IFERROR(XLOOKUP(A69,Raw_Alerts!$B:$B,Raw_Alerts!$A:$A),"No Alert")</f>
        <v/>
      </c>
      <c r="M69" s="4">
        <f>IFERROR(XLOOKUP(A69,Raw_Alerts!$B:$B,Raw_Alerts!$C:$C),"")</f>
        <v/>
      </c>
      <c r="N69" s="4">
        <f>IFERROR(XLOOKUP(A69,Raw_Alerts!$B:$B,Raw_Alerts!$D:$D),"")</f>
        <v/>
      </c>
      <c r="O69" s="4">
        <f>IFERROR(XLOOKUP(A69,Raw_Alerts!$B:$B,Raw_Alerts!$F:$F),"")</f>
        <v/>
      </c>
      <c r="P69" s="4">
        <f>IF(H69="Not Found","CRITICAL: No Risk Profile",IF(I69="Missing","WARN: Missing KYC",IF(I69="Expired","WARN: KYC Expired",IF(I69="Pending","INFO: KYC Pending","OK"))))</f>
        <v/>
      </c>
    </row>
    <row r="70">
      <c r="A70" s="2">
        <f>Raw_Transactions!A70</f>
        <v/>
      </c>
      <c r="B70" s="2">
        <f>Raw_Transactions!B70</f>
        <v/>
      </c>
      <c r="C70" s="2">
        <f>Raw_Transactions!C70</f>
        <v/>
      </c>
      <c r="D70" s="3">
        <f>Raw_Transactions!D70</f>
        <v/>
      </c>
      <c r="E70" s="2">
        <f>Raw_Transactions!E70</f>
        <v/>
      </c>
      <c r="F70" s="2">
        <f>Raw_Transactions!F70</f>
        <v/>
      </c>
      <c r="G70" s="2">
        <f>Raw_Transactions!G70</f>
        <v/>
      </c>
      <c r="H70" s="2">
        <f>XLOOKUP(B70,Raw_Risk_Profiles!$A:$A,Raw_Risk_Profiles!$B:$B,"Not Found")</f>
        <v/>
      </c>
      <c r="I70" s="2">
        <f>XLOOKUP(B70,Raw_Risk_Profiles!$A:$A,Raw_Risk_Profiles!$C:$C,"Missing")</f>
        <v/>
      </c>
      <c r="J70" s="2">
        <f>XLOOKUP(B70,Raw_Risk_Profiles!$A:$A,Raw_Risk_Profiles!$D:$D,"")</f>
        <v/>
      </c>
      <c r="K70" s="2">
        <f>IFERROR(INDEX(Raw_Risk_Profiles!$E:$E,MATCH(B70,Raw_Risk_Profiles!$A:$A,0)),"Unknown")</f>
        <v/>
      </c>
      <c r="L70" s="2">
        <f>IFERROR(XLOOKUP(A70,Raw_Alerts!$B:$B,Raw_Alerts!$A:$A),"No Alert")</f>
        <v/>
      </c>
      <c r="M70" s="2">
        <f>IFERROR(XLOOKUP(A70,Raw_Alerts!$B:$B,Raw_Alerts!$C:$C),"")</f>
        <v/>
      </c>
      <c r="N70" s="2">
        <f>IFERROR(XLOOKUP(A70,Raw_Alerts!$B:$B,Raw_Alerts!$D:$D),"")</f>
        <v/>
      </c>
      <c r="O70" s="2">
        <f>IFERROR(XLOOKUP(A70,Raw_Alerts!$B:$B,Raw_Alerts!$F:$F),"")</f>
        <v/>
      </c>
      <c r="P70" s="2">
        <f>IF(H70="Not Found","CRITICAL: No Risk Profile",IF(I70="Missing","WARN: Missing KYC",IF(I70="Expired","WARN: KYC Expired",IF(I70="Pending","INFO: KYC Pending","OK"))))</f>
        <v/>
      </c>
    </row>
    <row r="71">
      <c r="A71" s="4">
        <f>Raw_Transactions!A71</f>
        <v/>
      </c>
      <c r="B71" s="4">
        <f>Raw_Transactions!B71</f>
        <v/>
      </c>
      <c r="C71" s="4">
        <f>Raw_Transactions!C71</f>
        <v/>
      </c>
      <c r="D71" s="5">
        <f>Raw_Transactions!D71</f>
        <v/>
      </c>
      <c r="E71" s="4">
        <f>Raw_Transactions!E71</f>
        <v/>
      </c>
      <c r="F71" s="4">
        <f>Raw_Transactions!F71</f>
        <v/>
      </c>
      <c r="G71" s="4">
        <f>Raw_Transactions!G71</f>
        <v/>
      </c>
      <c r="H71" s="4">
        <f>XLOOKUP(B71,Raw_Risk_Profiles!$A:$A,Raw_Risk_Profiles!$B:$B,"Not Found")</f>
        <v/>
      </c>
      <c r="I71" s="4">
        <f>XLOOKUP(B71,Raw_Risk_Profiles!$A:$A,Raw_Risk_Profiles!$C:$C,"Missing")</f>
        <v/>
      </c>
      <c r="J71" s="4">
        <f>XLOOKUP(B71,Raw_Risk_Profiles!$A:$A,Raw_Risk_Profiles!$D:$D,"")</f>
        <v/>
      </c>
      <c r="K71" s="4">
        <f>IFERROR(INDEX(Raw_Risk_Profiles!$E:$E,MATCH(B71,Raw_Risk_Profiles!$A:$A,0)),"Unknown")</f>
        <v/>
      </c>
      <c r="L71" s="4">
        <f>IFERROR(XLOOKUP(A71,Raw_Alerts!$B:$B,Raw_Alerts!$A:$A),"No Alert")</f>
        <v/>
      </c>
      <c r="M71" s="4">
        <f>IFERROR(XLOOKUP(A71,Raw_Alerts!$B:$B,Raw_Alerts!$C:$C),"")</f>
        <v/>
      </c>
      <c r="N71" s="4">
        <f>IFERROR(XLOOKUP(A71,Raw_Alerts!$B:$B,Raw_Alerts!$D:$D),"")</f>
        <v/>
      </c>
      <c r="O71" s="4">
        <f>IFERROR(XLOOKUP(A71,Raw_Alerts!$B:$B,Raw_Alerts!$F:$F),"")</f>
        <v/>
      </c>
      <c r="P71" s="4">
        <f>IF(H71="Not Found","CRITICAL: No Risk Profile",IF(I71="Missing","WARN: Missing KYC",IF(I71="Expired","WARN: KYC Expired",IF(I71="Pending","INFO: KYC Pending","OK"))))</f>
        <v/>
      </c>
    </row>
    <row r="72">
      <c r="A72" s="2">
        <f>Raw_Transactions!A72</f>
        <v/>
      </c>
      <c r="B72" s="2">
        <f>Raw_Transactions!B72</f>
        <v/>
      </c>
      <c r="C72" s="2">
        <f>Raw_Transactions!C72</f>
        <v/>
      </c>
      <c r="D72" s="3">
        <f>Raw_Transactions!D72</f>
        <v/>
      </c>
      <c r="E72" s="2">
        <f>Raw_Transactions!E72</f>
        <v/>
      </c>
      <c r="F72" s="2">
        <f>Raw_Transactions!F72</f>
        <v/>
      </c>
      <c r="G72" s="2">
        <f>Raw_Transactions!G72</f>
        <v/>
      </c>
      <c r="H72" s="2">
        <f>XLOOKUP(B72,Raw_Risk_Profiles!$A:$A,Raw_Risk_Profiles!$B:$B,"Not Found")</f>
        <v/>
      </c>
      <c r="I72" s="2">
        <f>XLOOKUP(B72,Raw_Risk_Profiles!$A:$A,Raw_Risk_Profiles!$C:$C,"Missing")</f>
        <v/>
      </c>
      <c r="J72" s="2">
        <f>XLOOKUP(B72,Raw_Risk_Profiles!$A:$A,Raw_Risk_Profiles!$D:$D,"")</f>
        <v/>
      </c>
      <c r="K72" s="2">
        <f>IFERROR(INDEX(Raw_Risk_Profiles!$E:$E,MATCH(B72,Raw_Risk_Profiles!$A:$A,0)),"Unknown")</f>
        <v/>
      </c>
      <c r="L72" s="2">
        <f>IFERROR(XLOOKUP(A72,Raw_Alerts!$B:$B,Raw_Alerts!$A:$A),"No Alert")</f>
        <v/>
      </c>
      <c r="M72" s="2">
        <f>IFERROR(XLOOKUP(A72,Raw_Alerts!$B:$B,Raw_Alerts!$C:$C),"")</f>
        <v/>
      </c>
      <c r="N72" s="2">
        <f>IFERROR(XLOOKUP(A72,Raw_Alerts!$B:$B,Raw_Alerts!$D:$D),"")</f>
        <v/>
      </c>
      <c r="O72" s="2">
        <f>IFERROR(XLOOKUP(A72,Raw_Alerts!$B:$B,Raw_Alerts!$F:$F),"")</f>
        <v/>
      </c>
      <c r="P72" s="2">
        <f>IF(H72="Not Found","CRITICAL: No Risk Profile",IF(I72="Missing","WARN: Missing KYC",IF(I72="Expired","WARN: KYC Expired",IF(I72="Pending","INFO: KYC Pending","OK"))))</f>
        <v/>
      </c>
    </row>
    <row r="73">
      <c r="A73" s="4">
        <f>Raw_Transactions!A73</f>
        <v/>
      </c>
      <c r="B73" s="4">
        <f>Raw_Transactions!B73</f>
        <v/>
      </c>
      <c r="C73" s="4">
        <f>Raw_Transactions!C73</f>
        <v/>
      </c>
      <c r="D73" s="5">
        <f>Raw_Transactions!D73</f>
        <v/>
      </c>
      <c r="E73" s="4">
        <f>Raw_Transactions!E73</f>
        <v/>
      </c>
      <c r="F73" s="4">
        <f>Raw_Transactions!F73</f>
        <v/>
      </c>
      <c r="G73" s="4">
        <f>Raw_Transactions!G73</f>
        <v/>
      </c>
      <c r="H73" s="4">
        <f>XLOOKUP(B73,Raw_Risk_Profiles!$A:$A,Raw_Risk_Profiles!$B:$B,"Not Found")</f>
        <v/>
      </c>
      <c r="I73" s="4">
        <f>XLOOKUP(B73,Raw_Risk_Profiles!$A:$A,Raw_Risk_Profiles!$C:$C,"Missing")</f>
        <v/>
      </c>
      <c r="J73" s="4">
        <f>XLOOKUP(B73,Raw_Risk_Profiles!$A:$A,Raw_Risk_Profiles!$D:$D,"")</f>
        <v/>
      </c>
      <c r="K73" s="4">
        <f>IFERROR(INDEX(Raw_Risk_Profiles!$E:$E,MATCH(B73,Raw_Risk_Profiles!$A:$A,0)),"Unknown")</f>
        <v/>
      </c>
      <c r="L73" s="4">
        <f>IFERROR(XLOOKUP(A73,Raw_Alerts!$B:$B,Raw_Alerts!$A:$A),"No Alert")</f>
        <v/>
      </c>
      <c r="M73" s="4">
        <f>IFERROR(XLOOKUP(A73,Raw_Alerts!$B:$B,Raw_Alerts!$C:$C),"")</f>
        <v/>
      </c>
      <c r="N73" s="4">
        <f>IFERROR(XLOOKUP(A73,Raw_Alerts!$B:$B,Raw_Alerts!$D:$D),"")</f>
        <v/>
      </c>
      <c r="O73" s="4">
        <f>IFERROR(XLOOKUP(A73,Raw_Alerts!$B:$B,Raw_Alerts!$F:$F),"")</f>
        <v/>
      </c>
      <c r="P73" s="4">
        <f>IF(H73="Not Found","CRITICAL: No Risk Profile",IF(I73="Missing","WARN: Missing KYC",IF(I73="Expired","WARN: KYC Expired",IF(I73="Pending","INFO: KYC Pending","OK"))))</f>
        <v/>
      </c>
    </row>
    <row r="74">
      <c r="A74" s="2">
        <f>Raw_Transactions!A74</f>
        <v/>
      </c>
      <c r="B74" s="2">
        <f>Raw_Transactions!B74</f>
        <v/>
      </c>
      <c r="C74" s="2">
        <f>Raw_Transactions!C74</f>
        <v/>
      </c>
      <c r="D74" s="3">
        <f>Raw_Transactions!D74</f>
        <v/>
      </c>
      <c r="E74" s="2">
        <f>Raw_Transactions!E74</f>
        <v/>
      </c>
      <c r="F74" s="2">
        <f>Raw_Transactions!F74</f>
        <v/>
      </c>
      <c r="G74" s="2">
        <f>Raw_Transactions!G74</f>
        <v/>
      </c>
      <c r="H74" s="2">
        <f>XLOOKUP(B74,Raw_Risk_Profiles!$A:$A,Raw_Risk_Profiles!$B:$B,"Not Found")</f>
        <v/>
      </c>
      <c r="I74" s="2">
        <f>XLOOKUP(B74,Raw_Risk_Profiles!$A:$A,Raw_Risk_Profiles!$C:$C,"Missing")</f>
        <v/>
      </c>
      <c r="J74" s="2">
        <f>XLOOKUP(B74,Raw_Risk_Profiles!$A:$A,Raw_Risk_Profiles!$D:$D,"")</f>
        <v/>
      </c>
      <c r="K74" s="2">
        <f>IFERROR(INDEX(Raw_Risk_Profiles!$E:$E,MATCH(B74,Raw_Risk_Profiles!$A:$A,0)),"Unknown")</f>
        <v/>
      </c>
      <c r="L74" s="2">
        <f>IFERROR(XLOOKUP(A74,Raw_Alerts!$B:$B,Raw_Alerts!$A:$A),"No Alert")</f>
        <v/>
      </c>
      <c r="M74" s="2">
        <f>IFERROR(XLOOKUP(A74,Raw_Alerts!$B:$B,Raw_Alerts!$C:$C),"")</f>
        <v/>
      </c>
      <c r="N74" s="2">
        <f>IFERROR(XLOOKUP(A74,Raw_Alerts!$B:$B,Raw_Alerts!$D:$D),"")</f>
        <v/>
      </c>
      <c r="O74" s="2">
        <f>IFERROR(XLOOKUP(A74,Raw_Alerts!$B:$B,Raw_Alerts!$F:$F),"")</f>
        <v/>
      </c>
      <c r="P74" s="2">
        <f>IF(H74="Not Found","CRITICAL: No Risk Profile",IF(I74="Missing","WARN: Missing KYC",IF(I74="Expired","WARN: KYC Expired",IF(I74="Pending","INFO: KYC Pending","OK"))))</f>
        <v/>
      </c>
    </row>
    <row r="75">
      <c r="A75" s="4">
        <f>Raw_Transactions!A75</f>
        <v/>
      </c>
      <c r="B75" s="4">
        <f>Raw_Transactions!B75</f>
        <v/>
      </c>
      <c r="C75" s="4">
        <f>Raw_Transactions!C75</f>
        <v/>
      </c>
      <c r="D75" s="5">
        <f>Raw_Transactions!D75</f>
        <v/>
      </c>
      <c r="E75" s="4">
        <f>Raw_Transactions!E75</f>
        <v/>
      </c>
      <c r="F75" s="4">
        <f>Raw_Transactions!F75</f>
        <v/>
      </c>
      <c r="G75" s="4">
        <f>Raw_Transactions!G75</f>
        <v/>
      </c>
      <c r="H75" s="4">
        <f>XLOOKUP(B75,Raw_Risk_Profiles!$A:$A,Raw_Risk_Profiles!$B:$B,"Not Found")</f>
        <v/>
      </c>
      <c r="I75" s="4">
        <f>XLOOKUP(B75,Raw_Risk_Profiles!$A:$A,Raw_Risk_Profiles!$C:$C,"Missing")</f>
        <v/>
      </c>
      <c r="J75" s="4">
        <f>XLOOKUP(B75,Raw_Risk_Profiles!$A:$A,Raw_Risk_Profiles!$D:$D,"")</f>
        <v/>
      </c>
      <c r="K75" s="4">
        <f>IFERROR(INDEX(Raw_Risk_Profiles!$E:$E,MATCH(B75,Raw_Risk_Profiles!$A:$A,0)),"Unknown")</f>
        <v/>
      </c>
      <c r="L75" s="4">
        <f>IFERROR(XLOOKUP(A75,Raw_Alerts!$B:$B,Raw_Alerts!$A:$A),"No Alert")</f>
        <v/>
      </c>
      <c r="M75" s="4">
        <f>IFERROR(XLOOKUP(A75,Raw_Alerts!$B:$B,Raw_Alerts!$C:$C),"")</f>
        <v/>
      </c>
      <c r="N75" s="4">
        <f>IFERROR(XLOOKUP(A75,Raw_Alerts!$B:$B,Raw_Alerts!$D:$D),"")</f>
        <v/>
      </c>
      <c r="O75" s="4">
        <f>IFERROR(XLOOKUP(A75,Raw_Alerts!$B:$B,Raw_Alerts!$F:$F),"")</f>
        <v/>
      </c>
      <c r="P75" s="4">
        <f>IF(H75="Not Found","CRITICAL: No Risk Profile",IF(I75="Missing","WARN: Missing KYC",IF(I75="Expired","WARN: KYC Expired",IF(I75="Pending","INFO: KYC Pending","OK"))))</f>
        <v/>
      </c>
    </row>
    <row r="76">
      <c r="A76" s="2">
        <f>Raw_Transactions!A76</f>
        <v/>
      </c>
      <c r="B76" s="2">
        <f>Raw_Transactions!B76</f>
        <v/>
      </c>
      <c r="C76" s="2">
        <f>Raw_Transactions!C76</f>
        <v/>
      </c>
      <c r="D76" s="3">
        <f>Raw_Transactions!D76</f>
        <v/>
      </c>
      <c r="E76" s="2">
        <f>Raw_Transactions!E76</f>
        <v/>
      </c>
      <c r="F76" s="2">
        <f>Raw_Transactions!F76</f>
        <v/>
      </c>
      <c r="G76" s="2">
        <f>Raw_Transactions!G76</f>
        <v/>
      </c>
      <c r="H76" s="2">
        <f>XLOOKUP(B76,Raw_Risk_Profiles!$A:$A,Raw_Risk_Profiles!$B:$B,"Not Found")</f>
        <v/>
      </c>
      <c r="I76" s="2">
        <f>XLOOKUP(B76,Raw_Risk_Profiles!$A:$A,Raw_Risk_Profiles!$C:$C,"Missing")</f>
        <v/>
      </c>
      <c r="J76" s="2">
        <f>XLOOKUP(B76,Raw_Risk_Profiles!$A:$A,Raw_Risk_Profiles!$D:$D,"")</f>
        <v/>
      </c>
      <c r="K76" s="2">
        <f>IFERROR(INDEX(Raw_Risk_Profiles!$E:$E,MATCH(B76,Raw_Risk_Profiles!$A:$A,0)),"Unknown")</f>
        <v/>
      </c>
      <c r="L76" s="2">
        <f>IFERROR(XLOOKUP(A76,Raw_Alerts!$B:$B,Raw_Alerts!$A:$A),"No Alert")</f>
        <v/>
      </c>
      <c r="M76" s="2">
        <f>IFERROR(XLOOKUP(A76,Raw_Alerts!$B:$B,Raw_Alerts!$C:$C),"")</f>
        <v/>
      </c>
      <c r="N76" s="2">
        <f>IFERROR(XLOOKUP(A76,Raw_Alerts!$B:$B,Raw_Alerts!$D:$D),"")</f>
        <v/>
      </c>
      <c r="O76" s="2">
        <f>IFERROR(XLOOKUP(A76,Raw_Alerts!$B:$B,Raw_Alerts!$F:$F),"")</f>
        <v/>
      </c>
      <c r="P76" s="2">
        <f>IF(H76="Not Found","CRITICAL: No Risk Profile",IF(I76="Missing","WARN: Missing KYC",IF(I76="Expired","WARN: KYC Expired",IF(I76="Pending","INFO: KYC Pending","OK"))))</f>
        <v/>
      </c>
    </row>
    <row r="77">
      <c r="A77" s="4">
        <f>Raw_Transactions!A77</f>
        <v/>
      </c>
      <c r="B77" s="4">
        <f>Raw_Transactions!B77</f>
        <v/>
      </c>
      <c r="C77" s="4">
        <f>Raw_Transactions!C77</f>
        <v/>
      </c>
      <c r="D77" s="5">
        <f>Raw_Transactions!D77</f>
        <v/>
      </c>
      <c r="E77" s="4">
        <f>Raw_Transactions!E77</f>
        <v/>
      </c>
      <c r="F77" s="4">
        <f>Raw_Transactions!F77</f>
        <v/>
      </c>
      <c r="G77" s="4">
        <f>Raw_Transactions!G77</f>
        <v/>
      </c>
      <c r="H77" s="4">
        <f>XLOOKUP(B77,Raw_Risk_Profiles!$A:$A,Raw_Risk_Profiles!$B:$B,"Not Found")</f>
        <v/>
      </c>
      <c r="I77" s="4">
        <f>XLOOKUP(B77,Raw_Risk_Profiles!$A:$A,Raw_Risk_Profiles!$C:$C,"Missing")</f>
        <v/>
      </c>
      <c r="J77" s="4">
        <f>XLOOKUP(B77,Raw_Risk_Profiles!$A:$A,Raw_Risk_Profiles!$D:$D,"")</f>
        <v/>
      </c>
      <c r="K77" s="4">
        <f>IFERROR(INDEX(Raw_Risk_Profiles!$E:$E,MATCH(B77,Raw_Risk_Profiles!$A:$A,0)),"Unknown")</f>
        <v/>
      </c>
      <c r="L77" s="4">
        <f>IFERROR(XLOOKUP(A77,Raw_Alerts!$B:$B,Raw_Alerts!$A:$A),"No Alert")</f>
        <v/>
      </c>
      <c r="M77" s="4">
        <f>IFERROR(XLOOKUP(A77,Raw_Alerts!$B:$B,Raw_Alerts!$C:$C),"")</f>
        <v/>
      </c>
      <c r="N77" s="4">
        <f>IFERROR(XLOOKUP(A77,Raw_Alerts!$B:$B,Raw_Alerts!$D:$D),"")</f>
        <v/>
      </c>
      <c r="O77" s="4">
        <f>IFERROR(XLOOKUP(A77,Raw_Alerts!$B:$B,Raw_Alerts!$F:$F),"")</f>
        <v/>
      </c>
      <c r="P77" s="4">
        <f>IF(H77="Not Found","CRITICAL: No Risk Profile",IF(I77="Missing","WARN: Missing KYC",IF(I77="Expired","WARN: KYC Expired",IF(I77="Pending","INFO: KYC Pending","OK"))))</f>
        <v/>
      </c>
    </row>
    <row r="78">
      <c r="A78" s="2">
        <f>Raw_Transactions!A78</f>
        <v/>
      </c>
      <c r="B78" s="2">
        <f>Raw_Transactions!B78</f>
        <v/>
      </c>
      <c r="C78" s="2">
        <f>Raw_Transactions!C78</f>
        <v/>
      </c>
      <c r="D78" s="3">
        <f>Raw_Transactions!D78</f>
        <v/>
      </c>
      <c r="E78" s="2">
        <f>Raw_Transactions!E78</f>
        <v/>
      </c>
      <c r="F78" s="2">
        <f>Raw_Transactions!F78</f>
        <v/>
      </c>
      <c r="G78" s="2">
        <f>Raw_Transactions!G78</f>
        <v/>
      </c>
      <c r="H78" s="2">
        <f>XLOOKUP(B78,Raw_Risk_Profiles!$A:$A,Raw_Risk_Profiles!$B:$B,"Not Found")</f>
        <v/>
      </c>
      <c r="I78" s="2">
        <f>XLOOKUP(B78,Raw_Risk_Profiles!$A:$A,Raw_Risk_Profiles!$C:$C,"Missing")</f>
        <v/>
      </c>
      <c r="J78" s="2">
        <f>XLOOKUP(B78,Raw_Risk_Profiles!$A:$A,Raw_Risk_Profiles!$D:$D,"")</f>
        <v/>
      </c>
      <c r="K78" s="2">
        <f>IFERROR(INDEX(Raw_Risk_Profiles!$E:$E,MATCH(B78,Raw_Risk_Profiles!$A:$A,0)),"Unknown")</f>
        <v/>
      </c>
      <c r="L78" s="2">
        <f>IFERROR(XLOOKUP(A78,Raw_Alerts!$B:$B,Raw_Alerts!$A:$A),"No Alert")</f>
        <v/>
      </c>
      <c r="M78" s="2">
        <f>IFERROR(XLOOKUP(A78,Raw_Alerts!$B:$B,Raw_Alerts!$C:$C),"")</f>
        <v/>
      </c>
      <c r="N78" s="2">
        <f>IFERROR(XLOOKUP(A78,Raw_Alerts!$B:$B,Raw_Alerts!$D:$D),"")</f>
        <v/>
      </c>
      <c r="O78" s="2">
        <f>IFERROR(XLOOKUP(A78,Raw_Alerts!$B:$B,Raw_Alerts!$F:$F),"")</f>
        <v/>
      </c>
      <c r="P78" s="2">
        <f>IF(H78="Not Found","CRITICAL: No Risk Profile",IF(I78="Missing","WARN: Missing KYC",IF(I78="Expired","WARN: KYC Expired",IF(I78="Pending","INFO: KYC Pending","OK"))))</f>
        <v/>
      </c>
    </row>
    <row r="79">
      <c r="A79" s="4">
        <f>Raw_Transactions!A79</f>
        <v/>
      </c>
      <c r="B79" s="4">
        <f>Raw_Transactions!B79</f>
        <v/>
      </c>
      <c r="C79" s="4">
        <f>Raw_Transactions!C79</f>
        <v/>
      </c>
      <c r="D79" s="5">
        <f>Raw_Transactions!D79</f>
        <v/>
      </c>
      <c r="E79" s="4">
        <f>Raw_Transactions!E79</f>
        <v/>
      </c>
      <c r="F79" s="4">
        <f>Raw_Transactions!F79</f>
        <v/>
      </c>
      <c r="G79" s="4">
        <f>Raw_Transactions!G79</f>
        <v/>
      </c>
      <c r="H79" s="4">
        <f>XLOOKUP(B79,Raw_Risk_Profiles!$A:$A,Raw_Risk_Profiles!$B:$B,"Not Found")</f>
        <v/>
      </c>
      <c r="I79" s="4">
        <f>XLOOKUP(B79,Raw_Risk_Profiles!$A:$A,Raw_Risk_Profiles!$C:$C,"Missing")</f>
        <v/>
      </c>
      <c r="J79" s="4">
        <f>XLOOKUP(B79,Raw_Risk_Profiles!$A:$A,Raw_Risk_Profiles!$D:$D,"")</f>
        <v/>
      </c>
      <c r="K79" s="4">
        <f>IFERROR(INDEX(Raw_Risk_Profiles!$E:$E,MATCH(B79,Raw_Risk_Profiles!$A:$A,0)),"Unknown")</f>
        <v/>
      </c>
      <c r="L79" s="4">
        <f>IFERROR(XLOOKUP(A79,Raw_Alerts!$B:$B,Raw_Alerts!$A:$A),"No Alert")</f>
        <v/>
      </c>
      <c r="M79" s="4">
        <f>IFERROR(XLOOKUP(A79,Raw_Alerts!$B:$B,Raw_Alerts!$C:$C),"")</f>
        <v/>
      </c>
      <c r="N79" s="4">
        <f>IFERROR(XLOOKUP(A79,Raw_Alerts!$B:$B,Raw_Alerts!$D:$D),"")</f>
        <v/>
      </c>
      <c r="O79" s="4">
        <f>IFERROR(XLOOKUP(A79,Raw_Alerts!$B:$B,Raw_Alerts!$F:$F),"")</f>
        <v/>
      </c>
      <c r="P79" s="4">
        <f>IF(H79="Not Found","CRITICAL: No Risk Profile",IF(I79="Missing","WARN: Missing KYC",IF(I79="Expired","WARN: KYC Expired",IF(I79="Pending","INFO: KYC Pending","OK"))))</f>
        <v/>
      </c>
    </row>
    <row r="80">
      <c r="A80" s="2">
        <f>Raw_Transactions!A80</f>
        <v/>
      </c>
      <c r="B80" s="2">
        <f>Raw_Transactions!B80</f>
        <v/>
      </c>
      <c r="C80" s="2">
        <f>Raw_Transactions!C80</f>
        <v/>
      </c>
      <c r="D80" s="3">
        <f>Raw_Transactions!D80</f>
        <v/>
      </c>
      <c r="E80" s="2">
        <f>Raw_Transactions!E80</f>
        <v/>
      </c>
      <c r="F80" s="2">
        <f>Raw_Transactions!F80</f>
        <v/>
      </c>
      <c r="G80" s="2">
        <f>Raw_Transactions!G80</f>
        <v/>
      </c>
      <c r="H80" s="2">
        <f>XLOOKUP(B80,Raw_Risk_Profiles!$A:$A,Raw_Risk_Profiles!$B:$B,"Not Found")</f>
        <v/>
      </c>
      <c r="I80" s="2">
        <f>XLOOKUP(B80,Raw_Risk_Profiles!$A:$A,Raw_Risk_Profiles!$C:$C,"Missing")</f>
        <v/>
      </c>
      <c r="J80" s="2">
        <f>XLOOKUP(B80,Raw_Risk_Profiles!$A:$A,Raw_Risk_Profiles!$D:$D,"")</f>
        <v/>
      </c>
      <c r="K80" s="2">
        <f>IFERROR(INDEX(Raw_Risk_Profiles!$E:$E,MATCH(B80,Raw_Risk_Profiles!$A:$A,0)),"Unknown")</f>
        <v/>
      </c>
      <c r="L80" s="2">
        <f>IFERROR(XLOOKUP(A80,Raw_Alerts!$B:$B,Raw_Alerts!$A:$A),"No Alert")</f>
        <v/>
      </c>
      <c r="M80" s="2">
        <f>IFERROR(XLOOKUP(A80,Raw_Alerts!$B:$B,Raw_Alerts!$C:$C),"")</f>
        <v/>
      </c>
      <c r="N80" s="2">
        <f>IFERROR(XLOOKUP(A80,Raw_Alerts!$B:$B,Raw_Alerts!$D:$D),"")</f>
        <v/>
      </c>
      <c r="O80" s="2">
        <f>IFERROR(XLOOKUP(A80,Raw_Alerts!$B:$B,Raw_Alerts!$F:$F),"")</f>
        <v/>
      </c>
      <c r="P80" s="2">
        <f>IF(H80="Not Found","CRITICAL: No Risk Profile",IF(I80="Missing","WARN: Missing KYC",IF(I80="Expired","WARN: KYC Expired",IF(I80="Pending","INFO: KYC Pending","OK"))))</f>
        <v/>
      </c>
    </row>
    <row r="81">
      <c r="A81" s="4">
        <f>Raw_Transactions!A81</f>
        <v/>
      </c>
      <c r="B81" s="4">
        <f>Raw_Transactions!B81</f>
        <v/>
      </c>
      <c r="C81" s="4">
        <f>Raw_Transactions!C81</f>
        <v/>
      </c>
      <c r="D81" s="5">
        <f>Raw_Transactions!D81</f>
        <v/>
      </c>
      <c r="E81" s="4">
        <f>Raw_Transactions!E81</f>
        <v/>
      </c>
      <c r="F81" s="4">
        <f>Raw_Transactions!F81</f>
        <v/>
      </c>
      <c r="G81" s="4">
        <f>Raw_Transactions!G81</f>
        <v/>
      </c>
      <c r="H81" s="4">
        <f>XLOOKUP(B81,Raw_Risk_Profiles!$A:$A,Raw_Risk_Profiles!$B:$B,"Not Found")</f>
        <v/>
      </c>
      <c r="I81" s="4">
        <f>XLOOKUP(B81,Raw_Risk_Profiles!$A:$A,Raw_Risk_Profiles!$C:$C,"Missing")</f>
        <v/>
      </c>
      <c r="J81" s="4">
        <f>XLOOKUP(B81,Raw_Risk_Profiles!$A:$A,Raw_Risk_Profiles!$D:$D,"")</f>
        <v/>
      </c>
      <c r="K81" s="4">
        <f>IFERROR(INDEX(Raw_Risk_Profiles!$E:$E,MATCH(B81,Raw_Risk_Profiles!$A:$A,0)),"Unknown")</f>
        <v/>
      </c>
      <c r="L81" s="4">
        <f>IFERROR(XLOOKUP(A81,Raw_Alerts!$B:$B,Raw_Alerts!$A:$A),"No Alert")</f>
        <v/>
      </c>
      <c r="M81" s="4">
        <f>IFERROR(XLOOKUP(A81,Raw_Alerts!$B:$B,Raw_Alerts!$C:$C),"")</f>
        <v/>
      </c>
      <c r="N81" s="4">
        <f>IFERROR(XLOOKUP(A81,Raw_Alerts!$B:$B,Raw_Alerts!$D:$D),"")</f>
        <v/>
      </c>
      <c r="O81" s="4">
        <f>IFERROR(XLOOKUP(A81,Raw_Alerts!$B:$B,Raw_Alerts!$F:$F),"")</f>
        <v/>
      </c>
      <c r="P81" s="4">
        <f>IF(H81="Not Found","CRITICAL: No Risk Profile",IF(I81="Missing","WARN: Missing KYC",IF(I81="Expired","WARN: KYC Expired",IF(I81="Pending","INFO: KYC Pending","OK"))))</f>
        <v/>
      </c>
    </row>
    <row r="82">
      <c r="A82" s="2">
        <f>Raw_Transactions!A82</f>
        <v/>
      </c>
      <c r="B82" s="2">
        <f>Raw_Transactions!B82</f>
        <v/>
      </c>
      <c r="C82" s="2">
        <f>Raw_Transactions!C82</f>
        <v/>
      </c>
      <c r="D82" s="3">
        <f>Raw_Transactions!D82</f>
        <v/>
      </c>
      <c r="E82" s="2">
        <f>Raw_Transactions!E82</f>
        <v/>
      </c>
      <c r="F82" s="2">
        <f>Raw_Transactions!F82</f>
        <v/>
      </c>
      <c r="G82" s="2">
        <f>Raw_Transactions!G82</f>
        <v/>
      </c>
      <c r="H82" s="2">
        <f>XLOOKUP(B82,Raw_Risk_Profiles!$A:$A,Raw_Risk_Profiles!$B:$B,"Not Found")</f>
        <v/>
      </c>
      <c r="I82" s="2">
        <f>XLOOKUP(B82,Raw_Risk_Profiles!$A:$A,Raw_Risk_Profiles!$C:$C,"Missing")</f>
        <v/>
      </c>
      <c r="J82" s="2">
        <f>XLOOKUP(B82,Raw_Risk_Profiles!$A:$A,Raw_Risk_Profiles!$D:$D,"")</f>
        <v/>
      </c>
      <c r="K82" s="2">
        <f>IFERROR(INDEX(Raw_Risk_Profiles!$E:$E,MATCH(B82,Raw_Risk_Profiles!$A:$A,0)),"Unknown")</f>
        <v/>
      </c>
      <c r="L82" s="2">
        <f>IFERROR(XLOOKUP(A82,Raw_Alerts!$B:$B,Raw_Alerts!$A:$A),"No Alert")</f>
        <v/>
      </c>
      <c r="M82" s="2">
        <f>IFERROR(XLOOKUP(A82,Raw_Alerts!$B:$B,Raw_Alerts!$C:$C),"")</f>
        <v/>
      </c>
      <c r="N82" s="2">
        <f>IFERROR(XLOOKUP(A82,Raw_Alerts!$B:$B,Raw_Alerts!$D:$D),"")</f>
        <v/>
      </c>
      <c r="O82" s="2">
        <f>IFERROR(XLOOKUP(A82,Raw_Alerts!$B:$B,Raw_Alerts!$F:$F),"")</f>
        <v/>
      </c>
      <c r="P82" s="2">
        <f>IF(H82="Not Found","CRITICAL: No Risk Profile",IF(I82="Missing","WARN: Missing KYC",IF(I82="Expired","WARN: KYC Expired",IF(I82="Pending","INFO: KYC Pending","OK"))))</f>
        <v/>
      </c>
    </row>
    <row r="83">
      <c r="A83" s="4">
        <f>Raw_Transactions!A83</f>
        <v/>
      </c>
      <c r="B83" s="4">
        <f>Raw_Transactions!B83</f>
        <v/>
      </c>
      <c r="C83" s="4">
        <f>Raw_Transactions!C83</f>
        <v/>
      </c>
      <c r="D83" s="5">
        <f>Raw_Transactions!D83</f>
        <v/>
      </c>
      <c r="E83" s="4">
        <f>Raw_Transactions!E83</f>
        <v/>
      </c>
      <c r="F83" s="4">
        <f>Raw_Transactions!F83</f>
        <v/>
      </c>
      <c r="G83" s="4">
        <f>Raw_Transactions!G83</f>
        <v/>
      </c>
      <c r="H83" s="4">
        <f>XLOOKUP(B83,Raw_Risk_Profiles!$A:$A,Raw_Risk_Profiles!$B:$B,"Not Found")</f>
        <v/>
      </c>
      <c r="I83" s="4">
        <f>XLOOKUP(B83,Raw_Risk_Profiles!$A:$A,Raw_Risk_Profiles!$C:$C,"Missing")</f>
        <v/>
      </c>
      <c r="J83" s="4">
        <f>XLOOKUP(B83,Raw_Risk_Profiles!$A:$A,Raw_Risk_Profiles!$D:$D,"")</f>
        <v/>
      </c>
      <c r="K83" s="4">
        <f>IFERROR(INDEX(Raw_Risk_Profiles!$E:$E,MATCH(B83,Raw_Risk_Profiles!$A:$A,0)),"Unknown")</f>
        <v/>
      </c>
      <c r="L83" s="4">
        <f>IFERROR(XLOOKUP(A83,Raw_Alerts!$B:$B,Raw_Alerts!$A:$A),"No Alert")</f>
        <v/>
      </c>
      <c r="M83" s="4">
        <f>IFERROR(XLOOKUP(A83,Raw_Alerts!$B:$B,Raw_Alerts!$C:$C),"")</f>
        <v/>
      </c>
      <c r="N83" s="4">
        <f>IFERROR(XLOOKUP(A83,Raw_Alerts!$B:$B,Raw_Alerts!$D:$D),"")</f>
        <v/>
      </c>
      <c r="O83" s="4">
        <f>IFERROR(XLOOKUP(A83,Raw_Alerts!$B:$B,Raw_Alerts!$F:$F),"")</f>
        <v/>
      </c>
      <c r="P83" s="4">
        <f>IF(H83="Not Found","CRITICAL: No Risk Profile",IF(I83="Missing","WARN: Missing KYC",IF(I83="Expired","WARN: KYC Expired",IF(I83="Pending","INFO: KYC Pending","OK"))))</f>
        <v/>
      </c>
    </row>
    <row r="84">
      <c r="A84" s="2">
        <f>Raw_Transactions!A84</f>
        <v/>
      </c>
      <c r="B84" s="2">
        <f>Raw_Transactions!B84</f>
        <v/>
      </c>
      <c r="C84" s="2">
        <f>Raw_Transactions!C84</f>
        <v/>
      </c>
      <c r="D84" s="3">
        <f>Raw_Transactions!D84</f>
        <v/>
      </c>
      <c r="E84" s="2">
        <f>Raw_Transactions!E84</f>
        <v/>
      </c>
      <c r="F84" s="2">
        <f>Raw_Transactions!F84</f>
        <v/>
      </c>
      <c r="G84" s="2">
        <f>Raw_Transactions!G84</f>
        <v/>
      </c>
      <c r="H84" s="2">
        <f>XLOOKUP(B84,Raw_Risk_Profiles!$A:$A,Raw_Risk_Profiles!$B:$B,"Not Found")</f>
        <v/>
      </c>
      <c r="I84" s="2">
        <f>XLOOKUP(B84,Raw_Risk_Profiles!$A:$A,Raw_Risk_Profiles!$C:$C,"Missing")</f>
        <v/>
      </c>
      <c r="J84" s="2">
        <f>XLOOKUP(B84,Raw_Risk_Profiles!$A:$A,Raw_Risk_Profiles!$D:$D,"")</f>
        <v/>
      </c>
      <c r="K84" s="2">
        <f>IFERROR(INDEX(Raw_Risk_Profiles!$E:$E,MATCH(B84,Raw_Risk_Profiles!$A:$A,0)),"Unknown")</f>
        <v/>
      </c>
      <c r="L84" s="2">
        <f>IFERROR(XLOOKUP(A84,Raw_Alerts!$B:$B,Raw_Alerts!$A:$A),"No Alert")</f>
        <v/>
      </c>
      <c r="M84" s="2">
        <f>IFERROR(XLOOKUP(A84,Raw_Alerts!$B:$B,Raw_Alerts!$C:$C),"")</f>
        <v/>
      </c>
      <c r="N84" s="2">
        <f>IFERROR(XLOOKUP(A84,Raw_Alerts!$B:$B,Raw_Alerts!$D:$D),"")</f>
        <v/>
      </c>
      <c r="O84" s="2">
        <f>IFERROR(XLOOKUP(A84,Raw_Alerts!$B:$B,Raw_Alerts!$F:$F),"")</f>
        <v/>
      </c>
      <c r="P84" s="2">
        <f>IF(H84="Not Found","CRITICAL: No Risk Profile",IF(I84="Missing","WARN: Missing KYC",IF(I84="Expired","WARN: KYC Expired",IF(I84="Pending","INFO: KYC Pending","OK"))))</f>
        <v/>
      </c>
    </row>
    <row r="85">
      <c r="A85" s="4">
        <f>Raw_Transactions!A85</f>
        <v/>
      </c>
      <c r="B85" s="4">
        <f>Raw_Transactions!B85</f>
        <v/>
      </c>
      <c r="C85" s="4">
        <f>Raw_Transactions!C85</f>
        <v/>
      </c>
      <c r="D85" s="5">
        <f>Raw_Transactions!D85</f>
        <v/>
      </c>
      <c r="E85" s="4">
        <f>Raw_Transactions!E85</f>
        <v/>
      </c>
      <c r="F85" s="4">
        <f>Raw_Transactions!F85</f>
        <v/>
      </c>
      <c r="G85" s="4">
        <f>Raw_Transactions!G85</f>
        <v/>
      </c>
      <c r="H85" s="4">
        <f>XLOOKUP(B85,Raw_Risk_Profiles!$A:$A,Raw_Risk_Profiles!$B:$B,"Not Found")</f>
        <v/>
      </c>
      <c r="I85" s="4">
        <f>XLOOKUP(B85,Raw_Risk_Profiles!$A:$A,Raw_Risk_Profiles!$C:$C,"Missing")</f>
        <v/>
      </c>
      <c r="J85" s="4">
        <f>XLOOKUP(B85,Raw_Risk_Profiles!$A:$A,Raw_Risk_Profiles!$D:$D,"")</f>
        <v/>
      </c>
      <c r="K85" s="4">
        <f>IFERROR(INDEX(Raw_Risk_Profiles!$E:$E,MATCH(B85,Raw_Risk_Profiles!$A:$A,0)),"Unknown")</f>
        <v/>
      </c>
      <c r="L85" s="4">
        <f>IFERROR(XLOOKUP(A85,Raw_Alerts!$B:$B,Raw_Alerts!$A:$A),"No Alert")</f>
        <v/>
      </c>
      <c r="M85" s="4">
        <f>IFERROR(XLOOKUP(A85,Raw_Alerts!$B:$B,Raw_Alerts!$C:$C),"")</f>
        <v/>
      </c>
      <c r="N85" s="4">
        <f>IFERROR(XLOOKUP(A85,Raw_Alerts!$B:$B,Raw_Alerts!$D:$D),"")</f>
        <v/>
      </c>
      <c r="O85" s="4">
        <f>IFERROR(XLOOKUP(A85,Raw_Alerts!$B:$B,Raw_Alerts!$F:$F),"")</f>
        <v/>
      </c>
      <c r="P85" s="4">
        <f>IF(H85="Not Found","CRITICAL: No Risk Profile",IF(I85="Missing","WARN: Missing KYC",IF(I85="Expired","WARN: KYC Expired",IF(I85="Pending","INFO: KYC Pending","OK"))))</f>
        <v/>
      </c>
    </row>
    <row r="86">
      <c r="A86" s="2">
        <f>Raw_Transactions!A86</f>
        <v/>
      </c>
      <c r="B86" s="2">
        <f>Raw_Transactions!B86</f>
        <v/>
      </c>
      <c r="C86" s="2">
        <f>Raw_Transactions!C86</f>
        <v/>
      </c>
      <c r="D86" s="3">
        <f>Raw_Transactions!D86</f>
        <v/>
      </c>
      <c r="E86" s="2">
        <f>Raw_Transactions!E86</f>
        <v/>
      </c>
      <c r="F86" s="2">
        <f>Raw_Transactions!F86</f>
        <v/>
      </c>
      <c r="G86" s="2">
        <f>Raw_Transactions!G86</f>
        <v/>
      </c>
      <c r="H86" s="2">
        <f>XLOOKUP(B86,Raw_Risk_Profiles!$A:$A,Raw_Risk_Profiles!$B:$B,"Not Found")</f>
        <v/>
      </c>
      <c r="I86" s="2">
        <f>XLOOKUP(B86,Raw_Risk_Profiles!$A:$A,Raw_Risk_Profiles!$C:$C,"Missing")</f>
        <v/>
      </c>
      <c r="J86" s="2">
        <f>XLOOKUP(B86,Raw_Risk_Profiles!$A:$A,Raw_Risk_Profiles!$D:$D,"")</f>
        <v/>
      </c>
      <c r="K86" s="2">
        <f>IFERROR(INDEX(Raw_Risk_Profiles!$E:$E,MATCH(B86,Raw_Risk_Profiles!$A:$A,0)),"Unknown")</f>
        <v/>
      </c>
      <c r="L86" s="2">
        <f>IFERROR(XLOOKUP(A86,Raw_Alerts!$B:$B,Raw_Alerts!$A:$A),"No Alert")</f>
        <v/>
      </c>
      <c r="M86" s="2">
        <f>IFERROR(XLOOKUP(A86,Raw_Alerts!$B:$B,Raw_Alerts!$C:$C),"")</f>
        <v/>
      </c>
      <c r="N86" s="2">
        <f>IFERROR(XLOOKUP(A86,Raw_Alerts!$B:$B,Raw_Alerts!$D:$D),"")</f>
        <v/>
      </c>
      <c r="O86" s="2">
        <f>IFERROR(XLOOKUP(A86,Raw_Alerts!$B:$B,Raw_Alerts!$F:$F),"")</f>
        <v/>
      </c>
      <c r="P86" s="2">
        <f>IF(H86="Not Found","CRITICAL: No Risk Profile",IF(I86="Missing","WARN: Missing KYC",IF(I86="Expired","WARN: KYC Expired",IF(I86="Pending","INFO: KYC Pending","OK"))))</f>
        <v/>
      </c>
    </row>
    <row r="87">
      <c r="A87" s="4">
        <f>Raw_Transactions!A87</f>
        <v/>
      </c>
      <c r="B87" s="4">
        <f>Raw_Transactions!B87</f>
        <v/>
      </c>
      <c r="C87" s="4">
        <f>Raw_Transactions!C87</f>
        <v/>
      </c>
      <c r="D87" s="5">
        <f>Raw_Transactions!D87</f>
        <v/>
      </c>
      <c r="E87" s="4">
        <f>Raw_Transactions!E87</f>
        <v/>
      </c>
      <c r="F87" s="4">
        <f>Raw_Transactions!F87</f>
        <v/>
      </c>
      <c r="G87" s="4">
        <f>Raw_Transactions!G87</f>
        <v/>
      </c>
      <c r="H87" s="4">
        <f>XLOOKUP(B87,Raw_Risk_Profiles!$A:$A,Raw_Risk_Profiles!$B:$B,"Not Found")</f>
        <v/>
      </c>
      <c r="I87" s="4">
        <f>XLOOKUP(B87,Raw_Risk_Profiles!$A:$A,Raw_Risk_Profiles!$C:$C,"Missing")</f>
        <v/>
      </c>
      <c r="J87" s="4">
        <f>XLOOKUP(B87,Raw_Risk_Profiles!$A:$A,Raw_Risk_Profiles!$D:$D,"")</f>
        <v/>
      </c>
      <c r="K87" s="4">
        <f>IFERROR(INDEX(Raw_Risk_Profiles!$E:$E,MATCH(B87,Raw_Risk_Profiles!$A:$A,0)),"Unknown")</f>
        <v/>
      </c>
      <c r="L87" s="4">
        <f>IFERROR(XLOOKUP(A87,Raw_Alerts!$B:$B,Raw_Alerts!$A:$A),"No Alert")</f>
        <v/>
      </c>
      <c r="M87" s="4">
        <f>IFERROR(XLOOKUP(A87,Raw_Alerts!$B:$B,Raw_Alerts!$C:$C),"")</f>
        <v/>
      </c>
      <c r="N87" s="4">
        <f>IFERROR(XLOOKUP(A87,Raw_Alerts!$B:$B,Raw_Alerts!$D:$D),"")</f>
        <v/>
      </c>
      <c r="O87" s="4">
        <f>IFERROR(XLOOKUP(A87,Raw_Alerts!$B:$B,Raw_Alerts!$F:$F),"")</f>
        <v/>
      </c>
      <c r="P87" s="4">
        <f>IF(H87="Not Found","CRITICAL: No Risk Profile",IF(I87="Missing","WARN: Missing KYC",IF(I87="Expired","WARN: KYC Expired",IF(I87="Pending","INFO: KYC Pending","OK"))))</f>
        <v/>
      </c>
    </row>
    <row r="88">
      <c r="A88" s="2">
        <f>Raw_Transactions!A88</f>
        <v/>
      </c>
      <c r="B88" s="2">
        <f>Raw_Transactions!B88</f>
        <v/>
      </c>
      <c r="C88" s="2">
        <f>Raw_Transactions!C88</f>
        <v/>
      </c>
      <c r="D88" s="3">
        <f>Raw_Transactions!D88</f>
        <v/>
      </c>
      <c r="E88" s="2">
        <f>Raw_Transactions!E88</f>
        <v/>
      </c>
      <c r="F88" s="2">
        <f>Raw_Transactions!F88</f>
        <v/>
      </c>
      <c r="G88" s="2">
        <f>Raw_Transactions!G88</f>
        <v/>
      </c>
      <c r="H88" s="2">
        <f>XLOOKUP(B88,Raw_Risk_Profiles!$A:$A,Raw_Risk_Profiles!$B:$B,"Not Found")</f>
        <v/>
      </c>
      <c r="I88" s="2">
        <f>XLOOKUP(B88,Raw_Risk_Profiles!$A:$A,Raw_Risk_Profiles!$C:$C,"Missing")</f>
        <v/>
      </c>
      <c r="J88" s="2">
        <f>XLOOKUP(B88,Raw_Risk_Profiles!$A:$A,Raw_Risk_Profiles!$D:$D,"")</f>
        <v/>
      </c>
      <c r="K88" s="2">
        <f>IFERROR(INDEX(Raw_Risk_Profiles!$E:$E,MATCH(B88,Raw_Risk_Profiles!$A:$A,0)),"Unknown")</f>
        <v/>
      </c>
      <c r="L88" s="2">
        <f>IFERROR(XLOOKUP(A88,Raw_Alerts!$B:$B,Raw_Alerts!$A:$A),"No Alert")</f>
        <v/>
      </c>
      <c r="M88" s="2">
        <f>IFERROR(XLOOKUP(A88,Raw_Alerts!$B:$B,Raw_Alerts!$C:$C),"")</f>
        <v/>
      </c>
      <c r="N88" s="2">
        <f>IFERROR(XLOOKUP(A88,Raw_Alerts!$B:$B,Raw_Alerts!$D:$D),"")</f>
        <v/>
      </c>
      <c r="O88" s="2">
        <f>IFERROR(XLOOKUP(A88,Raw_Alerts!$B:$B,Raw_Alerts!$F:$F),"")</f>
        <v/>
      </c>
      <c r="P88" s="2">
        <f>IF(H88="Not Found","CRITICAL: No Risk Profile",IF(I88="Missing","WARN: Missing KYC",IF(I88="Expired","WARN: KYC Expired",IF(I88="Pending","INFO: KYC Pending","OK"))))</f>
        <v/>
      </c>
    </row>
    <row r="89">
      <c r="A89" s="4">
        <f>Raw_Transactions!A89</f>
        <v/>
      </c>
      <c r="B89" s="4">
        <f>Raw_Transactions!B89</f>
        <v/>
      </c>
      <c r="C89" s="4">
        <f>Raw_Transactions!C89</f>
        <v/>
      </c>
      <c r="D89" s="5">
        <f>Raw_Transactions!D89</f>
        <v/>
      </c>
      <c r="E89" s="4">
        <f>Raw_Transactions!E89</f>
        <v/>
      </c>
      <c r="F89" s="4">
        <f>Raw_Transactions!F89</f>
        <v/>
      </c>
      <c r="G89" s="4">
        <f>Raw_Transactions!G89</f>
        <v/>
      </c>
      <c r="H89" s="4">
        <f>XLOOKUP(B89,Raw_Risk_Profiles!$A:$A,Raw_Risk_Profiles!$B:$B,"Not Found")</f>
        <v/>
      </c>
      <c r="I89" s="4">
        <f>XLOOKUP(B89,Raw_Risk_Profiles!$A:$A,Raw_Risk_Profiles!$C:$C,"Missing")</f>
        <v/>
      </c>
      <c r="J89" s="4">
        <f>XLOOKUP(B89,Raw_Risk_Profiles!$A:$A,Raw_Risk_Profiles!$D:$D,"")</f>
        <v/>
      </c>
      <c r="K89" s="4">
        <f>IFERROR(INDEX(Raw_Risk_Profiles!$E:$E,MATCH(B89,Raw_Risk_Profiles!$A:$A,0)),"Unknown")</f>
        <v/>
      </c>
      <c r="L89" s="4">
        <f>IFERROR(XLOOKUP(A89,Raw_Alerts!$B:$B,Raw_Alerts!$A:$A),"No Alert")</f>
        <v/>
      </c>
      <c r="M89" s="4">
        <f>IFERROR(XLOOKUP(A89,Raw_Alerts!$B:$B,Raw_Alerts!$C:$C),"")</f>
        <v/>
      </c>
      <c r="N89" s="4">
        <f>IFERROR(XLOOKUP(A89,Raw_Alerts!$B:$B,Raw_Alerts!$D:$D),"")</f>
        <v/>
      </c>
      <c r="O89" s="4">
        <f>IFERROR(XLOOKUP(A89,Raw_Alerts!$B:$B,Raw_Alerts!$F:$F),"")</f>
        <v/>
      </c>
      <c r="P89" s="4">
        <f>IF(H89="Not Found","CRITICAL: No Risk Profile",IF(I89="Missing","WARN: Missing KYC",IF(I89="Expired","WARN: KYC Expired",IF(I89="Pending","INFO: KYC Pending","OK"))))</f>
        <v/>
      </c>
    </row>
    <row r="90">
      <c r="A90" s="2">
        <f>Raw_Transactions!A90</f>
        <v/>
      </c>
      <c r="B90" s="2">
        <f>Raw_Transactions!B90</f>
        <v/>
      </c>
      <c r="C90" s="2">
        <f>Raw_Transactions!C90</f>
        <v/>
      </c>
      <c r="D90" s="3">
        <f>Raw_Transactions!D90</f>
        <v/>
      </c>
      <c r="E90" s="2">
        <f>Raw_Transactions!E90</f>
        <v/>
      </c>
      <c r="F90" s="2">
        <f>Raw_Transactions!F90</f>
        <v/>
      </c>
      <c r="G90" s="2">
        <f>Raw_Transactions!G90</f>
        <v/>
      </c>
      <c r="H90" s="2">
        <f>XLOOKUP(B90,Raw_Risk_Profiles!$A:$A,Raw_Risk_Profiles!$B:$B,"Not Found")</f>
        <v/>
      </c>
      <c r="I90" s="2">
        <f>XLOOKUP(B90,Raw_Risk_Profiles!$A:$A,Raw_Risk_Profiles!$C:$C,"Missing")</f>
        <v/>
      </c>
      <c r="J90" s="2">
        <f>XLOOKUP(B90,Raw_Risk_Profiles!$A:$A,Raw_Risk_Profiles!$D:$D,"")</f>
        <v/>
      </c>
      <c r="K90" s="2">
        <f>IFERROR(INDEX(Raw_Risk_Profiles!$E:$E,MATCH(B90,Raw_Risk_Profiles!$A:$A,0)),"Unknown")</f>
        <v/>
      </c>
      <c r="L90" s="2">
        <f>IFERROR(XLOOKUP(A90,Raw_Alerts!$B:$B,Raw_Alerts!$A:$A),"No Alert")</f>
        <v/>
      </c>
      <c r="M90" s="2">
        <f>IFERROR(XLOOKUP(A90,Raw_Alerts!$B:$B,Raw_Alerts!$C:$C),"")</f>
        <v/>
      </c>
      <c r="N90" s="2">
        <f>IFERROR(XLOOKUP(A90,Raw_Alerts!$B:$B,Raw_Alerts!$D:$D),"")</f>
        <v/>
      </c>
      <c r="O90" s="2">
        <f>IFERROR(XLOOKUP(A90,Raw_Alerts!$B:$B,Raw_Alerts!$F:$F),"")</f>
        <v/>
      </c>
      <c r="P90" s="2">
        <f>IF(H90="Not Found","CRITICAL: No Risk Profile",IF(I90="Missing","WARN: Missing KYC",IF(I90="Expired","WARN: KYC Expired",IF(I90="Pending","INFO: KYC Pending","OK"))))</f>
        <v/>
      </c>
    </row>
    <row r="91">
      <c r="A91" s="4">
        <f>Raw_Transactions!A91</f>
        <v/>
      </c>
      <c r="B91" s="4">
        <f>Raw_Transactions!B91</f>
        <v/>
      </c>
      <c r="C91" s="4">
        <f>Raw_Transactions!C91</f>
        <v/>
      </c>
      <c r="D91" s="5">
        <f>Raw_Transactions!D91</f>
        <v/>
      </c>
      <c r="E91" s="4">
        <f>Raw_Transactions!E91</f>
        <v/>
      </c>
      <c r="F91" s="4">
        <f>Raw_Transactions!F91</f>
        <v/>
      </c>
      <c r="G91" s="4">
        <f>Raw_Transactions!G91</f>
        <v/>
      </c>
      <c r="H91" s="4">
        <f>XLOOKUP(B91,Raw_Risk_Profiles!$A:$A,Raw_Risk_Profiles!$B:$B,"Not Found")</f>
        <v/>
      </c>
      <c r="I91" s="4">
        <f>XLOOKUP(B91,Raw_Risk_Profiles!$A:$A,Raw_Risk_Profiles!$C:$C,"Missing")</f>
        <v/>
      </c>
      <c r="J91" s="4">
        <f>XLOOKUP(B91,Raw_Risk_Profiles!$A:$A,Raw_Risk_Profiles!$D:$D,"")</f>
        <v/>
      </c>
      <c r="K91" s="4">
        <f>IFERROR(INDEX(Raw_Risk_Profiles!$E:$E,MATCH(B91,Raw_Risk_Profiles!$A:$A,0)),"Unknown")</f>
        <v/>
      </c>
      <c r="L91" s="4">
        <f>IFERROR(XLOOKUP(A91,Raw_Alerts!$B:$B,Raw_Alerts!$A:$A),"No Alert")</f>
        <v/>
      </c>
      <c r="M91" s="4">
        <f>IFERROR(XLOOKUP(A91,Raw_Alerts!$B:$B,Raw_Alerts!$C:$C),"")</f>
        <v/>
      </c>
      <c r="N91" s="4">
        <f>IFERROR(XLOOKUP(A91,Raw_Alerts!$B:$B,Raw_Alerts!$D:$D),"")</f>
        <v/>
      </c>
      <c r="O91" s="4">
        <f>IFERROR(XLOOKUP(A91,Raw_Alerts!$B:$B,Raw_Alerts!$F:$F),"")</f>
        <v/>
      </c>
      <c r="P91" s="4">
        <f>IF(H91="Not Found","CRITICAL: No Risk Profile",IF(I91="Missing","WARN: Missing KYC",IF(I91="Expired","WARN: KYC Expired",IF(I91="Pending","INFO: KYC Pending","OK"))))</f>
        <v/>
      </c>
    </row>
    <row r="92">
      <c r="A92" s="2">
        <f>Raw_Transactions!A92</f>
        <v/>
      </c>
      <c r="B92" s="2">
        <f>Raw_Transactions!B92</f>
        <v/>
      </c>
      <c r="C92" s="2">
        <f>Raw_Transactions!C92</f>
        <v/>
      </c>
      <c r="D92" s="3">
        <f>Raw_Transactions!D92</f>
        <v/>
      </c>
      <c r="E92" s="2">
        <f>Raw_Transactions!E92</f>
        <v/>
      </c>
      <c r="F92" s="2">
        <f>Raw_Transactions!F92</f>
        <v/>
      </c>
      <c r="G92" s="2">
        <f>Raw_Transactions!G92</f>
        <v/>
      </c>
      <c r="H92" s="2">
        <f>XLOOKUP(B92,Raw_Risk_Profiles!$A:$A,Raw_Risk_Profiles!$B:$B,"Not Found")</f>
        <v/>
      </c>
      <c r="I92" s="2">
        <f>XLOOKUP(B92,Raw_Risk_Profiles!$A:$A,Raw_Risk_Profiles!$C:$C,"Missing")</f>
        <v/>
      </c>
      <c r="J92" s="2">
        <f>XLOOKUP(B92,Raw_Risk_Profiles!$A:$A,Raw_Risk_Profiles!$D:$D,"")</f>
        <v/>
      </c>
      <c r="K92" s="2">
        <f>IFERROR(INDEX(Raw_Risk_Profiles!$E:$E,MATCH(B92,Raw_Risk_Profiles!$A:$A,0)),"Unknown")</f>
        <v/>
      </c>
      <c r="L92" s="2">
        <f>IFERROR(XLOOKUP(A92,Raw_Alerts!$B:$B,Raw_Alerts!$A:$A),"No Alert")</f>
        <v/>
      </c>
      <c r="M92" s="2">
        <f>IFERROR(XLOOKUP(A92,Raw_Alerts!$B:$B,Raw_Alerts!$C:$C),"")</f>
        <v/>
      </c>
      <c r="N92" s="2">
        <f>IFERROR(XLOOKUP(A92,Raw_Alerts!$B:$B,Raw_Alerts!$D:$D),"")</f>
        <v/>
      </c>
      <c r="O92" s="2">
        <f>IFERROR(XLOOKUP(A92,Raw_Alerts!$B:$B,Raw_Alerts!$F:$F),"")</f>
        <v/>
      </c>
      <c r="P92" s="2">
        <f>IF(H92="Not Found","CRITICAL: No Risk Profile",IF(I92="Missing","WARN: Missing KYC",IF(I92="Expired","WARN: KYC Expired",IF(I92="Pending","INFO: KYC Pending","OK"))))</f>
        <v/>
      </c>
    </row>
    <row r="93">
      <c r="A93" s="4">
        <f>Raw_Transactions!A93</f>
        <v/>
      </c>
      <c r="B93" s="4">
        <f>Raw_Transactions!B93</f>
        <v/>
      </c>
      <c r="C93" s="4">
        <f>Raw_Transactions!C93</f>
        <v/>
      </c>
      <c r="D93" s="5">
        <f>Raw_Transactions!D93</f>
        <v/>
      </c>
      <c r="E93" s="4">
        <f>Raw_Transactions!E93</f>
        <v/>
      </c>
      <c r="F93" s="4">
        <f>Raw_Transactions!F93</f>
        <v/>
      </c>
      <c r="G93" s="4">
        <f>Raw_Transactions!G93</f>
        <v/>
      </c>
      <c r="H93" s="4">
        <f>XLOOKUP(B93,Raw_Risk_Profiles!$A:$A,Raw_Risk_Profiles!$B:$B,"Not Found")</f>
        <v/>
      </c>
      <c r="I93" s="4">
        <f>XLOOKUP(B93,Raw_Risk_Profiles!$A:$A,Raw_Risk_Profiles!$C:$C,"Missing")</f>
        <v/>
      </c>
      <c r="J93" s="4">
        <f>XLOOKUP(B93,Raw_Risk_Profiles!$A:$A,Raw_Risk_Profiles!$D:$D,"")</f>
        <v/>
      </c>
      <c r="K93" s="4">
        <f>IFERROR(INDEX(Raw_Risk_Profiles!$E:$E,MATCH(B93,Raw_Risk_Profiles!$A:$A,0)),"Unknown")</f>
        <v/>
      </c>
      <c r="L93" s="4">
        <f>IFERROR(XLOOKUP(A93,Raw_Alerts!$B:$B,Raw_Alerts!$A:$A),"No Alert")</f>
        <v/>
      </c>
      <c r="M93" s="4">
        <f>IFERROR(XLOOKUP(A93,Raw_Alerts!$B:$B,Raw_Alerts!$C:$C),"")</f>
        <v/>
      </c>
      <c r="N93" s="4">
        <f>IFERROR(XLOOKUP(A93,Raw_Alerts!$B:$B,Raw_Alerts!$D:$D),"")</f>
        <v/>
      </c>
      <c r="O93" s="4">
        <f>IFERROR(XLOOKUP(A93,Raw_Alerts!$B:$B,Raw_Alerts!$F:$F),"")</f>
        <v/>
      </c>
      <c r="P93" s="4">
        <f>IF(H93="Not Found","CRITICAL: No Risk Profile",IF(I93="Missing","WARN: Missing KYC",IF(I93="Expired","WARN: KYC Expired",IF(I93="Pending","INFO: KYC Pending","OK"))))</f>
        <v/>
      </c>
    </row>
    <row r="94">
      <c r="A94" s="2">
        <f>Raw_Transactions!A94</f>
        <v/>
      </c>
      <c r="B94" s="2">
        <f>Raw_Transactions!B94</f>
        <v/>
      </c>
      <c r="C94" s="2">
        <f>Raw_Transactions!C94</f>
        <v/>
      </c>
      <c r="D94" s="3">
        <f>Raw_Transactions!D94</f>
        <v/>
      </c>
      <c r="E94" s="2">
        <f>Raw_Transactions!E94</f>
        <v/>
      </c>
      <c r="F94" s="2">
        <f>Raw_Transactions!F94</f>
        <v/>
      </c>
      <c r="G94" s="2">
        <f>Raw_Transactions!G94</f>
        <v/>
      </c>
      <c r="H94" s="2">
        <f>XLOOKUP(B94,Raw_Risk_Profiles!$A:$A,Raw_Risk_Profiles!$B:$B,"Not Found")</f>
        <v/>
      </c>
      <c r="I94" s="2">
        <f>XLOOKUP(B94,Raw_Risk_Profiles!$A:$A,Raw_Risk_Profiles!$C:$C,"Missing")</f>
        <v/>
      </c>
      <c r="J94" s="2">
        <f>XLOOKUP(B94,Raw_Risk_Profiles!$A:$A,Raw_Risk_Profiles!$D:$D,"")</f>
        <v/>
      </c>
      <c r="K94" s="2">
        <f>IFERROR(INDEX(Raw_Risk_Profiles!$E:$E,MATCH(B94,Raw_Risk_Profiles!$A:$A,0)),"Unknown")</f>
        <v/>
      </c>
      <c r="L94" s="2">
        <f>IFERROR(XLOOKUP(A94,Raw_Alerts!$B:$B,Raw_Alerts!$A:$A),"No Alert")</f>
        <v/>
      </c>
      <c r="M94" s="2">
        <f>IFERROR(XLOOKUP(A94,Raw_Alerts!$B:$B,Raw_Alerts!$C:$C),"")</f>
        <v/>
      </c>
      <c r="N94" s="2">
        <f>IFERROR(XLOOKUP(A94,Raw_Alerts!$B:$B,Raw_Alerts!$D:$D),"")</f>
        <v/>
      </c>
      <c r="O94" s="2">
        <f>IFERROR(XLOOKUP(A94,Raw_Alerts!$B:$B,Raw_Alerts!$F:$F),"")</f>
        <v/>
      </c>
      <c r="P94" s="2">
        <f>IF(H94="Not Found","CRITICAL: No Risk Profile",IF(I94="Missing","WARN: Missing KYC",IF(I94="Expired","WARN: KYC Expired",IF(I94="Pending","INFO: KYC Pending","OK"))))</f>
        <v/>
      </c>
    </row>
    <row r="95">
      <c r="A95" s="4">
        <f>Raw_Transactions!A95</f>
        <v/>
      </c>
      <c r="B95" s="4">
        <f>Raw_Transactions!B95</f>
        <v/>
      </c>
      <c r="C95" s="4">
        <f>Raw_Transactions!C95</f>
        <v/>
      </c>
      <c r="D95" s="5">
        <f>Raw_Transactions!D95</f>
        <v/>
      </c>
      <c r="E95" s="4">
        <f>Raw_Transactions!E95</f>
        <v/>
      </c>
      <c r="F95" s="4">
        <f>Raw_Transactions!F95</f>
        <v/>
      </c>
      <c r="G95" s="4">
        <f>Raw_Transactions!G95</f>
        <v/>
      </c>
      <c r="H95" s="4">
        <f>XLOOKUP(B95,Raw_Risk_Profiles!$A:$A,Raw_Risk_Profiles!$B:$B,"Not Found")</f>
        <v/>
      </c>
      <c r="I95" s="4">
        <f>XLOOKUP(B95,Raw_Risk_Profiles!$A:$A,Raw_Risk_Profiles!$C:$C,"Missing")</f>
        <v/>
      </c>
      <c r="J95" s="4">
        <f>XLOOKUP(B95,Raw_Risk_Profiles!$A:$A,Raw_Risk_Profiles!$D:$D,"")</f>
        <v/>
      </c>
      <c r="K95" s="4">
        <f>IFERROR(INDEX(Raw_Risk_Profiles!$E:$E,MATCH(B95,Raw_Risk_Profiles!$A:$A,0)),"Unknown")</f>
        <v/>
      </c>
      <c r="L95" s="4">
        <f>IFERROR(XLOOKUP(A95,Raw_Alerts!$B:$B,Raw_Alerts!$A:$A),"No Alert")</f>
        <v/>
      </c>
      <c r="M95" s="4">
        <f>IFERROR(XLOOKUP(A95,Raw_Alerts!$B:$B,Raw_Alerts!$C:$C),"")</f>
        <v/>
      </c>
      <c r="N95" s="4">
        <f>IFERROR(XLOOKUP(A95,Raw_Alerts!$B:$B,Raw_Alerts!$D:$D),"")</f>
        <v/>
      </c>
      <c r="O95" s="4">
        <f>IFERROR(XLOOKUP(A95,Raw_Alerts!$B:$B,Raw_Alerts!$F:$F),"")</f>
        <v/>
      </c>
      <c r="P95" s="4">
        <f>IF(H95="Not Found","CRITICAL: No Risk Profile",IF(I95="Missing","WARN: Missing KYC",IF(I95="Expired","WARN: KYC Expired",IF(I95="Pending","INFO: KYC Pending","OK"))))</f>
        <v/>
      </c>
    </row>
    <row r="96">
      <c r="A96" s="2">
        <f>Raw_Transactions!A96</f>
        <v/>
      </c>
      <c r="B96" s="2">
        <f>Raw_Transactions!B96</f>
        <v/>
      </c>
      <c r="C96" s="2">
        <f>Raw_Transactions!C96</f>
        <v/>
      </c>
      <c r="D96" s="3">
        <f>Raw_Transactions!D96</f>
        <v/>
      </c>
      <c r="E96" s="2">
        <f>Raw_Transactions!E96</f>
        <v/>
      </c>
      <c r="F96" s="2">
        <f>Raw_Transactions!F96</f>
        <v/>
      </c>
      <c r="G96" s="2">
        <f>Raw_Transactions!G96</f>
        <v/>
      </c>
      <c r="H96" s="2">
        <f>XLOOKUP(B96,Raw_Risk_Profiles!$A:$A,Raw_Risk_Profiles!$B:$B,"Not Found")</f>
        <v/>
      </c>
      <c r="I96" s="2">
        <f>XLOOKUP(B96,Raw_Risk_Profiles!$A:$A,Raw_Risk_Profiles!$C:$C,"Missing")</f>
        <v/>
      </c>
      <c r="J96" s="2">
        <f>XLOOKUP(B96,Raw_Risk_Profiles!$A:$A,Raw_Risk_Profiles!$D:$D,"")</f>
        <v/>
      </c>
      <c r="K96" s="2">
        <f>IFERROR(INDEX(Raw_Risk_Profiles!$E:$E,MATCH(B96,Raw_Risk_Profiles!$A:$A,0)),"Unknown")</f>
        <v/>
      </c>
      <c r="L96" s="2">
        <f>IFERROR(XLOOKUP(A96,Raw_Alerts!$B:$B,Raw_Alerts!$A:$A),"No Alert")</f>
        <v/>
      </c>
      <c r="M96" s="2">
        <f>IFERROR(XLOOKUP(A96,Raw_Alerts!$B:$B,Raw_Alerts!$C:$C),"")</f>
        <v/>
      </c>
      <c r="N96" s="2">
        <f>IFERROR(XLOOKUP(A96,Raw_Alerts!$B:$B,Raw_Alerts!$D:$D),"")</f>
        <v/>
      </c>
      <c r="O96" s="2">
        <f>IFERROR(XLOOKUP(A96,Raw_Alerts!$B:$B,Raw_Alerts!$F:$F),"")</f>
        <v/>
      </c>
      <c r="P96" s="2">
        <f>IF(H96="Not Found","CRITICAL: No Risk Profile",IF(I96="Missing","WARN: Missing KYC",IF(I96="Expired","WARN: KYC Expired",IF(I96="Pending","INFO: KYC Pending","OK"))))</f>
        <v/>
      </c>
    </row>
    <row r="97">
      <c r="A97" s="4">
        <f>Raw_Transactions!A97</f>
        <v/>
      </c>
      <c r="B97" s="4">
        <f>Raw_Transactions!B97</f>
        <v/>
      </c>
      <c r="C97" s="4">
        <f>Raw_Transactions!C97</f>
        <v/>
      </c>
      <c r="D97" s="5">
        <f>Raw_Transactions!D97</f>
        <v/>
      </c>
      <c r="E97" s="4">
        <f>Raw_Transactions!E97</f>
        <v/>
      </c>
      <c r="F97" s="4">
        <f>Raw_Transactions!F97</f>
        <v/>
      </c>
      <c r="G97" s="4">
        <f>Raw_Transactions!G97</f>
        <v/>
      </c>
      <c r="H97" s="4">
        <f>XLOOKUP(B97,Raw_Risk_Profiles!$A:$A,Raw_Risk_Profiles!$B:$B,"Not Found")</f>
        <v/>
      </c>
      <c r="I97" s="4">
        <f>XLOOKUP(B97,Raw_Risk_Profiles!$A:$A,Raw_Risk_Profiles!$C:$C,"Missing")</f>
        <v/>
      </c>
      <c r="J97" s="4">
        <f>XLOOKUP(B97,Raw_Risk_Profiles!$A:$A,Raw_Risk_Profiles!$D:$D,"")</f>
        <v/>
      </c>
      <c r="K97" s="4">
        <f>IFERROR(INDEX(Raw_Risk_Profiles!$E:$E,MATCH(B97,Raw_Risk_Profiles!$A:$A,0)),"Unknown")</f>
        <v/>
      </c>
      <c r="L97" s="4">
        <f>IFERROR(XLOOKUP(A97,Raw_Alerts!$B:$B,Raw_Alerts!$A:$A),"No Alert")</f>
        <v/>
      </c>
      <c r="M97" s="4">
        <f>IFERROR(XLOOKUP(A97,Raw_Alerts!$B:$B,Raw_Alerts!$C:$C),"")</f>
        <v/>
      </c>
      <c r="N97" s="4">
        <f>IFERROR(XLOOKUP(A97,Raw_Alerts!$B:$B,Raw_Alerts!$D:$D),"")</f>
        <v/>
      </c>
      <c r="O97" s="4">
        <f>IFERROR(XLOOKUP(A97,Raw_Alerts!$B:$B,Raw_Alerts!$F:$F),"")</f>
        <v/>
      </c>
      <c r="P97" s="4">
        <f>IF(H97="Not Found","CRITICAL: No Risk Profile",IF(I97="Missing","WARN: Missing KYC",IF(I97="Expired","WARN: KYC Expired",IF(I97="Pending","INFO: KYC Pending","OK"))))</f>
        <v/>
      </c>
    </row>
    <row r="98">
      <c r="A98" s="2">
        <f>Raw_Transactions!A98</f>
        <v/>
      </c>
      <c r="B98" s="2">
        <f>Raw_Transactions!B98</f>
        <v/>
      </c>
      <c r="C98" s="2">
        <f>Raw_Transactions!C98</f>
        <v/>
      </c>
      <c r="D98" s="3">
        <f>Raw_Transactions!D98</f>
        <v/>
      </c>
      <c r="E98" s="2">
        <f>Raw_Transactions!E98</f>
        <v/>
      </c>
      <c r="F98" s="2">
        <f>Raw_Transactions!F98</f>
        <v/>
      </c>
      <c r="G98" s="2">
        <f>Raw_Transactions!G98</f>
        <v/>
      </c>
      <c r="H98" s="2">
        <f>XLOOKUP(B98,Raw_Risk_Profiles!$A:$A,Raw_Risk_Profiles!$B:$B,"Not Found")</f>
        <v/>
      </c>
      <c r="I98" s="2">
        <f>XLOOKUP(B98,Raw_Risk_Profiles!$A:$A,Raw_Risk_Profiles!$C:$C,"Missing")</f>
        <v/>
      </c>
      <c r="J98" s="2">
        <f>XLOOKUP(B98,Raw_Risk_Profiles!$A:$A,Raw_Risk_Profiles!$D:$D,"")</f>
        <v/>
      </c>
      <c r="K98" s="2">
        <f>IFERROR(INDEX(Raw_Risk_Profiles!$E:$E,MATCH(B98,Raw_Risk_Profiles!$A:$A,0)),"Unknown")</f>
        <v/>
      </c>
      <c r="L98" s="2">
        <f>IFERROR(XLOOKUP(A98,Raw_Alerts!$B:$B,Raw_Alerts!$A:$A),"No Alert")</f>
        <v/>
      </c>
      <c r="M98" s="2">
        <f>IFERROR(XLOOKUP(A98,Raw_Alerts!$B:$B,Raw_Alerts!$C:$C),"")</f>
        <v/>
      </c>
      <c r="N98" s="2">
        <f>IFERROR(XLOOKUP(A98,Raw_Alerts!$B:$B,Raw_Alerts!$D:$D),"")</f>
        <v/>
      </c>
      <c r="O98" s="2">
        <f>IFERROR(XLOOKUP(A98,Raw_Alerts!$B:$B,Raw_Alerts!$F:$F),"")</f>
        <v/>
      </c>
      <c r="P98" s="2">
        <f>IF(H98="Not Found","CRITICAL: No Risk Profile",IF(I98="Missing","WARN: Missing KYC",IF(I98="Expired","WARN: KYC Expired",IF(I98="Pending","INFO: KYC Pending","OK"))))</f>
        <v/>
      </c>
    </row>
    <row r="99">
      <c r="A99" s="4">
        <f>Raw_Transactions!A99</f>
        <v/>
      </c>
      <c r="B99" s="4">
        <f>Raw_Transactions!B99</f>
        <v/>
      </c>
      <c r="C99" s="4">
        <f>Raw_Transactions!C99</f>
        <v/>
      </c>
      <c r="D99" s="5">
        <f>Raw_Transactions!D99</f>
        <v/>
      </c>
      <c r="E99" s="4">
        <f>Raw_Transactions!E99</f>
        <v/>
      </c>
      <c r="F99" s="4">
        <f>Raw_Transactions!F99</f>
        <v/>
      </c>
      <c r="G99" s="4">
        <f>Raw_Transactions!G99</f>
        <v/>
      </c>
      <c r="H99" s="4">
        <f>XLOOKUP(B99,Raw_Risk_Profiles!$A:$A,Raw_Risk_Profiles!$B:$B,"Not Found")</f>
        <v/>
      </c>
      <c r="I99" s="4">
        <f>XLOOKUP(B99,Raw_Risk_Profiles!$A:$A,Raw_Risk_Profiles!$C:$C,"Missing")</f>
        <v/>
      </c>
      <c r="J99" s="4">
        <f>XLOOKUP(B99,Raw_Risk_Profiles!$A:$A,Raw_Risk_Profiles!$D:$D,"")</f>
        <v/>
      </c>
      <c r="K99" s="4">
        <f>IFERROR(INDEX(Raw_Risk_Profiles!$E:$E,MATCH(B99,Raw_Risk_Profiles!$A:$A,0)),"Unknown")</f>
        <v/>
      </c>
      <c r="L99" s="4">
        <f>IFERROR(XLOOKUP(A99,Raw_Alerts!$B:$B,Raw_Alerts!$A:$A),"No Alert")</f>
        <v/>
      </c>
      <c r="M99" s="4">
        <f>IFERROR(XLOOKUP(A99,Raw_Alerts!$B:$B,Raw_Alerts!$C:$C),"")</f>
        <v/>
      </c>
      <c r="N99" s="4">
        <f>IFERROR(XLOOKUP(A99,Raw_Alerts!$B:$B,Raw_Alerts!$D:$D),"")</f>
        <v/>
      </c>
      <c r="O99" s="4">
        <f>IFERROR(XLOOKUP(A99,Raw_Alerts!$B:$B,Raw_Alerts!$F:$F),"")</f>
        <v/>
      </c>
      <c r="P99" s="4">
        <f>IF(H99="Not Found","CRITICAL: No Risk Profile",IF(I99="Missing","WARN: Missing KYC",IF(I99="Expired","WARN: KYC Expired",IF(I99="Pending","INFO: KYC Pending","OK"))))</f>
        <v/>
      </c>
    </row>
    <row r="100">
      <c r="A100" s="2">
        <f>Raw_Transactions!A100</f>
        <v/>
      </c>
      <c r="B100" s="2">
        <f>Raw_Transactions!B100</f>
        <v/>
      </c>
      <c r="C100" s="2">
        <f>Raw_Transactions!C100</f>
        <v/>
      </c>
      <c r="D100" s="3">
        <f>Raw_Transactions!D100</f>
        <v/>
      </c>
      <c r="E100" s="2">
        <f>Raw_Transactions!E100</f>
        <v/>
      </c>
      <c r="F100" s="2">
        <f>Raw_Transactions!F100</f>
        <v/>
      </c>
      <c r="G100" s="2">
        <f>Raw_Transactions!G100</f>
        <v/>
      </c>
      <c r="H100" s="2">
        <f>XLOOKUP(B100,Raw_Risk_Profiles!$A:$A,Raw_Risk_Profiles!$B:$B,"Not Found")</f>
        <v/>
      </c>
      <c r="I100" s="2">
        <f>XLOOKUP(B100,Raw_Risk_Profiles!$A:$A,Raw_Risk_Profiles!$C:$C,"Missing")</f>
        <v/>
      </c>
      <c r="J100" s="2">
        <f>XLOOKUP(B100,Raw_Risk_Profiles!$A:$A,Raw_Risk_Profiles!$D:$D,"")</f>
        <v/>
      </c>
      <c r="K100" s="2">
        <f>IFERROR(INDEX(Raw_Risk_Profiles!$E:$E,MATCH(B100,Raw_Risk_Profiles!$A:$A,0)),"Unknown")</f>
        <v/>
      </c>
      <c r="L100" s="2">
        <f>IFERROR(XLOOKUP(A100,Raw_Alerts!$B:$B,Raw_Alerts!$A:$A),"No Alert")</f>
        <v/>
      </c>
      <c r="M100" s="2">
        <f>IFERROR(XLOOKUP(A100,Raw_Alerts!$B:$B,Raw_Alerts!$C:$C),"")</f>
        <v/>
      </c>
      <c r="N100" s="2">
        <f>IFERROR(XLOOKUP(A100,Raw_Alerts!$B:$B,Raw_Alerts!$D:$D),"")</f>
        <v/>
      </c>
      <c r="O100" s="2">
        <f>IFERROR(XLOOKUP(A100,Raw_Alerts!$B:$B,Raw_Alerts!$F:$F),"")</f>
        <v/>
      </c>
      <c r="P100" s="2">
        <f>IF(H100="Not Found","CRITICAL: No Risk Profile",IF(I100="Missing","WARN: Missing KYC",IF(I100="Expired","WARN: KYC Expired",IF(I100="Pending","INFO: KYC Pending","OK"))))</f>
        <v/>
      </c>
    </row>
    <row r="101">
      <c r="A101" s="4">
        <f>Raw_Transactions!A101</f>
        <v/>
      </c>
      <c r="B101" s="4">
        <f>Raw_Transactions!B101</f>
        <v/>
      </c>
      <c r="C101" s="4">
        <f>Raw_Transactions!C101</f>
        <v/>
      </c>
      <c r="D101" s="5">
        <f>Raw_Transactions!D101</f>
        <v/>
      </c>
      <c r="E101" s="4">
        <f>Raw_Transactions!E101</f>
        <v/>
      </c>
      <c r="F101" s="4">
        <f>Raw_Transactions!F101</f>
        <v/>
      </c>
      <c r="G101" s="4">
        <f>Raw_Transactions!G101</f>
        <v/>
      </c>
      <c r="H101" s="4">
        <f>XLOOKUP(B101,Raw_Risk_Profiles!$A:$A,Raw_Risk_Profiles!$B:$B,"Not Found")</f>
        <v/>
      </c>
      <c r="I101" s="4">
        <f>XLOOKUP(B101,Raw_Risk_Profiles!$A:$A,Raw_Risk_Profiles!$C:$C,"Missing")</f>
        <v/>
      </c>
      <c r="J101" s="4">
        <f>XLOOKUP(B101,Raw_Risk_Profiles!$A:$A,Raw_Risk_Profiles!$D:$D,"")</f>
        <v/>
      </c>
      <c r="K101" s="4">
        <f>IFERROR(INDEX(Raw_Risk_Profiles!$E:$E,MATCH(B101,Raw_Risk_Profiles!$A:$A,0)),"Unknown")</f>
        <v/>
      </c>
      <c r="L101" s="4">
        <f>IFERROR(XLOOKUP(A101,Raw_Alerts!$B:$B,Raw_Alerts!$A:$A),"No Alert")</f>
        <v/>
      </c>
      <c r="M101" s="4">
        <f>IFERROR(XLOOKUP(A101,Raw_Alerts!$B:$B,Raw_Alerts!$C:$C),"")</f>
        <v/>
      </c>
      <c r="N101" s="4">
        <f>IFERROR(XLOOKUP(A101,Raw_Alerts!$B:$B,Raw_Alerts!$D:$D),"")</f>
        <v/>
      </c>
      <c r="O101" s="4">
        <f>IFERROR(XLOOKUP(A101,Raw_Alerts!$B:$B,Raw_Alerts!$F:$F),"")</f>
        <v/>
      </c>
      <c r="P101" s="4">
        <f>IF(H101="Not Found","CRITICAL: No Risk Profile",IF(I101="Missing","WARN: Missing KYC",IF(I101="Expired","WARN: KYC Expired",IF(I101="Pending","INFO: KYC Pending","OK"))))</f>
        <v/>
      </c>
    </row>
    <row r="102">
      <c r="A102" s="2">
        <f>Raw_Transactions!A102</f>
        <v/>
      </c>
      <c r="B102" s="2">
        <f>Raw_Transactions!B102</f>
        <v/>
      </c>
      <c r="C102" s="2">
        <f>Raw_Transactions!C102</f>
        <v/>
      </c>
      <c r="D102" s="3">
        <f>Raw_Transactions!D102</f>
        <v/>
      </c>
      <c r="E102" s="2">
        <f>Raw_Transactions!E102</f>
        <v/>
      </c>
      <c r="F102" s="2">
        <f>Raw_Transactions!F102</f>
        <v/>
      </c>
      <c r="G102" s="2">
        <f>Raw_Transactions!G102</f>
        <v/>
      </c>
      <c r="H102" s="2">
        <f>XLOOKUP(B102,Raw_Risk_Profiles!$A:$A,Raw_Risk_Profiles!$B:$B,"Not Found")</f>
        <v/>
      </c>
      <c r="I102" s="2">
        <f>XLOOKUP(B102,Raw_Risk_Profiles!$A:$A,Raw_Risk_Profiles!$C:$C,"Missing")</f>
        <v/>
      </c>
      <c r="J102" s="2">
        <f>XLOOKUP(B102,Raw_Risk_Profiles!$A:$A,Raw_Risk_Profiles!$D:$D,"")</f>
        <v/>
      </c>
      <c r="K102" s="2">
        <f>IFERROR(INDEX(Raw_Risk_Profiles!$E:$E,MATCH(B102,Raw_Risk_Profiles!$A:$A,0)),"Unknown")</f>
        <v/>
      </c>
      <c r="L102" s="2">
        <f>IFERROR(XLOOKUP(A102,Raw_Alerts!$B:$B,Raw_Alerts!$A:$A),"No Alert")</f>
        <v/>
      </c>
      <c r="M102" s="2">
        <f>IFERROR(XLOOKUP(A102,Raw_Alerts!$B:$B,Raw_Alerts!$C:$C),"")</f>
        <v/>
      </c>
      <c r="N102" s="2">
        <f>IFERROR(XLOOKUP(A102,Raw_Alerts!$B:$B,Raw_Alerts!$D:$D),"")</f>
        <v/>
      </c>
      <c r="O102" s="2">
        <f>IFERROR(XLOOKUP(A102,Raw_Alerts!$B:$B,Raw_Alerts!$F:$F),"")</f>
        <v/>
      </c>
      <c r="P102" s="2">
        <f>IF(H102="Not Found","CRITICAL: No Risk Profile",IF(I102="Missing","WARN: Missing KYC",IF(I102="Expired","WARN: KYC Expired",IF(I102="Pending","INFO: KYC Pending","OK"))))</f>
        <v/>
      </c>
    </row>
    <row r="103">
      <c r="A103" s="4">
        <f>Raw_Transactions!A103</f>
        <v/>
      </c>
      <c r="B103" s="4">
        <f>Raw_Transactions!B103</f>
        <v/>
      </c>
      <c r="C103" s="4">
        <f>Raw_Transactions!C103</f>
        <v/>
      </c>
      <c r="D103" s="5">
        <f>Raw_Transactions!D103</f>
        <v/>
      </c>
      <c r="E103" s="4">
        <f>Raw_Transactions!E103</f>
        <v/>
      </c>
      <c r="F103" s="4">
        <f>Raw_Transactions!F103</f>
        <v/>
      </c>
      <c r="G103" s="4">
        <f>Raw_Transactions!G103</f>
        <v/>
      </c>
      <c r="H103" s="4">
        <f>XLOOKUP(B103,Raw_Risk_Profiles!$A:$A,Raw_Risk_Profiles!$B:$B,"Not Found")</f>
        <v/>
      </c>
      <c r="I103" s="4">
        <f>XLOOKUP(B103,Raw_Risk_Profiles!$A:$A,Raw_Risk_Profiles!$C:$C,"Missing")</f>
        <v/>
      </c>
      <c r="J103" s="4">
        <f>XLOOKUP(B103,Raw_Risk_Profiles!$A:$A,Raw_Risk_Profiles!$D:$D,"")</f>
        <v/>
      </c>
      <c r="K103" s="4">
        <f>IFERROR(INDEX(Raw_Risk_Profiles!$E:$E,MATCH(B103,Raw_Risk_Profiles!$A:$A,0)),"Unknown")</f>
        <v/>
      </c>
      <c r="L103" s="4">
        <f>IFERROR(XLOOKUP(A103,Raw_Alerts!$B:$B,Raw_Alerts!$A:$A),"No Alert")</f>
        <v/>
      </c>
      <c r="M103" s="4">
        <f>IFERROR(XLOOKUP(A103,Raw_Alerts!$B:$B,Raw_Alerts!$C:$C),"")</f>
        <v/>
      </c>
      <c r="N103" s="4">
        <f>IFERROR(XLOOKUP(A103,Raw_Alerts!$B:$B,Raw_Alerts!$D:$D),"")</f>
        <v/>
      </c>
      <c r="O103" s="4">
        <f>IFERROR(XLOOKUP(A103,Raw_Alerts!$B:$B,Raw_Alerts!$F:$F),"")</f>
        <v/>
      </c>
      <c r="P103" s="4">
        <f>IF(H103="Not Found","CRITICAL: No Risk Profile",IF(I103="Missing","WARN: Missing KYC",IF(I103="Expired","WARN: KYC Expired",IF(I103="Pending","INFO: KYC Pending","OK"))))</f>
        <v/>
      </c>
    </row>
    <row r="104">
      <c r="A104" s="2">
        <f>Raw_Transactions!A104</f>
        <v/>
      </c>
      <c r="B104" s="2">
        <f>Raw_Transactions!B104</f>
        <v/>
      </c>
      <c r="C104" s="2">
        <f>Raw_Transactions!C104</f>
        <v/>
      </c>
      <c r="D104" s="3">
        <f>Raw_Transactions!D104</f>
        <v/>
      </c>
      <c r="E104" s="2">
        <f>Raw_Transactions!E104</f>
        <v/>
      </c>
      <c r="F104" s="2">
        <f>Raw_Transactions!F104</f>
        <v/>
      </c>
      <c r="G104" s="2">
        <f>Raw_Transactions!G104</f>
        <v/>
      </c>
      <c r="H104" s="2">
        <f>XLOOKUP(B104,Raw_Risk_Profiles!$A:$A,Raw_Risk_Profiles!$B:$B,"Not Found")</f>
        <v/>
      </c>
      <c r="I104" s="2">
        <f>XLOOKUP(B104,Raw_Risk_Profiles!$A:$A,Raw_Risk_Profiles!$C:$C,"Missing")</f>
        <v/>
      </c>
      <c r="J104" s="2">
        <f>XLOOKUP(B104,Raw_Risk_Profiles!$A:$A,Raw_Risk_Profiles!$D:$D,"")</f>
        <v/>
      </c>
      <c r="K104" s="2">
        <f>IFERROR(INDEX(Raw_Risk_Profiles!$E:$E,MATCH(B104,Raw_Risk_Profiles!$A:$A,0)),"Unknown")</f>
        <v/>
      </c>
      <c r="L104" s="2">
        <f>IFERROR(XLOOKUP(A104,Raw_Alerts!$B:$B,Raw_Alerts!$A:$A),"No Alert")</f>
        <v/>
      </c>
      <c r="M104" s="2">
        <f>IFERROR(XLOOKUP(A104,Raw_Alerts!$B:$B,Raw_Alerts!$C:$C),"")</f>
        <v/>
      </c>
      <c r="N104" s="2">
        <f>IFERROR(XLOOKUP(A104,Raw_Alerts!$B:$B,Raw_Alerts!$D:$D),"")</f>
        <v/>
      </c>
      <c r="O104" s="2">
        <f>IFERROR(XLOOKUP(A104,Raw_Alerts!$B:$B,Raw_Alerts!$F:$F),"")</f>
        <v/>
      </c>
      <c r="P104" s="2">
        <f>IF(H104="Not Found","CRITICAL: No Risk Profile",IF(I104="Missing","WARN: Missing KYC",IF(I104="Expired","WARN: KYC Expired",IF(I104="Pending","INFO: KYC Pending","OK"))))</f>
        <v/>
      </c>
    </row>
    <row r="105">
      <c r="A105" s="4">
        <f>Raw_Transactions!A105</f>
        <v/>
      </c>
      <c r="B105" s="4">
        <f>Raw_Transactions!B105</f>
        <v/>
      </c>
      <c r="C105" s="4">
        <f>Raw_Transactions!C105</f>
        <v/>
      </c>
      <c r="D105" s="5">
        <f>Raw_Transactions!D105</f>
        <v/>
      </c>
      <c r="E105" s="4">
        <f>Raw_Transactions!E105</f>
        <v/>
      </c>
      <c r="F105" s="4">
        <f>Raw_Transactions!F105</f>
        <v/>
      </c>
      <c r="G105" s="4">
        <f>Raw_Transactions!G105</f>
        <v/>
      </c>
      <c r="H105" s="4">
        <f>XLOOKUP(B105,Raw_Risk_Profiles!$A:$A,Raw_Risk_Profiles!$B:$B,"Not Found")</f>
        <v/>
      </c>
      <c r="I105" s="4">
        <f>XLOOKUP(B105,Raw_Risk_Profiles!$A:$A,Raw_Risk_Profiles!$C:$C,"Missing")</f>
        <v/>
      </c>
      <c r="J105" s="4">
        <f>XLOOKUP(B105,Raw_Risk_Profiles!$A:$A,Raw_Risk_Profiles!$D:$D,"")</f>
        <v/>
      </c>
      <c r="K105" s="4">
        <f>IFERROR(INDEX(Raw_Risk_Profiles!$E:$E,MATCH(B105,Raw_Risk_Profiles!$A:$A,0)),"Unknown")</f>
        <v/>
      </c>
      <c r="L105" s="4">
        <f>IFERROR(XLOOKUP(A105,Raw_Alerts!$B:$B,Raw_Alerts!$A:$A),"No Alert")</f>
        <v/>
      </c>
      <c r="M105" s="4">
        <f>IFERROR(XLOOKUP(A105,Raw_Alerts!$B:$B,Raw_Alerts!$C:$C),"")</f>
        <v/>
      </c>
      <c r="N105" s="4">
        <f>IFERROR(XLOOKUP(A105,Raw_Alerts!$B:$B,Raw_Alerts!$D:$D),"")</f>
        <v/>
      </c>
      <c r="O105" s="4">
        <f>IFERROR(XLOOKUP(A105,Raw_Alerts!$B:$B,Raw_Alerts!$F:$F),"")</f>
        <v/>
      </c>
      <c r="P105" s="4">
        <f>IF(H105="Not Found","CRITICAL: No Risk Profile",IF(I105="Missing","WARN: Missing KYC",IF(I105="Expired","WARN: KYC Expired",IF(I105="Pending","INFO: KYC Pending","OK"))))</f>
        <v/>
      </c>
    </row>
    <row r="106">
      <c r="A106" s="2">
        <f>Raw_Transactions!A106</f>
        <v/>
      </c>
      <c r="B106" s="2">
        <f>Raw_Transactions!B106</f>
        <v/>
      </c>
      <c r="C106" s="2">
        <f>Raw_Transactions!C106</f>
        <v/>
      </c>
      <c r="D106" s="3">
        <f>Raw_Transactions!D106</f>
        <v/>
      </c>
      <c r="E106" s="2">
        <f>Raw_Transactions!E106</f>
        <v/>
      </c>
      <c r="F106" s="2">
        <f>Raw_Transactions!F106</f>
        <v/>
      </c>
      <c r="G106" s="2">
        <f>Raw_Transactions!G106</f>
        <v/>
      </c>
      <c r="H106" s="2">
        <f>XLOOKUP(B106,Raw_Risk_Profiles!$A:$A,Raw_Risk_Profiles!$B:$B,"Not Found")</f>
        <v/>
      </c>
      <c r="I106" s="2">
        <f>XLOOKUP(B106,Raw_Risk_Profiles!$A:$A,Raw_Risk_Profiles!$C:$C,"Missing")</f>
        <v/>
      </c>
      <c r="J106" s="2">
        <f>XLOOKUP(B106,Raw_Risk_Profiles!$A:$A,Raw_Risk_Profiles!$D:$D,"")</f>
        <v/>
      </c>
      <c r="K106" s="2">
        <f>IFERROR(INDEX(Raw_Risk_Profiles!$E:$E,MATCH(B106,Raw_Risk_Profiles!$A:$A,0)),"Unknown")</f>
        <v/>
      </c>
      <c r="L106" s="2">
        <f>IFERROR(XLOOKUP(A106,Raw_Alerts!$B:$B,Raw_Alerts!$A:$A),"No Alert")</f>
        <v/>
      </c>
      <c r="M106" s="2">
        <f>IFERROR(XLOOKUP(A106,Raw_Alerts!$B:$B,Raw_Alerts!$C:$C),"")</f>
        <v/>
      </c>
      <c r="N106" s="2">
        <f>IFERROR(XLOOKUP(A106,Raw_Alerts!$B:$B,Raw_Alerts!$D:$D),"")</f>
        <v/>
      </c>
      <c r="O106" s="2">
        <f>IFERROR(XLOOKUP(A106,Raw_Alerts!$B:$B,Raw_Alerts!$F:$F),"")</f>
        <v/>
      </c>
      <c r="P106" s="2">
        <f>IF(H106="Not Found","CRITICAL: No Risk Profile",IF(I106="Missing","WARN: Missing KYC",IF(I106="Expired","WARN: KYC Expired",IF(I106="Pending","INFO: KYC Pending","OK"))))</f>
        <v/>
      </c>
    </row>
    <row r="107">
      <c r="A107" s="4">
        <f>Raw_Transactions!A107</f>
        <v/>
      </c>
      <c r="B107" s="4">
        <f>Raw_Transactions!B107</f>
        <v/>
      </c>
      <c r="C107" s="4">
        <f>Raw_Transactions!C107</f>
        <v/>
      </c>
      <c r="D107" s="5">
        <f>Raw_Transactions!D107</f>
        <v/>
      </c>
      <c r="E107" s="4">
        <f>Raw_Transactions!E107</f>
        <v/>
      </c>
      <c r="F107" s="4">
        <f>Raw_Transactions!F107</f>
        <v/>
      </c>
      <c r="G107" s="4">
        <f>Raw_Transactions!G107</f>
        <v/>
      </c>
      <c r="H107" s="4">
        <f>XLOOKUP(B107,Raw_Risk_Profiles!$A:$A,Raw_Risk_Profiles!$B:$B,"Not Found")</f>
        <v/>
      </c>
      <c r="I107" s="4">
        <f>XLOOKUP(B107,Raw_Risk_Profiles!$A:$A,Raw_Risk_Profiles!$C:$C,"Missing")</f>
        <v/>
      </c>
      <c r="J107" s="4">
        <f>XLOOKUP(B107,Raw_Risk_Profiles!$A:$A,Raw_Risk_Profiles!$D:$D,"")</f>
        <v/>
      </c>
      <c r="K107" s="4">
        <f>IFERROR(INDEX(Raw_Risk_Profiles!$E:$E,MATCH(B107,Raw_Risk_Profiles!$A:$A,0)),"Unknown")</f>
        <v/>
      </c>
      <c r="L107" s="4">
        <f>IFERROR(XLOOKUP(A107,Raw_Alerts!$B:$B,Raw_Alerts!$A:$A),"No Alert")</f>
        <v/>
      </c>
      <c r="M107" s="4">
        <f>IFERROR(XLOOKUP(A107,Raw_Alerts!$B:$B,Raw_Alerts!$C:$C),"")</f>
        <v/>
      </c>
      <c r="N107" s="4">
        <f>IFERROR(XLOOKUP(A107,Raw_Alerts!$B:$B,Raw_Alerts!$D:$D),"")</f>
        <v/>
      </c>
      <c r="O107" s="4">
        <f>IFERROR(XLOOKUP(A107,Raw_Alerts!$B:$B,Raw_Alerts!$F:$F),"")</f>
        <v/>
      </c>
      <c r="P107" s="4">
        <f>IF(H107="Not Found","CRITICAL: No Risk Profile",IF(I107="Missing","WARN: Missing KYC",IF(I107="Expired","WARN: KYC Expired",IF(I107="Pending","INFO: KYC Pending","OK"))))</f>
        <v/>
      </c>
    </row>
    <row r="108">
      <c r="A108" s="2">
        <f>Raw_Transactions!A108</f>
        <v/>
      </c>
      <c r="B108" s="2">
        <f>Raw_Transactions!B108</f>
        <v/>
      </c>
      <c r="C108" s="2">
        <f>Raw_Transactions!C108</f>
        <v/>
      </c>
      <c r="D108" s="3">
        <f>Raw_Transactions!D108</f>
        <v/>
      </c>
      <c r="E108" s="2">
        <f>Raw_Transactions!E108</f>
        <v/>
      </c>
      <c r="F108" s="2">
        <f>Raw_Transactions!F108</f>
        <v/>
      </c>
      <c r="G108" s="2">
        <f>Raw_Transactions!G108</f>
        <v/>
      </c>
      <c r="H108" s="2">
        <f>XLOOKUP(B108,Raw_Risk_Profiles!$A:$A,Raw_Risk_Profiles!$B:$B,"Not Found")</f>
        <v/>
      </c>
      <c r="I108" s="2">
        <f>XLOOKUP(B108,Raw_Risk_Profiles!$A:$A,Raw_Risk_Profiles!$C:$C,"Missing")</f>
        <v/>
      </c>
      <c r="J108" s="2">
        <f>XLOOKUP(B108,Raw_Risk_Profiles!$A:$A,Raw_Risk_Profiles!$D:$D,"")</f>
        <v/>
      </c>
      <c r="K108" s="2">
        <f>IFERROR(INDEX(Raw_Risk_Profiles!$E:$E,MATCH(B108,Raw_Risk_Profiles!$A:$A,0)),"Unknown")</f>
        <v/>
      </c>
      <c r="L108" s="2">
        <f>IFERROR(XLOOKUP(A108,Raw_Alerts!$B:$B,Raw_Alerts!$A:$A),"No Alert")</f>
        <v/>
      </c>
      <c r="M108" s="2">
        <f>IFERROR(XLOOKUP(A108,Raw_Alerts!$B:$B,Raw_Alerts!$C:$C),"")</f>
        <v/>
      </c>
      <c r="N108" s="2">
        <f>IFERROR(XLOOKUP(A108,Raw_Alerts!$B:$B,Raw_Alerts!$D:$D),"")</f>
        <v/>
      </c>
      <c r="O108" s="2">
        <f>IFERROR(XLOOKUP(A108,Raw_Alerts!$B:$B,Raw_Alerts!$F:$F),"")</f>
        <v/>
      </c>
      <c r="P108" s="2">
        <f>IF(H108="Not Found","CRITICAL: No Risk Profile",IF(I108="Missing","WARN: Missing KYC",IF(I108="Expired","WARN: KYC Expired",IF(I108="Pending","INFO: KYC Pending","OK"))))</f>
        <v/>
      </c>
    </row>
    <row r="109">
      <c r="A109" s="4">
        <f>Raw_Transactions!A109</f>
        <v/>
      </c>
      <c r="B109" s="4">
        <f>Raw_Transactions!B109</f>
        <v/>
      </c>
      <c r="C109" s="4">
        <f>Raw_Transactions!C109</f>
        <v/>
      </c>
      <c r="D109" s="5">
        <f>Raw_Transactions!D109</f>
        <v/>
      </c>
      <c r="E109" s="4">
        <f>Raw_Transactions!E109</f>
        <v/>
      </c>
      <c r="F109" s="4">
        <f>Raw_Transactions!F109</f>
        <v/>
      </c>
      <c r="G109" s="4">
        <f>Raw_Transactions!G109</f>
        <v/>
      </c>
      <c r="H109" s="4">
        <f>XLOOKUP(B109,Raw_Risk_Profiles!$A:$A,Raw_Risk_Profiles!$B:$B,"Not Found")</f>
        <v/>
      </c>
      <c r="I109" s="4">
        <f>XLOOKUP(B109,Raw_Risk_Profiles!$A:$A,Raw_Risk_Profiles!$C:$C,"Missing")</f>
        <v/>
      </c>
      <c r="J109" s="4">
        <f>XLOOKUP(B109,Raw_Risk_Profiles!$A:$A,Raw_Risk_Profiles!$D:$D,"")</f>
        <v/>
      </c>
      <c r="K109" s="4">
        <f>IFERROR(INDEX(Raw_Risk_Profiles!$E:$E,MATCH(B109,Raw_Risk_Profiles!$A:$A,0)),"Unknown")</f>
        <v/>
      </c>
      <c r="L109" s="4">
        <f>IFERROR(XLOOKUP(A109,Raw_Alerts!$B:$B,Raw_Alerts!$A:$A),"No Alert")</f>
        <v/>
      </c>
      <c r="M109" s="4">
        <f>IFERROR(XLOOKUP(A109,Raw_Alerts!$B:$B,Raw_Alerts!$C:$C),"")</f>
        <v/>
      </c>
      <c r="N109" s="4">
        <f>IFERROR(XLOOKUP(A109,Raw_Alerts!$B:$B,Raw_Alerts!$D:$D),"")</f>
        <v/>
      </c>
      <c r="O109" s="4">
        <f>IFERROR(XLOOKUP(A109,Raw_Alerts!$B:$B,Raw_Alerts!$F:$F),"")</f>
        <v/>
      </c>
      <c r="P109" s="4">
        <f>IF(H109="Not Found","CRITICAL: No Risk Profile",IF(I109="Missing","WARN: Missing KYC",IF(I109="Expired","WARN: KYC Expired",IF(I109="Pending","INFO: KYC Pending","OK"))))</f>
        <v/>
      </c>
    </row>
    <row r="110">
      <c r="A110" s="2">
        <f>Raw_Transactions!A110</f>
        <v/>
      </c>
      <c r="B110" s="2">
        <f>Raw_Transactions!B110</f>
        <v/>
      </c>
      <c r="C110" s="2">
        <f>Raw_Transactions!C110</f>
        <v/>
      </c>
      <c r="D110" s="3">
        <f>Raw_Transactions!D110</f>
        <v/>
      </c>
      <c r="E110" s="2">
        <f>Raw_Transactions!E110</f>
        <v/>
      </c>
      <c r="F110" s="2">
        <f>Raw_Transactions!F110</f>
        <v/>
      </c>
      <c r="G110" s="2">
        <f>Raw_Transactions!G110</f>
        <v/>
      </c>
      <c r="H110" s="2">
        <f>XLOOKUP(B110,Raw_Risk_Profiles!$A:$A,Raw_Risk_Profiles!$B:$B,"Not Found")</f>
        <v/>
      </c>
      <c r="I110" s="2">
        <f>XLOOKUP(B110,Raw_Risk_Profiles!$A:$A,Raw_Risk_Profiles!$C:$C,"Missing")</f>
        <v/>
      </c>
      <c r="J110" s="2">
        <f>XLOOKUP(B110,Raw_Risk_Profiles!$A:$A,Raw_Risk_Profiles!$D:$D,"")</f>
        <v/>
      </c>
      <c r="K110" s="2">
        <f>IFERROR(INDEX(Raw_Risk_Profiles!$E:$E,MATCH(B110,Raw_Risk_Profiles!$A:$A,0)),"Unknown")</f>
        <v/>
      </c>
      <c r="L110" s="2">
        <f>IFERROR(XLOOKUP(A110,Raw_Alerts!$B:$B,Raw_Alerts!$A:$A),"No Alert")</f>
        <v/>
      </c>
      <c r="M110" s="2">
        <f>IFERROR(XLOOKUP(A110,Raw_Alerts!$B:$B,Raw_Alerts!$C:$C),"")</f>
        <v/>
      </c>
      <c r="N110" s="2">
        <f>IFERROR(XLOOKUP(A110,Raw_Alerts!$B:$B,Raw_Alerts!$D:$D),"")</f>
        <v/>
      </c>
      <c r="O110" s="2">
        <f>IFERROR(XLOOKUP(A110,Raw_Alerts!$B:$B,Raw_Alerts!$F:$F),"")</f>
        <v/>
      </c>
      <c r="P110" s="2">
        <f>IF(H110="Not Found","CRITICAL: No Risk Profile",IF(I110="Missing","WARN: Missing KYC",IF(I110="Expired","WARN: KYC Expired",IF(I110="Pending","INFO: KYC Pending","OK"))))</f>
        <v/>
      </c>
    </row>
    <row r="111">
      <c r="A111" s="4">
        <f>Raw_Transactions!A111</f>
        <v/>
      </c>
      <c r="B111" s="4">
        <f>Raw_Transactions!B111</f>
        <v/>
      </c>
      <c r="C111" s="4">
        <f>Raw_Transactions!C111</f>
        <v/>
      </c>
      <c r="D111" s="5">
        <f>Raw_Transactions!D111</f>
        <v/>
      </c>
      <c r="E111" s="4">
        <f>Raw_Transactions!E111</f>
        <v/>
      </c>
      <c r="F111" s="4">
        <f>Raw_Transactions!F111</f>
        <v/>
      </c>
      <c r="G111" s="4">
        <f>Raw_Transactions!G111</f>
        <v/>
      </c>
      <c r="H111" s="4">
        <f>XLOOKUP(B111,Raw_Risk_Profiles!$A:$A,Raw_Risk_Profiles!$B:$B,"Not Found")</f>
        <v/>
      </c>
      <c r="I111" s="4">
        <f>XLOOKUP(B111,Raw_Risk_Profiles!$A:$A,Raw_Risk_Profiles!$C:$C,"Missing")</f>
        <v/>
      </c>
      <c r="J111" s="4">
        <f>XLOOKUP(B111,Raw_Risk_Profiles!$A:$A,Raw_Risk_Profiles!$D:$D,"")</f>
        <v/>
      </c>
      <c r="K111" s="4">
        <f>IFERROR(INDEX(Raw_Risk_Profiles!$E:$E,MATCH(B111,Raw_Risk_Profiles!$A:$A,0)),"Unknown")</f>
        <v/>
      </c>
      <c r="L111" s="4">
        <f>IFERROR(XLOOKUP(A111,Raw_Alerts!$B:$B,Raw_Alerts!$A:$A),"No Alert")</f>
        <v/>
      </c>
      <c r="M111" s="4">
        <f>IFERROR(XLOOKUP(A111,Raw_Alerts!$B:$B,Raw_Alerts!$C:$C),"")</f>
        <v/>
      </c>
      <c r="N111" s="4">
        <f>IFERROR(XLOOKUP(A111,Raw_Alerts!$B:$B,Raw_Alerts!$D:$D),"")</f>
        <v/>
      </c>
      <c r="O111" s="4">
        <f>IFERROR(XLOOKUP(A111,Raw_Alerts!$B:$B,Raw_Alerts!$F:$F),"")</f>
        <v/>
      </c>
      <c r="P111" s="4">
        <f>IF(H111="Not Found","CRITICAL: No Risk Profile",IF(I111="Missing","WARN: Missing KYC",IF(I111="Expired","WARN: KYC Expired",IF(I111="Pending","INFO: KYC Pending","OK"))))</f>
        <v/>
      </c>
    </row>
    <row r="112">
      <c r="A112" s="2">
        <f>Raw_Transactions!A112</f>
        <v/>
      </c>
      <c r="B112" s="2">
        <f>Raw_Transactions!B112</f>
        <v/>
      </c>
      <c r="C112" s="2">
        <f>Raw_Transactions!C112</f>
        <v/>
      </c>
      <c r="D112" s="3">
        <f>Raw_Transactions!D112</f>
        <v/>
      </c>
      <c r="E112" s="2">
        <f>Raw_Transactions!E112</f>
        <v/>
      </c>
      <c r="F112" s="2">
        <f>Raw_Transactions!F112</f>
        <v/>
      </c>
      <c r="G112" s="2">
        <f>Raw_Transactions!G112</f>
        <v/>
      </c>
      <c r="H112" s="2">
        <f>XLOOKUP(B112,Raw_Risk_Profiles!$A:$A,Raw_Risk_Profiles!$B:$B,"Not Found")</f>
        <v/>
      </c>
      <c r="I112" s="2">
        <f>XLOOKUP(B112,Raw_Risk_Profiles!$A:$A,Raw_Risk_Profiles!$C:$C,"Missing")</f>
        <v/>
      </c>
      <c r="J112" s="2">
        <f>XLOOKUP(B112,Raw_Risk_Profiles!$A:$A,Raw_Risk_Profiles!$D:$D,"")</f>
        <v/>
      </c>
      <c r="K112" s="2">
        <f>IFERROR(INDEX(Raw_Risk_Profiles!$E:$E,MATCH(B112,Raw_Risk_Profiles!$A:$A,0)),"Unknown")</f>
        <v/>
      </c>
      <c r="L112" s="2">
        <f>IFERROR(XLOOKUP(A112,Raw_Alerts!$B:$B,Raw_Alerts!$A:$A),"No Alert")</f>
        <v/>
      </c>
      <c r="M112" s="2">
        <f>IFERROR(XLOOKUP(A112,Raw_Alerts!$B:$B,Raw_Alerts!$C:$C),"")</f>
        <v/>
      </c>
      <c r="N112" s="2">
        <f>IFERROR(XLOOKUP(A112,Raw_Alerts!$B:$B,Raw_Alerts!$D:$D),"")</f>
        <v/>
      </c>
      <c r="O112" s="2">
        <f>IFERROR(XLOOKUP(A112,Raw_Alerts!$B:$B,Raw_Alerts!$F:$F),"")</f>
        <v/>
      </c>
      <c r="P112" s="2">
        <f>IF(H112="Not Found","CRITICAL: No Risk Profile",IF(I112="Missing","WARN: Missing KYC",IF(I112="Expired","WARN: KYC Expired",IF(I112="Pending","INFO: KYC Pending","OK"))))</f>
        <v/>
      </c>
    </row>
    <row r="113">
      <c r="A113" s="4">
        <f>Raw_Transactions!A113</f>
        <v/>
      </c>
      <c r="B113" s="4">
        <f>Raw_Transactions!B113</f>
        <v/>
      </c>
      <c r="C113" s="4">
        <f>Raw_Transactions!C113</f>
        <v/>
      </c>
      <c r="D113" s="5">
        <f>Raw_Transactions!D113</f>
        <v/>
      </c>
      <c r="E113" s="4">
        <f>Raw_Transactions!E113</f>
        <v/>
      </c>
      <c r="F113" s="4">
        <f>Raw_Transactions!F113</f>
        <v/>
      </c>
      <c r="G113" s="4">
        <f>Raw_Transactions!G113</f>
        <v/>
      </c>
      <c r="H113" s="4">
        <f>XLOOKUP(B113,Raw_Risk_Profiles!$A:$A,Raw_Risk_Profiles!$B:$B,"Not Found")</f>
        <v/>
      </c>
      <c r="I113" s="4">
        <f>XLOOKUP(B113,Raw_Risk_Profiles!$A:$A,Raw_Risk_Profiles!$C:$C,"Missing")</f>
        <v/>
      </c>
      <c r="J113" s="4">
        <f>XLOOKUP(B113,Raw_Risk_Profiles!$A:$A,Raw_Risk_Profiles!$D:$D,"")</f>
        <v/>
      </c>
      <c r="K113" s="4">
        <f>IFERROR(INDEX(Raw_Risk_Profiles!$E:$E,MATCH(B113,Raw_Risk_Profiles!$A:$A,0)),"Unknown")</f>
        <v/>
      </c>
      <c r="L113" s="4">
        <f>IFERROR(XLOOKUP(A113,Raw_Alerts!$B:$B,Raw_Alerts!$A:$A),"No Alert")</f>
        <v/>
      </c>
      <c r="M113" s="4">
        <f>IFERROR(XLOOKUP(A113,Raw_Alerts!$B:$B,Raw_Alerts!$C:$C),"")</f>
        <v/>
      </c>
      <c r="N113" s="4">
        <f>IFERROR(XLOOKUP(A113,Raw_Alerts!$B:$B,Raw_Alerts!$D:$D),"")</f>
        <v/>
      </c>
      <c r="O113" s="4">
        <f>IFERROR(XLOOKUP(A113,Raw_Alerts!$B:$B,Raw_Alerts!$F:$F),"")</f>
        <v/>
      </c>
      <c r="P113" s="4">
        <f>IF(H113="Not Found","CRITICAL: No Risk Profile",IF(I113="Missing","WARN: Missing KYC",IF(I113="Expired","WARN: KYC Expired",IF(I113="Pending","INFO: KYC Pending","OK"))))</f>
        <v/>
      </c>
    </row>
    <row r="114">
      <c r="A114" s="2">
        <f>Raw_Transactions!A114</f>
        <v/>
      </c>
      <c r="B114" s="2">
        <f>Raw_Transactions!B114</f>
        <v/>
      </c>
      <c r="C114" s="2">
        <f>Raw_Transactions!C114</f>
        <v/>
      </c>
      <c r="D114" s="3">
        <f>Raw_Transactions!D114</f>
        <v/>
      </c>
      <c r="E114" s="2">
        <f>Raw_Transactions!E114</f>
        <v/>
      </c>
      <c r="F114" s="2">
        <f>Raw_Transactions!F114</f>
        <v/>
      </c>
      <c r="G114" s="2">
        <f>Raw_Transactions!G114</f>
        <v/>
      </c>
      <c r="H114" s="2">
        <f>XLOOKUP(B114,Raw_Risk_Profiles!$A:$A,Raw_Risk_Profiles!$B:$B,"Not Found")</f>
        <v/>
      </c>
      <c r="I114" s="2">
        <f>XLOOKUP(B114,Raw_Risk_Profiles!$A:$A,Raw_Risk_Profiles!$C:$C,"Missing")</f>
        <v/>
      </c>
      <c r="J114" s="2">
        <f>XLOOKUP(B114,Raw_Risk_Profiles!$A:$A,Raw_Risk_Profiles!$D:$D,"")</f>
        <v/>
      </c>
      <c r="K114" s="2">
        <f>IFERROR(INDEX(Raw_Risk_Profiles!$E:$E,MATCH(B114,Raw_Risk_Profiles!$A:$A,0)),"Unknown")</f>
        <v/>
      </c>
      <c r="L114" s="2">
        <f>IFERROR(XLOOKUP(A114,Raw_Alerts!$B:$B,Raw_Alerts!$A:$A),"No Alert")</f>
        <v/>
      </c>
      <c r="M114" s="2">
        <f>IFERROR(XLOOKUP(A114,Raw_Alerts!$B:$B,Raw_Alerts!$C:$C),"")</f>
        <v/>
      </c>
      <c r="N114" s="2">
        <f>IFERROR(XLOOKUP(A114,Raw_Alerts!$B:$B,Raw_Alerts!$D:$D),"")</f>
        <v/>
      </c>
      <c r="O114" s="2">
        <f>IFERROR(XLOOKUP(A114,Raw_Alerts!$B:$B,Raw_Alerts!$F:$F),"")</f>
        <v/>
      </c>
      <c r="P114" s="2">
        <f>IF(H114="Not Found","CRITICAL: No Risk Profile",IF(I114="Missing","WARN: Missing KYC",IF(I114="Expired","WARN: KYC Expired",IF(I114="Pending","INFO: KYC Pending","OK"))))</f>
        <v/>
      </c>
    </row>
    <row r="115">
      <c r="A115" s="4">
        <f>Raw_Transactions!A115</f>
        <v/>
      </c>
      <c r="B115" s="4">
        <f>Raw_Transactions!B115</f>
        <v/>
      </c>
      <c r="C115" s="4">
        <f>Raw_Transactions!C115</f>
        <v/>
      </c>
      <c r="D115" s="5">
        <f>Raw_Transactions!D115</f>
        <v/>
      </c>
      <c r="E115" s="4">
        <f>Raw_Transactions!E115</f>
        <v/>
      </c>
      <c r="F115" s="4">
        <f>Raw_Transactions!F115</f>
        <v/>
      </c>
      <c r="G115" s="4">
        <f>Raw_Transactions!G115</f>
        <v/>
      </c>
      <c r="H115" s="4">
        <f>XLOOKUP(B115,Raw_Risk_Profiles!$A:$A,Raw_Risk_Profiles!$B:$B,"Not Found")</f>
        <v/>
      </c>
      <c r="I115" s="4">
        <f>XLOOKUP(B115,Raw_Risk_Profiles!$A:$A,Raw_Risk_Profiles!$C:$C,"Missing")</f>
        <v/>
      </c>
      <c r="J115" s="4">
        <f>XLOOKUP(B115,Raw_Risk_Profiles!$A:$A,Raw_Risk_Profiles!$D:$D,"")</f>
        <v/>
      </c>
      <c r="K115" s="4">
        <f>IFERROR(INDEX(Raw_Risk_Profiles!$E:$E,MATCH(B115,Raw_Risk_Profiles!$A:$A,0)),"Unknown")</f>
        <v/>
      </c>
      <c r="L115" s="4">
        <f>IFERROR(XLOOKUP(A115,Raw_Alerts!$B:$B,Raw_Alerts!$A:$A),"No Alert")</f>
        <v/>
      </c>
      <c r="M115" s="4">
        <f>IFERROR(XLOOKUP(A115,Raw_Alerts!$B:$B,Raw_Alerts!$C:$C),"")</f>
        <v/>
      </c>
      <c r="N115" s="4">
        <f>IFERROR(XLOOKUP(A115,Raw_Alerts!$B:$B,Raw_Alerts!$D:$D),"")</f>
        <v/>
      </c>
      <c r="O115" s="4">
        <f>IFERROR(XLOOKUP(A115,Raw_Alerts!$B:$B,Raw_Alerts!$F:$F),"")</f>
        <v/>
      </c>
      <c r="P115" s="4">
        <f>IF(H115="Not Found","CRITICAL: No Risk Profile",IF(I115="Missing","WARN: Missing KYC",IF(I115="Expired","WARN: KYC Expired",IF(I115="Pending","INFO: KYC Pending","OK"))))</f>
        <v/>
      </c>
    </row>
    <row r="116">
      <c r="A116" s="2">
        <f>Raw_Transactions!A116</f>
        <v/>
      </c>
      <c r="B116" s="2">
        <f>Raw_Transactions!B116</f>
        <v/>
      </c>
      <c r="C116" s="2">
        <f>Raw_Transactions!C116</f>
        <v/>
      </c>
      <c r="D116" s="3">
        <f>Raw_Transactions!D116</f>
        <v/>
      </c>
      <c r="E116" s="2">
        <f>Raw_Transactions!E116</f>
        <v/>
      </c>
      <c r="F116" s="2">
        <f>Raw_Transactions!F116</f>
        <v/>
      </c>
      <c r="G116" s="2">
        <f>Raw_Transactions!G116</f>
        <v/>
      </c>
      <c r="H116" s="2">
        <f>XLOOKUP(B116,Raw_Risk_Profiles!$A:$A,Raw_Risk_Profiles!$B:$B,"Not Found")</f>
        <v/>
      </c>
      <c r="I116" s="2">
        <f>XLOOKUP(B116,Raw_Risk_Profiles!$A:$A,Raw_Risk_Profiles!$C:$C,"Missing")</f>
        <v/>
      </c>
      <c r="J116" s="2">
        <f>XLOOKUP(B116,Raw_Risk_Profiles!$A:$A,Raw_Risk_Profiles!$D:$D,"")</f>
        <v/>
      </c>
      <c r="K116" s="2">
        <f>IFERROR(INDEX(Raw_Risk_Profiles!$E:$E,MATCH(B116,Raw_Risk_Profiles!$A:$A,0)),"Unknown")</f>
        <v/>
      </c>
      <c r="L116" s="2">
        <f>IFERROR(XLOOKUP(A116,Raw_Alerts!$B:$B,Raw_Alerts!$A:$A),"No Alert")</f>
        <v/>
      </c>
      <c r="M116" s="2">
        <f>IFERROR(XLOOKUP(A116,Raw_Alerts!$B:$B,Raw_Alerts!$C:$C),"")</f>
        <v/>
      </c>
      <c r="N116" s="2">
        <f>IFERROR(XLOOKUP(A116,Raw_Alerts!$B:$B,Raw_Alerts!$D:$D),"")</f>
        <v/>
      </c>
      <c r="O116" s="2">
        <f>IFERROR(XLOOKUP(A116,Raw_Alerts!$B:$B,Raw_Alerts!$F:$F),"")</f>
        <v/>
      </c>
      <c r="P116" s="2">
        <f>IF(H116="Not Found","CRITICAL: No Risk Profile",IF(I116="Missing","WARN: Missing KYC",IF(I116="Expired","WARN: KYC Expired",IF(I116="Pending","INFO: KYC Pending","OK"))))</f>
        <v/>
      </c>
    </row>
    <row r="117">
      <c r="A117" s="4">
        <f>Raw_Transactions!A117</f>
        <v/>
      </c>
      <c r="B117" s="4">
        <f>Raw_Transactions!B117</f>
        <v/>
      </c>
      <c r="C117" s="4">
        <f>Raw_Transactions!C117</f>
        <v/>
      </c>
      <c r="D117" s="5">
        <f>Raw_Transactions!D117</f>
        <v/>
      </c>
      <c r="E117" s="4">
        <f>Raw_Transactions!E117</f>
        <v/>
      </c>
      <c r="F117" s="4">
        <f>Raw_Transactions!F117</f>
        <v/>
      </c>
      <c r="G117" s="4">
        <f>Raw_Transactions!G117</f>
        <v/>
      </c>
      <c r="H117" s="4">
        <f>XLOOKUP(B117,Raw_Risk_Profiles!$A:$A,Raw_Risk_Profiles!$B:$B,"Not Found")</f>
        <v/>
      </c>
      <c r="I117" s="4">
        <f>XLOOKUP(B117,Raw_Risk_Profiles!$A:$A,Raw_Risk_Profiles!$C:$C,"Missing")</f>
        <v/>
      </c>
      <c r="J117" s="4">
        <f>XLOOKUP(B117,Raw_Risk_Profiles!$A:$A,Raw_Risk_Profiles!$D:$D,"")</f>
        <v/>
      </c>
      <c r="K117" s="4">
        <f>IFERROR(INDEX(Raw_Risk_Profiles!$E:$E,MATCH(B117,Raw_Risk_Profiles!$A:$A,0)),"Unknown")</f>
        <v/>
      </c>
      <c r="L117" s="4">
        <f>IFERROR(XLOOKUP(A117,Raw_Alerts!$B:$B,Raw_Alerts!$A:$A),"No Alert")</f>
        <v/>
      </c>
      <c r="M117" s="4">
        <f>IFERROR(XLOOKUP(A117,Raw_Alerts!$B:$B,Raw_Alerts!$C:$C),"")</f>
        <v/>
      </c>
      <c r="N117" s="4">
        <f>IFERROR(XLOOKUP(A117,Raw_Alerts!$B:$B,Raw_Alerts!$D:$D),"")</f>
        <v/>
      </c>
      <c r="O117" s="4">
        <f>IFERROR(XLOOKUP(A117,Raw_Alerts!$B:$B,Raw_Alerts!$F:$F),"")</f>
        <v/>
      </c>
      <c r="P117" s="4">
        <f>IF(H117="Not Found","CRITICAL: No Risk Profile",IF(I117="Missing","WARN: Missing KYC",IF(I117="Expired","WARN: KYC Expired",IF(I117="Pending","INFO: KYC Pending","OK"))))</f>
        <v/>
      </c>
    </row>
    <row r="118">
      <c r="A118" s="2">
        <f>Raw_Transactions!A118</f>
        <v/>
      </c>
      <c r="B118" s="2">
        <f>Raw_Transactions!B118</f>
        <v/>
      </c>
      <c r="C118" s="2">
        <f>Raw_Transactions!C118</f>
        <v/>
      </c>
      <c r="D118" s="3">
        <f>Raw_Transactions!D118</f>
        <v/>
      </c>
      <c r="E118" s="2">
        <f>Raw_Transactions!E118</f>
        <v/>
      </c>
      <c r="F118" s="2">
        <f>Raw_Transactions!F118</f>
        <v/>
      </c>
      <c r="G118" s="2">
        <f>Raw_Transactions!G118</f>
        <v/>
      </c>
      <c r="H118" s="2">
        <f>XLOOKUP(B118,Raw_Risk_Profiles!$A:$A,Raw_Risk_Profiles!$B:$B,"Not Found")</f>
        <v/>
      </c>
      <c r="I118" s="2">
        <f>XLOOKUP(B118,Raw_Risk_Profiles!$A:$A,Raw_Risk_Profiles!$C:$C,"Missing")</f>
        <v/>
      </c>
      <c r="J118" s="2">
        <f>XLOOKUP(B118,Raw_Risk_Profiles!$A:$A,Raw_Risk_Profiles!$D:$D,"")</f>
        <v/>
      </c>
      <c r="K118" s="2">
        <f>IFERROR(INDEX(Raw_Risk_Profiles!$E:$E,MATCH(B118,Raw_Risk_Profiles!$A:$A,0)),"Unknown")</f>
        <v/>
      </c>
      <c r="L118" s="2">
        <f>IFERROR(XLOOKUP(A118,Raw_Alerts!$B:$B,Raw_Alerts!$A:$A),"No Alert")</f>
        <v/>
      </c>
      <c r="M118" s="2">
        <f>IFERROR(XLOOKUP(A118,Raw_Alerts!$B:$B,Raw_Alerts!$C:$C),"")</f>
        <v/>
      </c>
      <c r="N118" s="2">
        <f>IFERROR(XLOOKUP(A118,Raw_Alerts!$B:$B,Raw_Alerts!$D:$D),"")</f>
        <v/>
      </c>
      <c r="O118" s="2">
        <f>IFERROR(XLOOKUP(A118,Raw_Alerts!$B:$B,Raw_Alerts!$F:$F),"")</f>
        <v/>
      </c>
      <c r="P118" s="2">
        <f>IF(H118="Not Found","CRITICAL: No Risk Profile",IF(I118="Missing","WARN: Missing KYC",IF(I118="Expired","WARN: KYC Expired",IF(I118="Pending","INFO: KYC Pending","OK"))))</f>
        <v/>
      </c>
    </row>
    <row r="119">
      <c r="A119" s="4">
        <f>Raw_Transactions!A119</f>
        <v/>
      </c>
      <c r="B119" s="4">
        <f>Raw_Transactions!B119</f>
        <v/>
      </c>
      <c r="C119" s="4">
        <f>Raw_Transactions!C119</f>
        <v/>
      </c>
      <c r="D119" s="5">
        <f>Raw_Transactions!D119</f>
        <v/>
      </c>
      <c r="E119" s="4">
        <f>Raw_Transactions!E119</f>
        <v/>
      </c>
      <c r="F119" s="4">
        <f>Raw_Transactions!F119</f>
        <v/>
      </c>
      <c r="G119" s="4">
        <f>Raw_Transactions!G119</f>
        <v/>
      </c>
      <c r="H119" s="4">
        <f>XLOOKUP(B119,Raw_Risk_Profiles!$A:$A,Raw_Risk_Profiles!$B:$B,"Not Found")</f>
        <v/>
      </c>
      <c r="I119" s="4">
        <f>XLOOKUP(B119,Raw_Risk_Profiles!$A:$A,Raw_Risk_Profiles!$C:$C,"Missing")</f>
        <v/>
      </c>
      <c r="J119" s="4">
        <f>XLOOKUP(B119,Raw_Risk_Profiles!$A:$A,Raw_Risk_Profiles!$D:$D,"")</f>
        <v/>
      </c>
      <c r="K119" s="4">
        <f>IFERROR(INDEX(Raw_Risk_Profiles!$E:$E,MATCH(B119,Raw_Risk_Profiles!$A:$A,0)),"Unknown")</f>
        <v/>
      </c>
      <c r="L119" s="4">
        <f>IFERROR(XLOOKUP(A119,Raw_Alerts!$B:$B,Raw_Alerts!$A:$A),"No Alert")</f>
        <v/>
      </c>
      <c r="M119" s="4">
        <f>IFERROR(XLOOKUP(A119,Raw_Alerts!$B:$B,Raw_Alerts!$C:$C),"")</f>
        <v/>
      </c>
      <c r="N119" s="4">
        <f>IFERROR(XLOOKUP(A119,Raw_Alerts!$B:$B,Raw_Alerts!$D:$D),"")</f>
        <v/>
      </c>
      <c r="O119" s="4">
        <f>IFERROR(XLOOKUP(A119,Raw_Alerts!$B:$B,Raw_Alerts!$F:$F),"")</f>
        <v/>
      </c>
      <c r="P119" s="4">
        <f>IF(H119="Not Found","CRITICAL: No Risk Profile",IF(I119="Missing","WARN: Missing KYC",IF(I119="Expired","WARN: KYC Expired",IF(I119="Pending","INFO: KYC Pending","OK"))))</f>
        <v/>
      </c>
    </row>
    <row r="120">
      <c r="A120" s="2">
        <f>Raw_Transactions!A120</f>
        <v/>
      </c>
      <c r="B120" s="2">
        <f>Raw_Transactions!B120</f>
        <v/>
      </c>
      <c r="C120" s="2">
        <f>Raw_Transactions!C120</f>
        <v/>
      </c>
      <c r="D120" s="3">
        <f>Raw_Transactions!D120</f>
        <v/>
      </c>
      <c r="E120" s="2">
        <f>Raw_Transactions!E120</f>
        <v/>
      </c>
      <c r="F120" s="2">
        <f>Raw_Transactions!F120</f>
        <v/>
      </c>
      <c r="G120" s="2">
        <f>Raw_Transactions!G120</f>
        <v/>
      </c>
      <c r="H120" s="2">
        <f>XLOOKUP(B120,Raw_Risk_Profiles!$A:$A,Raw_Risk_Profiles!$B:$B,"Not Found")</f>
        <v/>
      </c>
      <c r="I120" s="2">
        <f>XLOOKUP(B120,Raw_Risk_Profiles!$A:$A,Raw_Risk_Profiles!$C:$C,"Missing")</f>
        <v/>
      </c>
      <c r="J120" s="2">
        <f>XLOOKUP(B120,Raw_Risk_Profiles!$A:$A,Raw_Risk_Profiles!$D:$D,"")</f>
        <v/>
      </c>
      <c r="K120" s="2">
        <f>IFERROR(INDEX(Raw_Risk_Profiles!$E:$E,MATCH(B120,Raw_Risk_Profiles!$A:$A,0)),"Unknown")</f>
        <v/>
      </c>
      <c r="L120" s="2">
        <f>IFERROR(XLOOKUP(A120,Raw_Alerts!$B:$B,Raw_Alerts!$A:$A),"No Alert")</f>
        <v/>
      </c>
      <c r="M120" s="2">
        <f>IFERROR(XLOOKUP(A120,Raw_Alerts!$B:$B,Raw_Alerts!$C:$C),"")</f>
        <v/>
      </c>
      <c r="N120" s="2">
        <f>IFERROR(XLOOKUP(A120,Raw_Alerts!$B:$B,Raw_Alerts!$D:$D),"")</f>
        <v/>
      </c>
      <c r="O120" s="2">
        <f>IFERROR(XLOOKUP(A120,Raw_Alerts!$B:$B,Raw_Alerts!$F:$F),"")</f>
        <v/>
      </c>
      <c r="P120" s="2">
        <f>IF(H120="Not Found","CRITICAL: No Risk Profile",IF(I120="Missing","WARN: Missing KYC",IF(I120="Expired","WARN: KYC Expired",IF(I120="Pending","INFO: KYC Pending","OK"))))</f>
        <v/>
      </c>
    </row>
    <row r="121">
      <c r="A121" s="4">
        <f>Raw_Transactions!A121</f>
        <v/>
      </c>
      <c r="B121" s="4">
        <f>Raw_Transactions!B121</f>
        <v/>
      </c>
      <c r="C121" s="4">
        <f>Raw_Transactions!C121</f>
        <v/>
      </c>
      <c r="D121" s="5">
        <f>Raw_Transactions!D121</f>
        <v/>
      </c>
      <c r="E121" s="4">
        <f>Raw_Transactions!E121</f>
        <v/>
      </c>
      <c r="F121" s="4">
        <f>Raw_Transactions!F121</f>
        <v/>
      </c>
      <c r="G121" s="4">
        <f>Raw_Transactions!G121</f>
        <v/>
      </c>
      <c r="H121" s="4">
        <f>XLOOKUP(B121,Raw_Risk_Profiles!$A:$A,Raw_Risk_Profiles!$B:$B,"Not Found")</f>
        <v/>
      </c>
      <c r="I121" s="4">
        <f>XLOOKUP(B121,Raw_Risk_Profiles!$A:$A,Raw_Risk_Profiles!$C:$C,"Missing")</f>
        <v/>
      </c>
      <c r="J121" s="4">
        <f>XLOOKUP(B121,Raw_Risk_Profiles!$A:$A,Raw_Risk_Profiles!$D:$D,"")</f>
        <v/>
      </c>
      <c r="K121" s="4">
        <f>IFERROR(INDEX(Raw_Risk_Profiles!$E:$E,MATCH(B121,Raw_Risk_Profiles!$A:$A,0)),"Unknown")</f>
        <v/>
      </c>
      <c r="L121" s="4">
        <f>IFERROR(XLOOKUP(A121,Raw_Alerts!$B:$B,Raw_Alerts!$A:$A),"No Alert")</f>
        <v/>
      </c>
      <c r="M121" s="4">
        <f>IFERROR(XLOOKUP(A121,Raw_Alerts!$B:$B,Raw_Alerts!$C:$C),"")</f>
        <v/>
      </c>
      <c r="N121" s="4">
        <f>IFERROR(XLOOKUP(A121,Raw_Alerts!$B:$B,Raw_Alerts!$D:$D),"")</f>
        <v/>
      </c>
      <c r="O121" s="4">
        <f>IFERROR(XLOOKUP(A121,Raw_Alerts!$B:$B,Raw_Alerts!$F:$F),"")</f>
        <v/>
      </c>
      <c r="P121" s="4">
        <f>IF(H121="Not Found","CRITICAL: No Risk Profile",IF(I121="Missing","WARN: Missing KYC",IF(I121="Expired","WARN: KYC Expired",IF(I121="Pending","INFO: KYC Pending","OK"))))</f>
        <v/>
      </c>
    </row>
    <row r="122">
      <c r="A122" s="2">
        <f>Raw_Transactions!A122</f>
        <v/>
      </c>
      <c r="B122" s="2">
        <f>Raw_Transactions!B122</f>
        <v/>
      </c>
      <c r="C122" s="2">
        <f>Raw_Transactions!C122</f>
        <v/>
      </c>
      <c r="D122" s="3">
        <f>Raw_Transactions!D122</f>
        <v/>
      </c>
      <c r="E122" s="2">
        <f>Raw_Transactions!E122</f>
        <v/>
      </c>
      <c r="F122" s="2">
        <f>Raw_Transactions!F122</f>
        <v/>
      </c>
      <c r="G122" s="2">
        <f>Raw_Transactions!G122</f>
        <v/>
      </c>
      <c r="H122" s="2">
        <f>XLOOKUP(B122,Raw_Risk_Profiles!$A:$A,Raw_Risk_Profiles!$B:$B,"Not Found")</f>
        <v/>
      </c>
      <c r="I122" s="2">
        <f>XLOOKUP(B122,Raw_Risk_Profiles!$A:$A,Raw_Risk_Profiles!$C:$C,"Missing")</f>
        <v/>
      </c>
      <c r="J122" s="2">
        <f>XLOOKUP(B122,Raw_Risk_Profiles!$A:$A,Raw_Risk_Profiles!$D:$D,"")</f>
        <v/>
      </c>
      <c r="K122" s="2">
        <f>IFERROR(INDEX(Raw_Risk_Profiles!$E:$E,MATCH(B122,Raw_Risk_Profiles!$A:$A,0)),"Unknown")</f>
        <v/>
      </c>
      <c r="L122" s="2">
        <f>IFERROR(XLOOKUP(A122,Raw_Alerts!$B:$B,Raw_Alerts!$A:$A),"No Alert")</f>
        <v/>
      </c>
      <c r="M122" s="2">
        <f>IFERROR(XLOOKUP(A122,Raw_Alerts!$B:$B,Raw_Alerts!$C:$C),"")</f>
        <v/>
      </c>
      <c r="N122" s="2">
        <f>IFERROR(XLOOKUP(A122,Raw_Alerts!$B:$B,Raw_Alerts!$D:$D),"")</f>
        <v/>
      </c>
      <c r="O122" s="2">
        <f>IFERROR(XLOOKUP(A122,Raw_Alerts!$B:$B,Raw_Alerts!$F:$F),"")</f>
        <v/>
      </c>
      <c r="P122" s="2">
        <f>IF(H122="Not Found","CRITICAL: No Risk Profile",IF(I122="Missing","WARN: Missing KYC",IF(I122="Expired","WARN: KYC Expired",IF(I122="Pending","INFO: KYC Pending","OK"))))</f>
        <v/>
      </c>
    </row>
    <row r="123">
      <c r="A123" s="4">
        <f>Raw_Transactions!A123</f>
        <v/>
      </c>
      <c r="B123" s="4">
        <f>Raw_Transactions!B123</f>
        <v/>
      </c>
      <c r="C123" s="4">
        <f>Raw_Transactions!C123</f>
        <v/>
      </c>
      <c r="D123" s="5">
        <f>Raw_Transactions!D123</f>
        <v/>
      </c>
      <c r="E123" s="4">
        <f>Raw_Transactions!E123</f>
        <v/>
      </c>
      <c r="F123" s="4">
        <f>Raw_Transactions!F123</f>
        <v/>
      </c>
      <c r="G123" s="4">
        <f>Raw_Transactions!G123</f>
        <v/>
      </c>
      <c r="H123" s="4">
        <f>XLOOKUP(B123,Raw_Risk_Profiles!$A:$A,Raw_Risk_Profiles!$B:$B,"Not Found")</f>
        <v/>
      </c>
      <c r="I123" s="4">
        <f>XLOOKUP(B123,Raw_Risk_Profiles!$A:$A,Raw_Risk_Profiles!$C:$C,"Missing")</f>
        <v/>
      </c>
      <c r="J123" s="4">
        <f>XLOOKUP(B123,Raw_Risk_Profiles!$A:$A,Raw_Risk_Profiles!$D:$D,"")</f>
        <v/>
      </c>
      <c r="K123" s="4">
        <f>IFERROR(INDEX(Raw_Risk_Profiles!$E:$E,MATCH(B123,Raw_Risk_Profiles!$A:$A,0)),"Unknown")</f>
        <v/>
      </c>
      <c r="L123" s="4">
        <f>IFERROR(XLOOKUP(A123,Raw_Alerts!$B:$B,Raw_Alerts!$A:$A),"No Alert")</f>
        <v/>
      </c>
      <c r="M123" s="4">
        <f>IFERROR(XLOOKUP(A123,Raw_Alerts!$B:$B,Raw_Alerts!$C:$C),"")</f>
        <v/>
      </c>
      <c r="N123" s="4">
        <f>IFERROR(XLOOKUP(A123,Raw_Alerts!$B:$B,Raw_Alerts!$D:$D),"")</f>
        <v/>
      </c>
      <c r="O123" s="4">
        <f>IFERROR(XLOOKUP(A123,Raw_Alerts!$B:$B,Raw_Alerts!$F:$F),"")</f>
        <v/>
      </c>
      <c r="P123" s="4">
        <f>IF(H123="Not Found","CRITICAL: No Risk Profile",IF(I123="Missing","WARN: Missing KYC",IF(I123="Expired","WARN: KYC Expired",IF(I123="Pending","INFO: KYC Pending","OK"))))</f>
        <v/>
      </c>
    </row>
    <row r="124">
      <c r="A124" s="2">
        <f>Raw_Transactions!A124</f>
        <v/>
      </c>
      <c r="B124" s="2">
        <f>Raw_Transactions!B124</f>
        <v/>
      </c>
      <c r="C124" s="2">
        <f>Raw_Transactions!C124</f>
        <v/>
      </c>
      <c r="D124" s="3">
        <f>Raw_Transactions!D124</f>
        <v/>
      </c>
      <c r="E124" s="2">
        <f>Raw_Transactions!E124</f>
        <v/>
      </c>
      <c r="F124" s="2">
        <f>Raw_Transactions!F124</f>
        <v/>
      </c>
      <c r="G124" s="2">
        <f>Raw_Transactions!G124</f>
        <v/>
      </c>
      <c r="H124" s="2">
        <f>XLOOKUP(B124,Raw_Risk_Profiles!$A:$A,Raw_Risk_Profiles!$B:$B,"Not Found")</f>
        <v/>
      </c>
      <c r="I124" s="2">
        <f>XLOOKUP(B124,Raw_Risk_Profiles!$A:$A,Raw_Risk_Profiles!$C:$C,"Missing")</f>
        <v/>
      </c>
      <c r="J124" s="2">
        <f>XLOOKUP(B124,Raw_Risk_Profiles!$A:$A,Raw_Risk_Profiles!$D:$D,"")</f>
        <v/>
      </c>
      <c r="K124" s="2">
        <f>IFERROR(INDEX(Raw_Risk_Profiles!$E:$E,MATCH(B124,Raw_Risk_Profiles!$A:$A,0)),"Unknown")</f>
        <v/>
      </c>
      <c r="L124" s="2">
        <f>IFERROR(XLOOKUP(A124,Raw_Alerts!$B:$B,Raw_Alerts!$A:$A),"No Alert")</f>
        <v/>
      </c>
      <c r="M124" s="2">
        <f>IFERROR(XLOOKUP(A124,Raw_Alerts!$B:$B,Raw_Alerts!$C:$C),"")</f>
        <v/>
      </c>
      <c r="N124" s="2">
        <f>IFERROR(XLOOKUP(A124,Raw_Alerts!$B:$B,Raw_Alerts!$D:$D),"")</f>
        <v/>
      </c>
      <c r="O124" s="2">
        <f>IFERROR(XLOOKUP(A124,Raw_Alerts!$B:$B,Raw_Alerts!$F:$F),"")</f>
        <v/>
      </c>
      <c r="P124" s="2">
        <f>IF(H124="Not Found","CRITICAL: No Risk Profile",IF(I124="Missing","WARN: Missing KYC",IF(I124="Expired","WARN: KYC Expired",IF(I124="Pending","INFO: KYC Pending","OK"))))</f>
        <v/>
      </c>
    </row>
    <row r="125">
      <c r="A125" s="4">
        <f>Raw_Transactions!A125</f>
        <v/>
      </c>
      <c r="B125" s="4">
        <f>Raw_Transactions!B125</f>
        <v/>
      </c>
      <c r="C125" s="4">
        <f>Raw_Transactions!C125</f>
        <v/>
      </c>
      <c r="D125" s="5">
        <f>Raw_Transactions!D125</f>
        <v/>
      </c>
      <c r="E125" s="4">
        <f>Raw_Transactions!E125</f>
        <v/>
      </c>
      <c r="F125" s="4">
        <f>Raw_Transactions!F125</f>
        <v/>
      </c>
      <c r="G125" s="4">
        <f>Raw_Transactions!G125</f>
        <v/>
      </c>
      <c r="H125" s="4">
        <f>XLOOKUP(B125,Raw_Risk_Profiles!$A:$A,Raw_Risk_Profiles!$B:$B,"Not Found")</f>
        <v/>
      </c>
      <c r="I125" s="4">
        <f>XLOOKUP(B125,Raw_Risk_Profiles!$A:$A,Raw_Risk_Profiles!$C:$C,"Missing")</f>
        <v/>
      </c>
      <c r="J125" s="4">
        <f>XLOOKUP(B125,Raw_Risk_Profiles!$A:$A,Raw_Risk_Profiles!$D:$D,"")</f>
        <v/>
      </c>
      <c r="K125" s="4">
        <f>IFERROR(INDEX(Raw_Risk_Profiles!$E:$E,MATCH(B125,Raw_Risk_Profiles!$A:$A,0)),"Unknown")</f>
        <v/>
      </c>
      <c r="L125" s="4">
        <f>IFERROR(XLOOKUP(A125,Raw_Alerts!$B:$B,Raw_Alerts!$A:$A),"No Alert")</f>
        <v/>
      </c>
      <c r="M125" s="4">
        <f>IFERROR(XLOOKUP(A125,Raw_Alerts!$B:$B,Raw_Alerts!$C:$C),"")</f>
        <v/>
      </c>
      <c r="N125" s="4">
        <f>IFERROR(XLOOKUP(A125,Raw_Alerts!$B:$B,Raw_Alerts!$D:$D),"")</f>
        <v/>
      </c>
      <c r="O125" s="4">
        <f>IFERROR(XLOOKUP(A125,Raw_Alerts!$B:$B,Raw_Alerts!$F:$F),"")</f>
        <v/>
      </c>
      <c r="P125" s="4">
        <f>IF(H125="Not Found","CRITICAL: No Risk Profile",IF(I125="Missing","WARN: Missing KYC",IF(I125="Expired","WARN: KYC Expired",IF(I125="Pending","INFO: KYC Pending","OK"))))</f>
        <v/>
      </c>
    </row>
    <row r="126">
      <c r="A126" s="2">
        <f>Raw_Transactions!A126</f>
        <v/>
      </c>
      <c r="B126" s="2">
        <f>Raw_Transactions!B126</f>
        <v/>
      </c>
      <c r="C126" s="2">
        <f>Raw_Transactions!C126</f>
        <v/>
      </c>
      <c r="D126" s="3">
        <f>Raw_Transactions!D126</f>
        <v/>
      </c>
      <c r="E126" s="2">
        <f>Raw_Transactions!E126</f>
        <v/>
      </c>
      <c r="F126" s="2">
        <f>Raw_Transactions!F126</f>
        <v/>
      </c>
      <c r="G126" s="2">
        <f>Raw_Transactions!G126</f>
        <v/>
      </c>
      <c r="H126" s="2">
        <f>XLOOKUP(B126,Raw_Risk_Profiles!$A:$A,Raw_Risk_Profiles!$B:$B,"Not Found")</f>
        <v/>
      </c>
      <c r="I126" s="2">
        <f>XLOOKUP(B126,Raw_Risk_Profiles!$A:$A,Raw_Risk_Profiles!$C:$C,"Missing")</f>
        <v/>
      </c>
      <c r="J126" s="2">
        <f>XLOOKUP(B126,Raw_Risk_Profiles!$A:$A,Raw_Risk_Profiles!$D:$D,"")</f>
        <v/>
      </c>
      <c r="K126" s="2">
        <f>IFERROR(INDEX(Raw_Risk_Profiles!$E:$E,MATCH(B126,Raw_Risk_Profiles!$A:$A,0)),"Unknown")</f>
        <v/>
      </c>
      <c r="L126" s="2">
        <f>IFERROR(XLOOKUP(A126,Raw_Alerts!$B:$B,Raw_Alerts!$A:$A),"No Alert")</f>
        <v/>
      </c>
      <c r="M126" s="2">
        <f>IFERROR(XLOOKUP(A126,Raw_Alerts!$B:$B,Raw_Alerts!$C:$C),"")</f>
        <v/>
      </c>
      <c r="N126" s="2">
        <f>IFERROR(XLOOKUP(A126,Raw_Alerts!$B:$B,Raw_Alerts!$D:$D),"")</f>
        <v/>
      </c>
      <c r="O126" s="2">
        <f>IFERROR(XLOOKUP(A126,Raw_Alerts!$B:$B,Raw_Alerts!$F:$F),"")</f>
        <v/>
      </c>
      <c r="P126" s="2">
        <f>IF(H126="Not Found","CRITICAL: No Risk Profile",IF(I126="Missing","WARN: Missing KYC",IF(I126="Expired","WARN: KYC Expired",IF(I126="Pending","INFO: KYC Pending","OK"))))</f>
        <v/>
      </c>
    </row>
    <row r="127">
      <c r="A127" s="4">
        <f>Raw_Transactions!A127</f>
        <v/>
      </c>
      <c r="B127" s="4">
        <f>Raw_Transactions!B127</f>
        <v/>
      </c>
      <c r="C127" s="4">
        <f>Raw_Transactions!C127</f>
        <v/>
      </c>
      <c r="D127" s="5">
        <f>Raw_Transactions!D127</f>
        <v/>
      </c>
      <c r="E127" s="4">
        <f>Raw_Transactions!E127</f>
        <v/>
      </c>
      <c r="F127" s="4">
        <f>Raw_Transactions!F127</f>
        <v/>
      </c>
      <c r="G127" s="4">
        <f>Raw_Transactions!G127</f>
        <v/>
      </c>
      <c r="H127" s="4">
        <f>XLOOKUP(B127,Raw_Risk_Profiles!$A:$A,Raw_Risk_Profiles!$B:$B,"Not Found")</f>
        <v/>
      </c>
      <c r="I127" s="4">
        <f>XLOOKUP(B127,Raw_Risk_Profiles!$A:$A,Raw_Risk_Profiles!$C:$C,"Missing")</f>
        <v/>
      </c>
      <c r="J127" s="4">
        <f>XLOOKUP(B127,Raw_Risk_Profiles!$A:$A,Raw_Risk_Profiles!$D:$D,"")</f>
        <v/>
      </c>
      <c r="K127" s="4">
        <f>IFERROR(INDEX(Raw_Risk_Profiles!$E:$E,MATCH(B127,Raw_Risk_Profiles!$A:$A,0)),"Unknown")</f>
        <v/>
      </c>
      <c r="L127" s="4">
        <f>IFERROR(XLOOKUP(A127,Raw_Alerts!$B:$B,Raw_Alerts!$A:$A),"No Alert")</f>
        <v/>
      </c>
      <c r="M127" s="4">
        <f>IFERROR(XLOOKUP(A127,Raw_Alerts!$B:$B,Raw_Alerts!$C:$C),"")</f>
        <v/>
      </c>
      <c r="N127" s="4">
        <f>IFERROR(XLOOKUP(A127,Raw_Alerts!$B:$B,Raw_Alerts!$D:$D),"")</f>
        <v/>
      </c>
      <c r="O127" s="4">
        <f>IFERROR(XLOOKUP(A127,Raw_Alerts!$B:$B,Raw_Alerts!$F:$F),"")</f>
        <v/>
      </c>
      <c r="P127" s="4">
        <f>IF(H127="Not Found","CRITICAL: No Risk Profile",IF(I127="Missing","WARN: Missing KYC",IF(I127="Expired","WARN: KYC Expired",IF(I127="Pending","INFO: KYC Pending","OK"))))</f>
        <v/>
      </c>
    </row>
    <row r="128">
      <c r="A128" s="2">
        <f>Raw_Transactions!A128</f>
        <v/>
      </c>
      <c r="B128" s="2">
        <f>Raw_Transactions!B128</f>
        <v/>
      </c>
      <c r="C128" s="2">
        <f>Raw_Transactions!C128</f>
        <v/>
      </c>
      <c r="D128" s="3">
        <f>Raw_Transactions!D128</f>
        <v/>
      </c>
      <c r="E128" s="2">
        <f>Raw_Transactions!E128</f>
        <v/>
      </c>
      <c r="F128" s="2">
        <f>Raw_Transactions!F128</f>
        <v/>
      </c>
      <c r="G128" s="2">
        <f>Raw_Transactions!G128</f>
        <v/>
      </c>
      <c r="H128" s="2">
        <f>XLOOKUP(B128,Raw_Risk_Profiles!$A:$A,Raw_Risk_Profiles!$B:$B,"Not Found")</f>
        <v/>
      </c>
      <c r="I128" s="2">
        <f>XLOOKUP(B128,Raw_Risk_Profiles!$A:$A,Raw_Risk_Profiles!$C:$C,"Missing")</f>
        <v/>
      </c>
      <c r="J128" s="2">
        <f>XLOOKUP(B128,Raw_Risk_Profiles!$A:$A,Raw_Risk_Profiles!$D:$D,"")</f>
        <v/>
      </c>
      <c r="K128" s="2">
        <f>IFERROR(INDEX(Raw_Risk_Profiles!$E:$E,MATCH(B128,Raw_Risk_Profiles!$A:$A,0)),"Unknown")</f>
        <v/>
      </c>
      <c r="L128" s="2">
        <f>IFERROR(XLOOKUP(A128,Raw_Alerts!$B:$B,Raw_Alerts!$A:$A),"No Alert")</f>
        <v/>
      </c>
      <c r="M128" s="2">
        <f>IFERROR(XLOOKUP(A128,Raw_Alerts!$B:$B,Raw_Alerts!$C:$C),"")</f>
        <v/>
      </c>
      <c r="N128" s="2">
        <f>IFERROR(XLOOKUP(A128,Raw_Alerts!$B:$B,Raw_Alerts!$D:$D),"")</f>
        <v/>
      </c>
      <c r="O128" s="2">
        <f>IFERROR(XLOOKUP(A128,Raw_Alerts!$B:$B,Raw_Alerts!$F:$F),"")</f>
        <v/>
      </c>
      <c r="P128" s="2">
        <f>IF(H128="Not Found","CRITICAL: No Risk Profile",IF(I128="Missing","WARN: Missing KYC",IF(I128="Expired","WARN: KYC Expired",IF(I128="Pending","INFO: KYC Pending","OK"))))</f>
        <v/>
      </c>
    </row>
    <row r="129">
      <c r="A129" s="4">
        <f>Raw_Transactions!A129</f>
        <v/>
      </c>
      <c r="B129" s="4">
        <f>Raw_Transactions!B129</f>
        <v/>
      </c>
      <c r="C129" s="4">
        <f>Raw_Transactions!C129</f>
        <v/>
      </c>
      <c r="D129" s="5">
        <f>Raw_Transactions!D129</f>
        <v/>
      </c>
      <c r="E129" s="4">
        <f>Raw_Transactions!E129</f>
        <v/>
      </c>
      <c r="F129" s="4">
        <f>Raw_Transactions!F129</f>
        <v/>
      </c>
      <c r="G129" s="4">
        <f>Raw_Transactions!G129</f>
        <v/>
      </c>
      <c r="H129" s="4">
        <f>XLOOKUP(B129,Raw_Risk_Profiles!$A:$A,Raw_Risk_Profiles!$B:$B,"Not Found")</f>
        <v/>
      </c>
      <c r="I129" s="4">
        <f>XLOOKUP(B129,Raw_Risk_Profiles!$A:$A,Raw_Risk_Profiles!$C:$C,"Missing")</f>
        <v/>
      </c>
      <c r="J129" s="4">
        <f>XLOOKUP(B129,Raw_Risk_Profiles!$A:$A,Raw_Risk_Profiles!$D:$D,"")</f>
        <v/>
      </c>
      <c r="K129" s="4">
        <f>IFERROR(INDEX(Raw_Risk_Profiles!$E:$E,MATCH(B129,Raw_Risk_Profiles!$A:$A,0)),"Unknown")</f>
        <v/>
      </c>
      <c r="L129" s="4">
        <f>IFERROR(XLOOKUP(A129,Raw_Alerts!$B:$B,Raw_Alerts!$A:$A),"No Alert")</f>
        <v/>
      </c>
      <c r="M129" s="4">
        <f>IFERROR(XLOOKUP(A129,Raw_Alerts!$B:$B,Raw_Alerts!$C:$C),"")</f>
        <v/>
      </c>
      <c r="N129" s="4">
        <f>IFERROR(XLOOKUP(A129,Raw_Alerts!$B:$B,Raw_Alerts!$D:$D),"")</f>
        <v/>
      </c>
      <c r="O129" s="4">
        <f>IFERROR(XLOOKUP(A129,Raw_Alerts!$B:$B,Raw_Alerts!$F:$F),"")</f>
        <v/>
      </c>
      <c r="P129" s="4">
        <f>IF(H129="Not Found","CRITICAL: No Risk Profile",IF(I129="Missing","WARN: Missing KYC",IF(I129="Expired","WARN: KYC Expired",IF(I129="Pending","INFO: KYC Pending","OK"))))</f>
        <v/>
      </c>
    </row>
    <row r="130">
      <c r="A130" s="2">
        <f>Raw_Transactions!A130</f>
        <v/>
      </c>
      <c r="B130" s="2">
        <f>Raw_Transactions!B130</f>
        <v/>
      </c>
      <c r="C130" s="2">
        <f>Raw_Transactions!C130</f>
        <v/>
      </c>
      <c r="D130" s="3">
        <f>Raw_Transactions!D130</f>
        <v/>
      </c>
      <c r="E130" s="2">
        <f>Raw_Transactions!E130</f>
        <v/>
      </c>
      <c r="F130" s="2">
        <f>Raw_Transactions!F130</f>
        <v/>
      </c>
      <c r="G130" s="2">
        <f>Raw_Transactions!G130</f>
        <v/>
      </c>
      <c r="H130" s="2">
        <f>XLOOKUP(B130,Raw_Risk_Profiles!$A:$A,Raw_Risk_Profiles!$B:$B,"Not Found")</f>
        <v/>
      </c>
      <c r="I130" s="2">
        <f>XLOOKUP(B130,Raw_Risk_Profiles!$A:$A,Raw_Risk_Profiles!$C:$C,"Missing")</f>
        <v/>
      </c>
      <c r="J130" s="2">
        <f>XLOOKUP(B130,Raw_Risk_Profiles!$A:$A,Raw_Risk_Profiles!$D:$D,"")</f>
        <v/>
      </c>
      <c r="K130" s="2">
        <f>IFERROR(INDEX(Raw_Risk_Profiles!$E:$E,MATCH(B130,Raw_Risk_Profiles!$A:$A,0)),"Unknown")</f>
        <v/>
      </c>
      <c r="L130" s="2">
        <f>IFERROR(XLOOKUP(A130,Raw_Alerts!$B:$B,Raw_Alerts!$A:$A),"No Alert")</f>
        <v/>
      </c>
      <c r="M130" s="2">
        <f>IFERROR(XLOOKUP(A130,Raw_Alerts!$B:$B,Raw_Alerts!$C:$C),"")</f>
        <v/>
      </c>
      <c r="N130" s="2">
        <f>IFERROR(XLOOKUP(A130,Raw_Alerts!$B:$B,Raw_Alerts!$D:$D),"")</f>
        <v/>
      </c>
      <c r="O130" s="2">
        <f>IFERROR(XLOOKUP(A130,Raw_Alerts!$B:$B,Raw_Alerts!$F:$F),"")</f>
        <v/>
      </c>
      <c r="P130" s="2">
        <f>IF(H130="Not Found","CRITICAL: No Risk Profile",IF(I130="Missing","WARN: Missing KYC",IF(I130="Expired","WARN: KYC Expired",IF(I130="Pending","INFO: KYC Pending","OK"))))</f>
        <v/>
      </c>
    </row>
    <row r="131">
      <c r="A131" s="4">
        <f>Raw_Transactions!A131</f>
        <v/>
      </c>
      <c r="B131" s="4">
        <f>Raw_Transactions!B131</f>
        <v/>
      </c>
      <c r="C131" s="4">
        <f>Raw_Transactions!C131</f>
        <v/>
      </c>
      <c r="D131" s="5">
        <f>Raw_Transactions!D131</f>
        <v/>
      </c>
      <c r="E131" s="4">
        <f>Raw_Transactions!E131</f>
        <v/>
      </c>
      <c r="F131" s="4">
        <f>Raw_Transactions!F131</f>
        <v/>
      </c>
      <c r="G131" s="4">
        <f>Raw_Transactions!G131</f>
        <v/>
      </c>
      <c r="H131" s="4">
        <f>XLOOKUP(B131,Raw_Risk_Profiles!$A:$A,Raw_Risk_Profiles!$B:$B,"Not Found")</f>
        <v/>
      </c>
      <c r="I131" s="4">
        <f>XLOOKUP(B131,Raw_Risk_Profiles!$A:$A,Raw_Risk_Profiles!$C:$C,"Missing")</f>
        <v/>
      </c>
      <c r="J131" s="4">
        <f>XLOOKUP(B131,Raw_Risk_Profiles!$A:$A,Raw_Risk_Profiles!$D:$D,"")</f>
        <v/>
      </c>
      <c r="K131" s="4">
        <f>IFERROR(INDEX(Raw_Risk_Profiles!$E:$E,MATCH(B131,Raw_Risk_Profiles!$A:$A,0)),"Unknown")</f>
        <v/>
      </c>
      <c r="L131" s="4">
        <f>IFERROR(XLOOKUP(A131,Raw_Alerts!$B:$B,Raw_Alerts!$A:$A),"No Alert")</f>
        <v/>
      </c>
      <c r="M131" s="4">
        <f>IFERROR(XLOOKUP(A131,Raw_Alerts!$B:$B,Raw_Alerts!$C:$C),"")</f>
        <v/>
      </c>
      <c r="N131" s="4">
        <f>IFERROR(XLOOKUP(A131,Raw_Alerts!$B:$B,Raw_Alerts!$D:$D),"")</f>
        <v/>
      </c>
      <c r="O131" s="4">
        <f>IFERROR(XLOOKUP(A131,Raw_Alerts!$B:$B,Raw_Alerts!$F:$F),"")</f>
        <v/>
      </c>
      <c r="P131" s="4">
        <f>IF(H131="Not Found","CRITICAL: No Risk Profile",IF(I131="Missing","WARN: Missing KYC",IF(I131="Expired","WARN: KYC Expired",IF(I131="Pending","INFO: KYC Pending","OK"))))</f>
        <v/>
      </c>
    </row>
    <row r="132">
      <c r="A132" s="2">
        <f>Raw_Transactions!A132</f>
        <v/>
      </c>
      <c r="B132" s="2">
        <f>Raw_Transactions!B132</f>
        <v/>
      </c>
      <c r="C132" s="2">
        <f>Raw_Transactions!C132</f>
        <v/>
      </c>
      <c r="D132" s="3">
        <f>Raw_Transactions!D132</f>
        <v/>
      </c>
      <c r="E132" s="2">
        <f>Raw_Transactions!E132</f>
        <v/>
      </c>
      <c r="F132" s="2">
        <f>Raw_Transactions!F132</f>
        <v/>
      </c>
      <c r="G132" s="2">
        <f>Raw_Transactions!G132</f>
        <v/>
      </c>
      <c r="H132" s="2">
        <f>XLOOKUP(B132,Raw_Risk_Profiles!$A:$A,Raw_Risk_Profiles!$B:$B,"Not Found")</f>
        <v/>
      </c>
      <c r="I132" s="2">
        <f>XLOOKUP(B132,Raw_Risk_Profiles!$A:$A,Raw_Risk_Profiles!$C:$C,"Missing")</f>
        <v/>
      </c>
      <c r="J132" s="2">
        <f>XLOOKUP(B132,Raw_Risk_Profiles!$A:$A,Raw_Risk_Profiles!$D:$D,"")</f>
        <v/>
      </c>
      <c r="K132" s="2">
        <f>IFERROR(INDEX(Raw_Risk_Profiles!$E:$E,MATCH(B132,Raw_Risk_Profiles!$A:$A,0)),"Unknown")</f>
        <v/>
      </c>
      <c r="L132" s="2">
        <f>IFERROR(XLOOKUP(A132,Raw_Alerts!$B:$B,Raw_Alerts!$A:$A),"No Alert")</f>
        <v/>
      </c>
      <c r="M132" s="2">
        <f>IFERROR(XLOOKUP(A132,Raw_Alerts!$B:$B,Raw_Alerts!$C:$C),"")</f>
        <v/>
      </c>
      <c r="N132" s="2">
        <f>IFERROR(XLOOKUP(A132,Raw_Alerts!$B:$B,Raw_Alerts!$D:$D),"")</f>
        <v/>
      </c>
      <c r="O132" s="2">
        <f>IFERROR(XLOOKUP(A132,Raw_Alerts!$B:$B,Raw_Alerts!$F:$F),"")</f>
        <v/>
      </c>
      <c r="P132" s="2">
        <f>IF(H132="Not Found","CRITICAL: No Risk Profile",IF(I132="Missing","WARN: Missing KYC",IF(I132="Expired","WARN: KYC Expired",IF(I132="Pending","INFO: KYC Pending","OK"))))</f>
        <v/>
      </c>
    </row>
    <row r="133">
      <c r="A133" s="4">
        <f>Raw_Transactions!A133</f>
        <v/>
      </c>
      <c r="B133" s="4">
        <f>Raw_Transactions!B133</f>
        <v/>
      </c>
      <c r="C133" s="4">
        <f>Raw_Transactions!C133</f>
        <v/>
      </c>
      <c r="D133" s="5">
        <f>Raw_Transactions!D133</f>
        <v/>
      </c>
      <c r="E133" s="4">
        <f>Raw_Transactions!E133</f>
        <v/>
      </c>
      <c r="F133" s="4">
        <f>Raw_Transactions!F133</f>
        <v/>
      </c>
      <c r="G133" s="4">
        <f>Raw_Transactions!G133</f>
        <v/>
      </c>
      <c r="H133" s="4">
        <f>XLOOKUP(B133,Raw_Risk_Profiles!$A:$A,Raw_Risk_Profiles!$B:$B,"Not Found")</f>
        <v/>
      </c>
      <c r="I133" s="4">
        <f>XLOOKUP(B133,Raw_Risk_Profiles!$A:$A,Raw_Risk_Profiles!$C:$C,"Missing")</f>
        <v/>
      </c>
      <c r="J133" s="4">
        <f>XLOOKUP(B133,Raw_Risk_Profiles!$A:$A,Raw_Risk_Profiles!$D:$D,"")</f>
        <v/>
      </c>
      <c r="K133" s="4">
        <f>IFERROR(INDEX(Raw_Risk_Profiles!$E:$E,MATCH(B133,Raw_Risk_Profiles!$A:$A,0)),"Unknown")</f>
        <v/>
      </c>
      <c r="L133" s="4">
        <f>IFERROR(XLOOKUP(A133,Raw_Alerts!$B:$B,Raw_Alerts!$A:$A),"No Alert")</f>
        <v/>
      </c>
      <c r="M133" s="4">
        <f>IFERROR(XLOOKUP(A133,Raw_Alerts!$B:$B,Raw_Alerts!$C:$C),"")</f>
        <v/>
      </c>
      <c r="N133" s="4">
        <f>IFERROR(XLOOKUP(A133,Raw_Alerts!$B:$B,Raw_Alerts!$D:$D),"")</f>
        <v/>
      </c>
      <c r="O133" s="4">
        <f>IFERROR(XLOOKUP(A133,Raw_Alerts!$B:$B,Raw_Alerts!$F:$F),"")</f>
        <v/>
      </c>
      <c r="P133" s="4">
        <f>IF(H133="Not Found","CRITICAL: No Risk Profile",IF(I133="Missing","WARN: Missing KYC",IF(I133="Expired","WARN: KYC Expired",IF(I133="Pending","INFO: KYC Pending","OK"))))</f>
        <v/>
      </c>
    </row>
    <row r="134">
      <c r="A134" s="2">
        <f>Raw_Transactions!A134</f>
        <v/>
      </c>
      <c r="B134" s="2">
        <f>Raw_Transactions!B134</f>
        <v/>
      </c>
      <c r="C134" s="2">
        <f>Raw_Transactions!C134</f>
        <v/>
      </c>
      <c r="D134" s="3">
        <f>Raw_Transactions!D134</f>
        <v/>
      </c>
      <c r="E134" s="2">
        <f>Raw_Transactions!E134</f>
        <v/>
      </c>
      <c r="F134" s="2">
        <f>Raw_Transactions!F134</f>
        <v/>
      </c>
      <c r="G134" s="2">
        <f>Raw_Transactions!G134</f>
        <v/>
      </c>
      <c r="H134" s="2">
        <f>XLOOKUP(B134,Raw_Risk_Profiles!$A:$A,Raw_Risk_Profiles!$B:$B,"Not Found")</f>
        <v/>
      </c>
      <c r="I134" s="2">
        <f>XLOOKUP(B134,Raw_Risk_Profiles!$A:$A,Raw_Risk_Profiles!$C:$C,"Missing")</f>
        <v/>
      </c>
      <c r="J134" s="2">
        <f>XLOOKUP(B134,Raw_Risk_Profiles!$A:$A,Raw_Risk_Profiles!$D:$D,"")</f>
        <v/>
      </c>
      <c r="K134" s="2">
        <f>IFERROR(INDEX(Raw_Risk_Profiles!$E:$E,MATCH(B134,Raw_Risk_Profiles!$A:$A,0)),"Unknown")</f>
        <v/>
      </c>
      <c r="L134" s="2">
        <f>IFERROR(XLOOKUP(A134,Raw_Alerts!$B:$B,Raw_Alerts!$A:$A),"No Alert")</f>
        <v/>
      </c>
      <c r="M134" s="2">
        <f>IFERROR(XLOOKUP(A134,Raw_Alerts!$B:$B,Raw_Alerts!$C:$C),"")</f>
        <v/>
      </c>
      <c r="N134" s="2">
        <f>IFERROR(XLOOKUP(A134,Raw_Alerts!$B:$B,Raw_Alerts!$D:$D),"")</f>
        <v/>
      </c>
      <c r="O134" s="2">
        <f>IFERROR(XLOOKUP(A134,Raw_Alerts!$B:$B,Raw_Alerts!$F:$F),"")</f>
        <v/>
      </c>
      <c r="P134" s="2">
        <f>IF(H134="Not Found","CRITICAL: No Risk Profile",IF(I134="Missing","WARN: Missing KYC",IF(I134="Expired","WARN: KYC Expired",IF(I134="Pending","INFO: KYC Pending","OK"))))</f>
        <v/>
      </c>
    </row>
    <row r="135">
      <c r="A135" s="4">
        <f>Raw_Transactions!A135</f>
        <v/>
      </c>
      <c r="B135" s="4">
        <f>Raw_Transactions!B135</f>
        <v/>
      </c>
      <c r="C135" s="4">
        <f>Raw_Transactions!C135</f>
        <v/>
      </c>
      <c r="D135" s="5">
        <f>Raw_Transactions!D135</f>
        <v/>
      </c>
      <c r="E135" s="4">
        <f>Raw_Transactions!E135</f>
        <v/>
      </c>
      <c r="F135" s="4">
        <f>Raw_Transactions!F135</f>
        <v/>
      </c>
      <c r="G135" s="4">
        <f>Raw_Transactions!G135</f>
        <v/>
      </c>
      <c r="H135" s="4">
        <f>XLOOKUP(B135,Raw_Risk_Profiles!$A:$A,Raw_Risk_Profiles!$B:$B,"Not Found")</f>
        <v/>
      </c>
      <c r="I135" s="4">
        <f>XLOOKUP(B135,Raw_Risk_Profiles!$A:$A,Raw_Risk_Profiles!$C:$C,"Missing")</f>
        <v/>
      </c>
      <c r="J135" s="4">
        <f>XLOOKUP(B135,Raw_Risk_Profiles!$A:$A,Raw_Risk_Profiles!$D:$D,"")</f>
        <v/>
      </c>
      <c r="K135" s="4">
        <f>IFERROR(INDEX(Raw_Risk_Profiles!$E:$E,MATCH(B135,Raw_Risk_Profiles!$A:$A,0)),"Unknown")</f>
        <v/>
      </c>
      <c r="L135" s="4">
        <f>IFERROR(XLOOKUP(A135,Raw_Alerts!$B:$B,Raw_Alerts!$A:$A),"No Alert")</f>
        <v/>
      </c>
      <c r="M135" s="4">
        <f>IFERROR(XLOOKUP(A135,Raw_Alerts!$B:$B,Raw_Alerts!$C:$C),"")</f>
        <v/>
      </c>
      <c r="N135" s="4">
        <f>IFERROR(XLOOKUP(A135,Raw_Alerts!$B:$B,Raw_Alerts!$D:$D),"")</f>
        <v/>
      </c>
      <c r="O135" s="4">
        <f>IFERROR(XLOOKUP(A135,Raw_Alerts!$B:$B,Raw_Alerts!$F:$F),"")</f>
        <v/>
      </c>
      <c r="P135" s="4">
        <f>IF(H135="Not Found","CRITICAL: No Risk Profile",IF(I135="Missing","WARN: Missing KYC",IF(I135="Expired","WARN: KYC Expired",IF(I135="Pending","INFO: KYC Pending","OK"))))</f>
        <v/>
      </c>
    </row>
    <row r="136">
      <c r="A136" s="2">
        <f>Raw_Transactions!A136</f>
        <v/>
      </c>
      <c r="B136" s="2">
        <f>Raw_Transactions!B136</f>
        <v/>
      </c>
      <c r="C136" s="2">
        <f>Raw_Transactions!C136</f>
        <v/>
      </c>
      <c r="D136" s="3">
        <f>Raw_Transactions!D136</f>
        <v/>
      </c>
      <c r="E136" s="2">
        <f>Raw_Transactions!E136</f>
        <v/>
      </c>
      <c r="F136" s="2">
        <f>Raw_Transactions!F136</f>
        <v/>
      </c>
      <c r="G136" s="2">
        <f>Raw_Transactions!G136</f>
        <v/>
      </c>
      <c r="H136" s="2">
        <f>XLOOKUP(B136,Raw_Risk_Profiles!$A:$A,Raw_Risk_Profiles!$B:$B,"Not Found")</f>
        <v/>
      </c>
      <c r="I136" s="2">
        <f>XLOOKUP(B136,Raw_Risk_Profiles!$A:$A,Raw_Risk_Profiles!$C:$C,"Missing")</f>
        <v/>
      </c>
      <c r="J136" s="2">
        <f>XLOOKUP(B136,Raw_Risk_Profiles!$A:$A,Raw_Risk_Profiles!$D:$D,"")</f>
        <v/>
      </c>
      <c r="K136" s="2">
        <f>IFERROR(INDEX(Raw_Risk_Profiles!$E:$E,MATCH(B136,Raw_Risk_Profiles!$A:$A,0)),"Unknown")</f>
        <v/>
      </c>
      <c r="L136" s="2">
        <f>IFERROR(XLOOKUP(A136,Raw_Alerts!$B:$B,Raw_Alerts!$A:$A),"No Alert")</f>
        <v/>
      </c>
      <c r="M136" s="2">
        <f>IFERROR(XLOOKUP(A136,Raw_Alerts!$B:$B,Raw_Alerts!$C:$C),"")</f>
        <v/>
      </c>
      <c r="N136" s="2">
        <f>IFERROR(XLOOKUP(A136,Raw_Alerts!$B:$B,Raw_Alerts!$D:$D),"")</f>
        <v/>
      </c>
      <c r="O136" s="2">
        <f>IFERROR(XLOOKUP(A136,Raw_Alerts!$B:$B,Raw_Alerts!$F:$F),"")</f>
        <v/>
      </c>
      <c r="P136" s="2">
        <f>IF(H136="Not Found","CRITICAL: No Risk Profile",IF(I136="Missing","WARN: Missing KYC",IF(I136="Expired","WARN: KYC Expired",IF(I136="Pending","INFO: KYC Pending","OK"))))</f>
        <v/>
      </c>
    </row>
    <row r="137">
      <c r="A137" s="4">
        <f>Raw_Transactions!A137</f>
        <v/>
      </c>
      <c r="B137" s="4">
        <f>Raw_Transactions!B137</f>
        <v/>
      </c>
      <c r="C137" s="4">
        <f>Raw_Transactions!C137</f>
        <v/>
      </c>
      <c r="D137" s="5">
        <f>Raw_Transactions!D137</f>
        <v/>
      </c>
      <c r="E137" s="4">
        <f>Raw_Transactions!E137</f>
        <v/>
      </c>
      <c r="F137" s="4">
        <f>Raw_Transactions!F137</f>
        <v/>
      </c>
      <c r="G137" s="4">
        <f>Raw_Transactions!G137</f>
        <v/>
      </c>
      <c r="H137" s="4">
        <f>XLOOKUP(B137,Raw_Risk_Profiles!$A:$A,Raw_Risk_Profiles!$B:$B,"Not Found")</f>
        <v/>
      </c>
      <c r="I137" s="4">
        <f>XLOOKUP(B137,Raw_Risk_Profiles!$A:$A,Raw_Risk_Profiles!$C:$C,"Missing")</f>
        <v/>
      </c>
      <c r="J137" s="4">
        <f>XLOOKUP(B137,Raw_Risk_Profiles!$A:$A,Raw_Risk_Profiles!$D:$D,"")</f>
        <v/>
      </c>
      <c r="K137" s="4">
        <f>IFERROR(INDEX(Raw_Risk_Profiles!$E:$E,MATCH(B137,Raw_Risk_Profiles!$A:$A,0)),"Unknown")</f>
        <v/>
      </c>
      <c r="L137" s="4">
        <f>IFERROR(XLOOKUP(A137,Raw_Alerts!$B:$B,Raw_Alerts!$A:$A),"No Alert")</f>
        <v/>
      </c>
      <c r="M137" s="4">
        <f>IFERROR(XLOOKUP(A137,Raw_Alerts!$B:$B,Raw_Alerts!$C:$C),"")</f>
        <v/>
      </c>
      <c r="N137" s="4">
        <f>IFERROR(XLOOKUP(A137,Raw_Alerts!$B:$B,Raw_Alerts!$D:$D),"")</f>
        <v/>
      </c>
      <c r="O137" s="4">
        <f>IFERROR(XLOOKUP(A137,Raw_Alerts!$B:$B,Raw_Alerts!$F:$F),"")</f>
        <v/>
      </c>
      <c r="P137" s="4">
        <f>IF(H137="Not Found","CRITICAL: No Risk Profile",IF(I137="Missing","WARN: Missing KYC",IF(I137="Expired","WARN: KYC Expired",IF(I137="Pending","INFO: KYC Pending","OK"))))</f>
        <v/>
      </c>
    </row>
    <row r="138">
      <c r="A138" s="2">
        <f>Raw_Transactions!A138</f>
        <v/>
      </c>
      <c r="B138" s="2">
        <f>Raw_Transactions!B138</f>
        <v/>
      </c>
      <c r="C138" s="2">
        <f>Raw_Transactions!C138</f>
        <v/>
      </c>
      <c r="D138" s="3">
        <f>Raw_Transactions!D138</f>
        <v/>
      </c>
      <c r="E138" s="2">
        <f>Raw_Transactions!E138</f>
        <v/>
      </c>
      <c r="F138" s="2">
        <f>Raw_Transactions!F138</f>
        <v/>
      </c>
      <c r="G138" s="2">
        <f>Raw_Transactions!G138</f>
        <v/>
      </c>
      <c r="H138" s="2">
        <f>XLOOKUP(B138,Raw_Risk_Profiles!$A:$A,Raw_Risk_Profiles!$B:$B,"Not Found")</f>
        <v/>
      </c>
      <c r="I138" s="2">
        <f>XLOOKUP(B138,Raw_Risk_Profiles!$A:$A,Raw_Risk_Profiles!$C:$C,"Missing")</f>
        <v/>
      </c>
      <c r="J138" s="2">
        <f>XLOOKUP(B138,Raw_Risk_Profiles!$A:$A,Raw_Risk_Profiles!$D:$D,"")</f>
        <v/>
      </c>
      <c r="K138" s="2">
        <f>IFERROR(INDEX(Raw_Risk_Profiles!$E:$E,MATCH(B138,Raw_Risk_Profiles!$A:$A,0)),"Unknown")</f>
        <v/>
      </c>
      <c r="L138" s="2">
        <f>IFERROR(XLOOKUP(A138,Raw_Alerts!$B:$B,Raw_Alerts!$A:$A),"No Alert")</f>
        <v/>
      </c>
      <c r="M138" s="2">
        <f>IFERROR(XLOOKUP(A138,Raw_Alerts!$B:$B,Raw_Alerts!$C:$C),"")</f>
        <v/>
      </c>
      <c r="N138" s="2">
        <f>IFERROR(XLOOKUP(A138,Raw_Alerts!$B:$B,Raw_Alerts!$D:$D),"")</f>
        <v/>
      </c>
      <c r="O138" s="2">
        <f>IFERROR(XLOOKUP(A138,Raw_Alerts!$B:$B,Raw_Alerts!$F:$F),"")</f>
        <v/>
      </c>
      <c r="P138" s="2">
        <f>IF(H138="Not Found","CRITICAL: No Risk Profile",IF(I138="Missing","WARN: Missing KYC",IF(I138="Expired","WARN: KYC Expired",IF(I138="Pending","INFO: KYC Pending","OK"))))</f>
        <v/>
      </c>
    </row>
    <row r="139">
      <c r="A139" s="4">
        <f>Raw_Transactions!A139</f>
        <v/>
      </c>
      <c r="B139" s="4">
        <f>Raw_Transactions!B139</f>
        <v/>
      </c>
      <c r="C139" s="4">
        <f>Raw_Transactions!C139</f>
        <v/>
      </c>
      <c r="D139" s="5">
        <f>Raw_Transactions!D139</f>
        <v/>
      </c>
      <c r="E139" s="4">
        <f>Raw_Transactions!E139</f>
        <v/>
      </c>
      <c r="F139" s="4">
        <f>Raw_Transactions!F139</f>
        <v/>
      </c>
      <c r="G139" s="4">
        <f>Raw_Transactions!G139</f>
        <v/>
      </c>
      <c r="H139" s="4">
        <f>XLOOKUP(B139,Raw_Risk_Profiles!$A:$A,Raw_Risk_Profiles!$B:$B,"Not Found")</f>
        <v/>
      </c>
      <c r="I139" s="4">
        <f>XLOOKUP(B139,Raw_Risk_Profiles!$A:$A,Raw_Risk_Profiles!$C:$C,"Missing")</f>
        <v/>
      </c>
      <c r="J139" s="4">
        <f>XLOOKUP(B139,Raw_Risk_Profiles!$A:$A,Raw_Risk_Profiles!$D:$D,"")</f>
        <v/>
      </c>
      <c r="K139" s="4">
        <f>IFERROR(INDEX(Raw_Risk_Profiles!$E:$E,MATCH(B139,Raw_Risk_Profiles!$A:$A,0)),"Unknown")</f>
        <v/>
      </c>
      <c r="L139" s="4">
        <f>IFERROR(XLOOKUP(A139,Raw_Alerts!$B:$B,Raw_Alerts!$A:$A),"No Alert")</f>
        <v/>
      </c>
      <c r="M139" s="4">
        <f>IFERROR(XLOOKUP(A139,Raw_Alerts!$B:$B,Raw_Alerts!$C:$C),"")</f>
        <v/>
      </c>
      <c r="N139" s="4">
        <f>IFERROR(XLOOKUP(A139,Raw_Alerts!$B:$B,Raw_Alerts!$D:$D),"")</f>
        <v/>
      </c>
      <c r="O139" s="4">
        <f>IFERROR(XLOOKUP(A139,Raw_Alerts!$B:$B,Raw_Alerts!$F:$F),"")</f>
        <v/>
      </c>
      <c r="P139" s="4">
        <f>IF(H139="Not Found","CRITICAL: No Risk Profile",IF(I139="Missing","WARN: Missing KYC",IF(I139="Expired","WARN: KYC Expired",IF(I139="Pending","INFO: KYC Pending","OK"))))</f>
        <v/>
      </c>
    </row>
    <row r="140">
      <c r="A140" s="2">
        <f>Raw_Transactions!A140</f>
        <v/>
      </c>
      <c r="B140" s="2">
        <f>Raw_Transactions!B140</f>
        <v/>
      </c>
      <c r="C140" s="2">
        <f>Raw_Transactions!C140</f>
        <v/>
      </c>
      <c r="D140" s="3">
        <f>Raw_Transactions!D140</f>
        <v/>
      </c>
      <c r="E140" s="2">
        <f>Raw_Transactions!E140</f>
        <v/>
      </c>
      <c r="F140" s="2">
        <f>Raw_Transactions!F140</f>
        <v/>
      </c>
      <c r="G140" s="2">
        <f>Raw_Transactions!G140</f>
        <v/>
      </c>
      <c r="H140" s="2">
        <f>XLOOKUP(B140,Raw_Risk_Profiles!$A:$A,Raw_Risk_Profiles!$B:$B,"Not Found")</f>
        <v/>
      </c>
      <c r="I140" s="2">
        <f>XLOOKUP(B140,Raw_Risk_Profiles!$A:$A,Raw_Risk_Profiles!$C:$C,"Missing")</f>
        <v/>
      </c>
      <c r="J140" s="2">
        <f>XLOOKUP(B140,Raw_Risk_Profiles!$A:$A,Raw_Risk_Profiles!$D:$D,"")</f>
        <v/>
      </c>
      <c r="K140" s="2">
        <f>IFERROR(INDEX(Raw_Risk_Profiles!$E:$E,MATCH(B140,Raw_Risk_Profiles!$A:$A,0)),"Unknown")</f>
        <v/>
      </c>
      <c r="L140" s="2">
        <f>IFERROR(XLOOKUP(A140,Raw_Alerts!$B:$B,Raw_Alerts!$A:$A),"No Alert")</f>
        <v/>
      </c>
      <c r="M140" s="2">
        <f>IFERROR(XLOOKUP(A140,Raw_Alerts!$B:$B,Raw_Alerts!$C:$C),"")</f>
        <v/>
      </c>
      <c r="N140" s="2">
        <f>IFERROR(XLOOKUP(A140,Raw_Alerts!$B:$B,Raw_Alerts!$D:$D),"")</f>
        <v/>
      </c>
      <c r="O140" s="2">
        <f>IFERROR(XLOOKUP(A140,Raw_Alerts!$B:$B,Raw_Alerts!$F:$F),"")</f>
        <v/>
      </c>
      <c r="P140" s="2">
        <f>IF(H140="Not Found","CRITICAL: No Risk Profile",IF(I140="Missing","WARN: Missing KYC",IF(I140="Expired","WARN: KYC Expired",IF(I140="Pending","INFO: KYC Pending","OK"))))</f>
        <v/>
      </c>
    </row>
    <row r="141">
      <c r="A141" s="4">
        <f>Raw_Transactions!A141</f>
        <v/>
      </c>
      <c r="B141" s="4">
        <f>Raw_Transactions!B141</f>
        <v/>
      </c>
      <c r="C141" s="4">
        <f>Raw_Transactions!C141</f>
        <v/>
      </c>
      <c r="D141" s="5">
        <f>Raw_Transactions!D141</f>
        <v/>
      </c>
      <c r="E141" s="4">
        <f>Raw_Transactions!E141</f>
        <v/>
      </c>
      <c r="F141" s="4">
        <f>Raw_Transactions!F141</f>
        <v/>
      </c>
      <c r="G141" s="4">
        <f>Raw_Transactions!G141</f>
        <v/>
      </c>
      <c r="H141" s="4">
        <f>XLOOKUP(B141,Raw_Risk_Profiles!$A:$A,Raw_Risk_Profiles!$B:$B,"Not Found")</f>
        <v/>
      </c>
      <c r="I141" s="4">
        <f>XLOOKUP(B141,Raw_Risk_Profiles!$A:$A,Raw_Risk_Profiles!$C:$C,"Missing")</f>
        <v/>
      </c>
      <c r="J141" s="4">
        <f>XLOOKUP(B141,Raw_Risk_Profiles!$A:$A,Raw_Risk_Profiles!$D:$D,"")</f>
        <v/>
      </c>
      <c r="K141" s="4">
        <f>IFERROR(INDEX(Raw_Risk_Profiles!$E:$E,MATCH(B141,Raw_Risk_Profiles!$A:$A,0)),"Unknown")</f>
        <v/>
      </c>
      <c r="L141" s="4">
        <f>IFERROR(XLOOKUP(A141,Raw_Alerts!$B:$B,Raw_Alerts!$A:$A),"No Alert")</f>
        <v/>
      </c>
      <c r="M141" s="4">
        <f>IFERROR(XLOOKUP(A141,Raw_Alerts!$B:$B,Raw_Alerts!$C:$C),"")</f>
        <v/>
      </c>
      <c r="N141" s="4">
        <f>IFERROR(XLOOKUP(A141,Raw_Alerts!$B:$B,Raw_Alerts!$D:$D),"")</f>
        <v/>
      </c>
      <c r="O141" s="4">
        <f>IFERROR(XLOOKUP(A141,Raw_Alerts!$B:$B,Raw_Alerts!$F:$F),"")</f>
        <v/>
      </c>
      <c r="P141" s="4">
        <f>IF(H141="Not Found","CRITICAL: No Risk Profile",IF(I141="Missing","WARN: Missing KYC",IF(I141="Expired","WARN: KYC Expired",IF(I141="Pending","INFO: KYC Pending","OK"))))</f>
        <v/>
      </c>
    </row>
    <row r="142">
      <c r="A142" s="2">
        <f>Raw_Transactions!A142</f>
        <v/>
      </c>
      <c r="B142" s="2">
        <f>Raw_Transactions!B142</f>
        <v/>
      </c>
      <c r="C142" s="2">
        <f>Raw_Transactions!C142</f>
        <v/>
      </c>
      <c r="D142" s="3">
        <f>Raw_Transactions!D142</f>
        <v/>
      </c>
      <c r="E142" s="2">
        <f>Raw_Transactions!E142</f>
        <v/>
      </c>
      <c r="F142" s="2">
        <f>Raw_Transactions!F142</f>
        <v/>
      </c>
      <c r="G142" s="2">
        <f>Raw_Transactions!G142</f>
        <v/>
      </c>
      <c r="H142" s="2">
        <f>XLOOKUP(B142,Raw_Risk_Profiles!$A:$A,Raw_Risk_Profiles!$B:$B,"Not Found")</f>
        <v/>
      </c>
      <c r="I142" s="2">
        <f>XLOOKUP(B142,Raw_Risk_Profiles!$A:$A,Raw_Risk_Profiles!$C:$C,"Missing")</f>
        <v/>
      </c>
      <c r="J142" s="2">
        <f>XLOOKUP(B142,Raw_Risk_Profiles!$A:$A,Raw_Risk_Profiles!$D:$D,"")</f>
        <v/>
      </c>
      <c r="K142" s="2">
        <f>IFERROR(INDEX(Raw_Risk_Profiles!$E:$E,MATCH(B142,Raw_Risk_Profiles!$A:$A,0)),"Unknown")</f>
        <v/>
      </c>
      <c r="L142" s="2">
        <f>IFERROR(XLOOKUP(A142,Raw_Alerts!$B:$B,Raw_Alerts!$A:$A),"No Alert")</f>
        <v/>
      </c>
      <c r="M142" s="2">
        <f>IFERROR(XLOOKUP(A142,Raw_Alerts!$B:$B,Raw_Alerts!$C:$C),"")</f>
        <v/>
      </c>
      <c r="N142" s="2">
        <f>IFERROR(XLOOKUP(A142,Raw_Alerts!$B:$B,Raw_Alerts!$D:$D),"")</f>
        <v/>
      </c>
      <c r="O142" s="2">
        <f>IFERROR(XLOOKUP(A142,Raw_Alerts!$B:$B,Raw_Alerts!$F:$F),"")</f>
        <v/>
      </c>
      <c r="P142" s="2">
        <f>IF(H142="Not Found","CRITICAL: No Risk Profile",IF(I142="Missing","WARN: Missing KYC",IF(I142="Expired","WARN: KYC Expired",IF(I142="Pending","INFO: KYC Pending","OK"))))</f>
        <v/>
      </c>
    </row>
    <row r="143">
      <c r="A143" s="4">
        <f>Raw_Transactions!A143</f>
        <v/>
      </c>
      <c r="B143" s="4">
        <f>Raw_Transactions!B143</f>
        <v/>
      </c>
      <c r="C143" s="4">
        <f>Raw_Transactions!C143</f>
        <v/>
      </c>
      <c r="D143" s="5">
        <f>Raw_Transactions!D143</f>
        <v/>
      </c>
      <c r="E143" s="4">
        <f>Raw_Transactions!E143</f>
        <v/>
      </c>
      <c r="F143" s="4">
        <f>Raw_Transactions!F143</f>
        <v/>
      </c>
      <c r="G143" s="4">
        <f>Raw_Transactions!G143</f>
        <v/>
      </c>
      <c r="H143" s="4">
        <f>XLOOKUP(B143,Raw_Risk_Profiles!$A:$A,Raw_Risk_Profiles!$B:$B,"Not Found")</f>
        <v/>
      </c>
      <c r="I143" s="4">
        <f>XLOOKUP(B143,Raw_Risk_Profiles!$A:$A,Raw_Risk_Profiles!$C:$C,"Missing")</f>
        <v/>
      </c>
      <c r="J143" s="4">
        <f>XLOOKUP(B143,Raw_Risk_Profiles!$A:$A,Raw_Risk_Profiles!$D:$D,"")</f>
        <v/>
      </c>
      <c r="K143" s="4">
        <f>IFERROR(INDEX(Raw_Risk_Profiles!$E:$E,MATCH(B143,Raw_Risk_Profiles!$A:$A,0)),"Unknown")</f>
        <v/>
      </c>
      <c r="L143" s="4">
        <f>IFERROR(XLOOKUP(A143,Raw_Alerts!$B:$B,Raw_Alerts!$A:$A),"No Alert")</f>
        <v/>
      </c>
      <c r="M143" s="4">
        <f>IFERROR(XLOOKUP(A143,Raw_Alerts!$B:$B,Raw_Alerts!$C:$C),"")</f>
        <v/>
      </c>
      <c r="N143" s="4">
        <f>IFERROR(XLOOKUP(A143,Raw_Alerts!$B:$B,Raw_Alerts!$D:$D),"")</f>
        <v/>
      </c>
      <c r="O143" s="4">
        <f>IFERROR(XLOOKUP(A143,Raw_Alerts!$B:$B,Raw_Alerts!$F:$F),"")</f>
        <v/>
      </c>
      <c r="P143" s="4">
        <f>IF(H143="Not Found","CRITICAL: No Risk Profile",IF(I143="Missing","WARN: Missing KYC",IF(I143="Expired","WARN: KYC Expired",IF(I143="Pending","INFO: KYC Pending","OK"))))</f>
        <v/>
      </c>
    </row>
    <row r="144">
      <c r="A144" s="2">
        <f>Raw_Transactions!A144</f>
        <v/>
      </c>
      <c r="B144" s="2">
        <f>Raw_Transactions!B144</f>
        <v/>
      </c>
      <c r="C144" s="2">
        <f>Raw_Transactions!C144</f>
        <v/>
      </c>
      <c r="D144" s="3">
        <f>Raw_Transactions!D144</f>
        <v/>
      </c>
      <c r="E144" s="2">
        <f>Raw_Transactions!E144</f>
        <v/>
      </c>
      <c r="F144" s="2">
        <f>Raw_Transactions!F144</f>
        <v/>
      </c>
      <c r="G144" s="2">
        <f>Raw_Transactions!G144</f>
        <v/>
      </c>
      <c r="H144" s="2">
        <f>XLOOKUP(B144,Raw_Risk_Profiles!$A:$A,Raw_Risk_Profiles!$B:$B,"Not Found")</f>
        <v/>
      </c>
      <c r="I144" s="2">
        <f>XLOOKUP(B144,Raw_Risk_Profiles!$A:$A,Raw_Risk_Profiles!$C:$C,"Missing")</f>
        <v/>
      </c>
      <c r="J144" s="2">
        <f>XLOOKUP(B144,Raw_Risk_Profiles!$A:$A,Raw_Risk_Profiles!$D:$D,"")</f>
        <v/>
      </c>
      <c r="K144" s="2">
        <f>IFERROR(INDEX(Raw_Risk_Profiles!$E:$E,MATCH(B144,Raw_Risk_Profiles!$A:$A,0)),"Unknown")</f>
        <v/>
      </c>
      <c r="L144" s="2">
        <f>IFERROR(XLOOKUP(A144,Raw_Alerts!$B:$B,Raw_Alerts!$A:$A),"No Alert")</f>
        <v/>
      </c>
      <c r="M144" s="2">
        <f>IFERROR(XLOOKUP(A144,Raw_Alerts!$B:$B,Raw_Alerts!$C:$C),"")</f>
        <v/>
      </c>
      <c r="N144" s="2">
        <f>IFERROR(XLOOKUP(A144,Raw_Alerts!$B:$B,Raw_Alerts!$D:$D),"")</f>
        <v/>
      </c>
      <c r="O144" s="2">
        <f>IFERROR(XLOOKUP(A144,Raw_Alerts!$B:$B,Raw_Alerts!$F:$F),"")</f>
        <v/>
      </c>
      <c r="P144" s="2">
        <f>IF(H144="Not Found","CRITICAL: No Risk Profile",IF(I144="Missing","WARN: Missing KYC",IF(I144="Expired","WARN: KYC Expired",IF(I144="Pending","INFO: KYC Pending","OK"))))</f>
        <v/>
      </c>
    </row>
    <row r="145">
      <c r="A145" s="4">
        <f>Raw_Transactions!A145</f>
        <v/>
      </c>
      <c r="B145" s="4">
        <f>Raw_Transactions!B145</f>
        <v/>
      </c>
      <c r="C145" s="4">
        <f>Raw_Transactions!C145</f>
        <v/>
      </c>
      <c r="D145" s="5">
        <f>Raw_Transactions!D145</f>
        <v/>
      </c>
      <c r="E145" s="4">
        <f>Raw_Transactions!E145</f>
        <v/>
      </c>
      <c r="F145" s="4">
        <f>Raw_Transactions!F145</f>
        <v/>
      </c>
      <c r="G145" s="4">
        <f>Raw_Transactions!G145</f>
        <v/>
      </c>
      <c r="H145" s="4">
        <f>XLOOKUP(B145,Raw_Risk_Profiles!$A:$A,Raw_Risk_Profiles!$B:$B,"Not Found")</f>
        <v/>
      </c>
      <c r="I145" s="4">
        <f>XLOOKUP(B145,Raw_Risk_Profiles!$A:$A,Raw_Risk_Profiles!$C:$C,"Missing")</f>
        <v/>
      </c>
      <c r="J145" s="4">
        <f>XLOOKUP(B145,Raw_Risk_Profiles!$A:$A,Raw_Risk_Profiles!$D:$D,"")</f>
        <v/>
      </c>
      <c r="K145" s="4">
        <f>IFERROR(INDEX(Raw_Risk_Profiles!$E:$E,MATCH(B145,Raw_Risk_Profiles!$A:$A,0)),"Unknown")</f>
        <v/>
      </c>
      <c r="L145" s="4">
        <f>IFERROR(XLOOKUP(A145,Raw_Alerts!$B:$B,Raw_Alerts!$A:$A),"No Alert")</f>
        <v/>
      </c>
      <c r="M145" s="4">
        <f>IFERROR(XLOOKUP(A145,Raw_Alerts!$B:$B,Raw_Alerts!$C:$C),"")</f>
        <v/>
      </c>
      <c r="N145" s="4">
        <f>IFERROR(XLOOKUP(A145,Raw_Alerts!$B:$B,Raw_Alerts!$D:$D),"")</f>
        <v/>
      </c>
      <c r="O145" s="4">
        <f>IFERROR(XLOOKUP(A145,Raw_Alerts!$B:$B,Raw_Alerts!$F:$F),"")</f>
        <v/>
      </c>
      <c r="P145" s="4">
        <f>IF(H145="Not Found","CRITICAL: No Risk Profile",IF(I145="Missing","WARN: Missing KYC",IF(I145="Expired","WARN: KYC Expired",IF(I145="Pending","INFO: KYC Pending","OK"))))</f>
        <v/>
      </c>
    </row>
    <row r="146">
      <c r="A146" s="2">
        <f>Raw_Transactions!A146</f>
        <v/>
      </c>
      <c r="B146" s="2">
        <f>Raw_Transactions!B146</f>
        <v/>
      </c>
      <c r="C146" s="2">
        <f>Raw_Transactions!C146</f>
        <v/>
      </c>
      <c r="D146" s="3">
        <f>Raw_Transactions!D146</f>
        <v/>
      </c>
      <c r="E146" s="2">
        <f>Raw_Transactions!E146</f>
        <v/>
      </c>
      <c r="F146" s="2">
        <f>Raw_Transactions!F146</f>
        <v/>
      </c>
      <c r="G146" s="2">
        <f>Raw_Transactions!G146</f>
        <v/>
      </c>
      <c r="H146" s="2">
        <f>XLOOKUP(B146,Raw_Risk_Profiles!$A:$A,Raw_Risk_Profiles!$B:$B,"Not Found")</f>
        <v/>
      </c>
      <c r="I146" s="2">
        <f>XLOOKUP(B146,Raw_Risk_Profiles!$A:$A,Raw_Risk_Profiles!$C:$C,"Missing")</f>
        <v/>
      </c>
      <c r="J146" s="2">
        <f>XLOOKUP(B146,Raw_Risk_Profiles!$A:$A,Raw_Risk_Profiles!$D:$D,"")</f>
        <v/>
      </c>
      <c r="K146" s="2">
        <f>IFERROR(INDEX(Raw_Risk_Profiles!$E:$E,MATCH(B146,Raw_Risk_Profiles!$A:$A,0)),"Unknown")</f>
        <v/>
      </c>
      <c r="L146" s="2">
        <f>IFERROR(XLOOKUP(A146,Raw_Alerts!$B:$B,Raw_Alerts!$A:$A),"No Alert")</f>
        <v/>
      </c>
      <c r="M146" s="2">
        <f>IFERROR(XLOOKUP(A146,Raw_Alerts!$B:$B,Raw_Alerts!$C:$C),"")</f>
        <v/>
      </c>
      <c r="N146" s="2">
        <f>IFERROR(XLOOKUP(A146,Raw_Alerts!$B:$B,Raw_Alerts!$D:$D),"")</f>
        <v/>
      </c>
      <c r="O146" s="2">
        <f>IFERROR(XLOOKUP(A146,Raw_Alerts!$B:$B,Raw_Alerts!$F:$F),"")</f>
        <v/>
      </c>
      <c r="P146" s="2">
        <f>IF(H146="Not Found","CRITICAL: No Risk Profile",IF(I146="Missing","WARN: Missing KYC",IF(I146="Expired","WARN: KYC Expired",IF(I146="Pending","INFO: KYC Pending","OK"))))</f>
        <v/>
      </c>
    </row>
    <row r="147">
      <c r="A147" s="4">
        <f>Raw_Transactions!A147</f>
        <v/>
      </c>
      <c r="B147" s="4">
        <f>Raw_Transactions!B147</f>
        <v/>
      </c>
      <c r="C147" s="4">
        <f>Raw_Transactions!C147</f>
        <v/>
      </c>
      <c r="D147" s="5">
        <f>Raw_Transactions!D147</f>
        <v/>
      </c>
      <c r="E147" s="4">
        <f>Raw_Transactions!E147</f>
        <v/>
      </c>
      <c r="F147" s="4">
        <f>Raw_Transactions!F147</f>
        <v/>
      </c>
      <c r="G147" s="4">
        <f>Raw_Transactions!G147</f>
        <v/>
      </c>
      <c r="H147" s="4">
        <f>XLOOKUP(B147,Raw_Risk_Profiles!$A:$A,Raw_Risk_Profiles!$B:$B,"Not Found")</f>
        <v/>
      </c>
      <c r="I147" s="4">
        <f>XLOOKUP(B147,Raw_Risk_Profiles!$A:$A,Raw_Risk_Profiles!$C:$C,"Missing")</f>
        <v/>
      </c>
      <c r="J147" s="4">
        <f>XLOOKUP(B147,Raw_Risk_Profiles!$A:$A,Raw_Risk_Profiles!$D:$D,"")</f>
        <v/>
      </c>
      <c r="K147" s="4">
        <f>IFERROR(INDEX(Raw_Risk_Profiles!$E:$E,MATCH(B147,Raw_Risk_Profiles!$A:$A,0)),"Unknown")</f>
        <v/>
      </c>
      <c r="L147" s="4">
        <f>IFERROR(XLOOKUP(A147,Raw_Alerts!$B:$B,Raw_Alerts!$A:$A),"No Alert")</f>
        <v/>
      </c>
      <c r="M147" s="4">
        <f>IFERROR(XLOOKUP(A147,Raw_Alerts!$B:$B,Raw_Alerts!$C:$C),"")</f>
        <v/>
      </c>
      <c r="N147" s="4">
        <f>IFERROR(XLOOKUP(A147,Raw_Alerts!$B:$B,Raw_Alerts!$D:$D),"")</f>
        <v/>
      </c>
      <c r="O147" s="4">
        <f>IFERROR(XLOOKUP(A147,Raw_Alerts!$B:$B,Raw_Alerts!$F:$F),"")</f>
        <v/>
      </c>
      <c r="P147" s="4">
        <f>IF(H147="Not Found","CRITICAL: No Risk Profile",IF(I147="Missing","WARN: Missing KYC",IF(I147="Expired","WARN: KYC Expired",IF(I147="Pending","INFO: KYC Pending","OK"))))</f>
        <v/>
      </c>
    </row>
    <row r="148">
      <c r="A148" s="2">
        <f>Raw_Transactions!A148</f>
        <v/>
      </c>
      <c r="B148" s="2">
        <f>Raw_Transactions!B148</f>
        <v/>
      </c>
      <c r="C148" s="2">
        <f>Raw_Transactions!C148</f>
        <v/>
      </c>
      <c r="D148" s="3">
        <f>Raw_Transactions!D148</f>
        <v/>
      </c>
      <c r="E148" s="2">
        <f>Raw_Transactions!E148</f>
        <v/>
      </c>
      <c r="F148" s="2">
        <f>Raw_Transactions!F148</f>
        <v/>
      </c>
      <c r="G148" s="2">
        <f>Raw_Transactions!G148</f>
        <v/>
      </c>
      <c r="H148" s="2">
        <f>XLOOKUP(B148,Raw_Risk_Profiles!$A:$A,Raw_Risk_Profiles!$B:$B,"Not Found")</f>
        <v/>
      </c>
      <c r="I148" s="2">
        <f>XLOOKUP(B148,Raw_Risk_Profiles!$A:$A,Raw_Risk_Profiles!$C:$C,"Missing")</f>
        <v/>
      </c>
      <c r="J148" s="2">
        <f>XLOOKUP(B148,Raw_Risk_Profiles!$A:$A,Raw_Risk_Profiles!$D:$D,"")</f>
        <v/>
      </c>
      <c r="K148" s="2">
        <f>IFERROR(INDEX(Raw_Risk_Profiles!$E:$E,MATCH(B148,Raw_Risk_Profiles!$A:$A,0)),"Unknown")</f>
        <v/>
      </c>
      <c r="L148" s="2">
        <f>IFERROR(XLOOKUP(A148,Raw_Alerts!$B:$B,Raw_Alerts!$A:$A),"No Alert")</f>
        <v/>
      </c>
      <c r="M148" s="2">
        <f>IFERROR(XLOOKUP(A148,Raw_Alerts!$B:$B,Raw_Alerts!$C:$C),"")</f>
        <v/>
      </c>
      <c r="N148" s="2">
        <f>IFERROR(XLOOKUP(A148,Raw_Alerts!$B:$B,Raw_Alerts!$D:$D),"")</f>
        <v/>
      </c>
      <c r="O148" s="2">
        <f>IFERROR(XLOOKUP(A148,Raw_Alerts!$B:$B,Raw_Alerts!$F:$F),"")</f>
        <v/>
      </c>
      <c r="P148" s="2">
        <f>IF(H148="Not Found","CRITICAL: No Risk Profile",IF(I148="Missing","WARN: Missing KYC",IF(I148="Expired","WARN: KYC Expired",IF(I148="Pending","INFO: KYC Pending","OK"))))</f>
        <v/>
      </c>
    </row>
    <row r="149">
      <c r="A149" s="4">
        <f>Raw_Transactions!A149</f>
        <v/>
      </c>
      <c r="B149" s="4">
        <f>Raw_Transactions!B149</f>
        <v/>
      </c>
      <c r="C149" s="4">
        <f>Raw_Transactions!C149</f>
        <v/>
      </c>
      <c r="D149" s="5">
        <f>Raw_Transactions!D149</f>
        <v/>
      </c>
      <c r="E149" s="4">
        <f>Raw_Transactions!E149</f>
        <v/>
      </c>
      <c r="F149" s="4">
        <f>Raw_Transactions!F149</f>
        <v/>
      </c>
      <c r="G149" s="4">
        <f>Raw_Transactions!G149</f>
        <v/>
      </c>
      <c r="H149" s="4">
        <f>XLOOKUP(B149,Raw_Risk_Profiles!$A:$A,Raw_Risk_Profiles!$B:$B,"Not Found")</f>
        <v/>
      </c>
      <c r="I149" s="4">
        <f>XLOOKUP(B149,Raw_Risk_Profiles!$A:$A,Raw_Risk_Profiles!$C:$C,"Missing")</f>
        <v/>
      </c>
      <c r="J149" s="4">
        <f>XLOOKUP(B149,Raw_Risk_Profiles!$A:$A,Raw_Risk_Profiles!$D:$D,"")</f>
        <v/>
      </c>
      <c r="K149" s="4">
        <f>IFERROR(INDEX(Raw_Risk_Profiles!$E:$E,MATCH(B149,Raw_Risk_Profiles!$A:$A,0)),"Unknown")</f>
        <v/>
      </c>
      <c r="L149" s="4">
        <f>IFERROR(XLOOKUP(A149,Raw_Alerts!$B:$B,Raw_Alerts!$A:$A),"No Alert")</f>
        <v/>
      </c>
      <c r="M149" s="4">
        <f>IFERROR(XLOOKUP(A149,Raw_Alerts!$B:$B,Raw_Alerts!$C:$C),"")</f>
        <v/>
      </c>
      <c r="N149" s="4">
        <f>IFERROR(XLOOKUP(A149,Raw_Alerts!$B:$B,Raw_Alerts!$D:$D),"")</f>
        <v/>
      </c>
      <c r="O149" s="4">
        <f>IFERROR(XLOOKUP(A149,Raw_Alerts!$B:$B,Raw_Alerts!$F:$F),"")</f>
        <v/>
      </c>
      <c r="P149" s="4">
        <f>IF(H149="Not Found","CRITICAL: No Risk Profile",IF(I149="Missing","WARN: Missing KYC",IF(I149="Expired","WARN: KYC Expired",IF(I149="Pending","INFO: KYC Pending","OK"))))</f>
        <v/>
      </c>
    </row>
    <row r="150">
      <c r="A150" s="2">
        <f>Raw_Transactions!A150</f>
        <v/>
      </c>
      <c r="B150" s="2">
        <f>Raw_Transactions!B150</f>
        <v/>
      </c>
      <c r="C150" s="2">
        <f>Raw_Transactions!C150</f>
        <v/>
      </c>
      <c r="D150" s="3">
        <f>Raw_Transactions!D150</f>
        <v/>
      </c>
      <c r="E150" s="2">
        <f>Raw_Transactions!E150</f>
        <v/>
      </c>
      <c r="F150" s="2">
        <f>Raw_Transactions!F150</f>
        <v/>
      </c>
      <c r="G150" s="2">
        <f>Raw_Transactions!G150</f>
        <v/>
      </c>
      <c r="H150" s="2">
        <f>XLOOKUP(B150,Raw_Risk_Profiles!$A:$A,Raw_Risk_Profiles!$B:$B,"Not Found")</f>
        <v/>
      </c>
      <c r="I150" s="2">
        <f>XLOOKUP(B150,Raw_Risk_Profiles!$A:$A,Raw_Risk_Profiles!$C:$C,"Missing")</f>
        <v/>
      </c>
      <c r="J150" s="2">
        <f>XLOOKUP(B150,Raw_Risk_Profiles!$A:$A,Raw_Risk_Profiles!$D:$D,"")</f>
        <v/>
      </c>
      <c r="K150" s="2">
        <f>IFERROR(INDEX(Raw_Risk_Profiles!$E:$E,MATCH(B150,Raw_Risk_Profiles!$A:$A,0)),"Unknown")</f>
        <v/>
      </c>
      <c r="L150" s="2">
        <f>IFERROR(XLOOKUP(A150,Raw_Alerts!$B:$B,Raw_Alerts!$A:$A),"No Alert")</f>
        <v/>
      </c>
      <c r="M150" s="2">
        <f>IFERROR(XLOOKUP(A150,Raw_Alerts!$B:$B,Raw_Alerts!$C:$C),"")</f>
        <v/>
      </c>
      <c r="N150" s="2">
        <f>IFERROR(XLOOKUP(A150,Raw_Alerts!$B:$B,Raw_Alerts!$D:$D),"")</f>
        <v/>
      </c>
      <c r="O150" s="2">
        <f>IFERROR(XLOOKUP(A150,Raw_Alerts!$B:$B,Raw_Alerts!$F:$F),"")</f>
        <v/>
      </c>
      <c r="P150" s="2">
        <f>IF(H150="Not Found","CRITICAL: No Risk Profile",IF(I150="Missing","WARN: Missing KYC",IF(I150="Expired","WARN: KYC Expired",IF(I150="Pending","INFO: KYC Pending","OK"))))</f>
        <v/>
      </c>
    </row>
    <row r="151">
      <c r="A151" s="4">
        <f>Raw_Transactions!A151</f>
        <v/>
      </c>
      <c r="B151" s="4">
        <f>Raw_Transactions!B151</f>
        <v/>
      </c>
      <c r="C151" s="4">
        <f>Raw_Transactions!C151</f>
        <v/>
      </c>
      <c r="D151" s="5">
        <f>Raw_Transactions!D151</f>
        <v/>
      </c>
      <c r="E151" s="4">
        <f>Raw_Transactions!E151</f>
        <v/>
      </c>
      <c r="F151" s="4">
        <f>Raw_Transactions!F151</f>
        <v/>
      </c>
      <c r="G151" s="4">
        <f>Raw_Transactions!G151</f>
        <v/>
      </c>
      <c r="H151" s="4">
        <f>XLOOKUP(B151,Raw_Risk_Profiles!$A:$A,Raw_Risk_Profiles!$B:$B,"Not Found")</f>
        <v/>
      </c>
      <c r="I151" s="4">
        <f>XLOOKUP(B151,Raw_Risk_Profiles!$A:$A,Raw_Risk_Profiles!$C:$C,"Missing")</f>
        <v/>
      </c>
      <c r="J151" s="4">
        <f>XLOOKUP(B151,Raw_Risk_Profiles!$A:$A,Raw_Risk_Profiles!$D:$D,"")</f>
        <v/>
      </c>
      <c r="K151" s="4">
        <f>IFERROR(INDEX(Raw_Risk_Profiles!$E:$E,MATCH(B151,Raw_Risk_Profiles!$A:$A,0)),"Unknown")</f>
        <v/>
      </c>
      <c r="L151" s="4">
        <f>IFERROR(XLOOKUP(A151,Raw_Alerts!$B:$B,Raw_Alerts!$A:$A),"No Alert")</f>
        <v/>
      </c>
      <c r="M151" s="4">
        <f>IFERROR(XLOOKUP(A151,Raw_Alerts!$B:$B,Raw_Alerts!$C:$C),"")</f>
        <v/>
      </c>
      <c r="N151" s="4">
        <f>IFERROR(XLOOKUP(A151,Raw_Alerts!$B:$B,Raw_Alerts!$D:$D),"")</f>
        <v/>
      </c>
      <c r="O151" s="4">
        <f>IFERROR(XLOOKUP(A151,Raw_Alerts!$B:$B,Raw_Alerts!$F:$F),"")</f>
        <v/>
      </c>
      <c r="P151" s="4">
        <f>IF(H151="Not Found","CRITICAL: No Risk Profile",IF(I151="Missing","WARN: Missing KYC",IF(I151="Expired","WARN: KYC Expired",IF(I151="Pending","INFO: KYC Pending","OK"))))</f>
        <v/>
      </c>
    </row>
    <row r="152">
      <c r="A152" s="2">
        <f>Raw_Transactions!A152</f>
        <v/>
      </c>
      <c r="B152" s="2">
        <f>Raw_Transactions!B152</f>
        <v/>
      </c>
      <c r="C152" s="2">
        <f>Raw_Transactions!C152</f>
        <v/>
      </c>
      <c r="D152" s="3">
        <f>Raw_Transactions!D152</f>
        <v/>
      </c>
      <c r="E152" s="2">
        <f>Raw_Transactions!E152</f>
        <v/>
      </c>
      <c r="F152" s="2">
        <f>Raw_Transactions!F152</f>
        <v/>
      </c>
      <c r="G152" s="2">
        <f>Raw_Transactions!G152</f>
        <v/>
      </c>
      <c r="H152" s="2">
        <f>XLOOKUP(B152,Raw_Risk_Profiles!$A:$A,Raw_Risk_Profiles!$B:$B,"Not Found")</f>
        <v/>
      </c>
      <c r="I152" s="2">
        <f>XLOOKUP(B152,Raw_Risk_Profiles!$A:$A,Raw_Risk_Profiles!$C:$C,"Missing")</f>
        <v/>
      </c>
      <c r="J152" s="2">
        <f>XLOOKUP(B152,Raw_Risk_Profiles!$A:$A,Raw_Risk_Profiles!$D:$D,"")</f>
        <v/>
      </c>
      <c r="K152" s="2">
        <f>IFERROR(INDEX(Raw_Risk_Profiles!$E:$E,MATCH(B152,Raw_Risk_Profiles!$A:$A,0)),"Unknown")</f>
        <v/>
      </c>
      <c r="L152" s="2">
        <f>IFERROR(XLOOKUP(A152,Raw_Alerts!$B:$B,Raw_Alerts!$A:$A),"No Alert")</f>
        <v/>
      </c>
      <c r="M152" s="2">
        <f>IFERROR(XLOOKUP(A152,Raw_Alerts!$B:$B,Raw_Alerts!$C:$C),"")</f>
        <v/>
      </c>
      <c r="N152" s="2">
        <f>IFERROR(XLOOKUP(A152,Raw_Alerts!$B:$B,Raw_Alerts!$D:$D),"")</f>
        <v/>
      </c>
      <c r="O152" s="2">
        <f>IFERROR(XLOOKUP(A152,Raw_Alerts!$B:$B,Raw_Alerts!$F:$F),"")</f>
        <v/>
      </c>
      <c r="P152" s="2">
        <f>IF(H152="Not Found","CRITICAL: No Risk Profile",IF(I152="Missing","WARN: Missing KYC",IF(I152="Expired","WARN: KYC Expired",IF(I152="Pending","INFO: KYC Pending","OK"))))</f>
        <v/>
      </c>
    </row>
    <row r="153">
      <c r="A153" s="4">
        <f>Raw_Transactions!A153</f>
        <v/>
      </c>
      <c r="B153" s="4">
        <f>Raw_Transactions!B153</f>
        <v/>
      </c>
      <c r="C153" s="4">
        <f>Raw_Transactions!C153</f>
        <v/>
      </c>
      <c r="D153" s="5">
        <f>Raw_Transactions!D153</f>
        <v/>
      </c>
      <c r="E153" s="4">
        <f>Raw_Transactions!E153</f>
        <v/>
      </c>
      <c r="F153" s="4">
        <f>Raw_Transactions!F153</f>
        <v/>
      </c>
      <c r="G153" s="4">
        <f>Raw_Transactions!G153</f>
        <v/>
      </c>
      <c r="H153" s="4">
        <f>XLOOKUP(B153,Raw_Risk_Profiles!$A:$A,Raw_Risk_Profiles!$B:$B,"Not Found")</f>
        <v/>
      </c>
      <c r="I153" s="4">
        <f>XLOOKUP(B153,Raw_Risk_Profiles!$A:$A,Raw_Risk_Profiles!$C:$C,"Missing")</f>
        <v/>
      </c>
      <c r="J153" s="4">
        <f>XLOOKUP(B153,Raw_Risk_Profiles!$A:$A,Raw_Risk_Profiles!$D:$D,"")</f>
        <v/>
      </c>
      <c r="K153" s="4">
        <f>IFERROR(INDEX(Raw_Risk_Profiles!$E:$E,MATCH(B153,Raw_Risk_Profiles!$A:$A,0)),"Unknown")</f>
        <v/>
      </c>
      <c r="L153" s="4">
        <f>IFERROR(XLOOKUP(A153,Raw_Alerts!$B:$B,Raw_Alerts!$A:$A),"No Alert")</f>
        <v/>
      </c>
      <c r="M153" s="4">
        <f>IFERROR(XLOOKUP(A153,Raw_Alerts!$B:$B,Raw_Alerts!$C:$C),"")</f>
        <v/>
      </c>
      <c r="N153" s="4">
        <f>IFERROR(XLOOKUP(A153,Raw_Alerts!$B:$B,Raw_Alerts!$D:$D),"")</f>
        <v/>
      </c>
      <c r="O153" s="4">
        <f>IFERROR(XLOOKUP(A153,Raw_Alerts!$B:$B,Raw_Alerts!$F:$F),"")</f>
        <v/>
      </c>
      <c r="P153" s="4">
        <f>IF(H153="Not Found","CRITICAL: No Risk Profile",IF(I153="Missing","WARN: Missing KYC",IF(I153="Expired","WARN: KYC Expired",IF(I153="Pending","INFO: KYC Pending","OK"))))</f>
        <v/>
      </c>
    </row>
    <row r="154">
      <c r="A154" s="2">
        <f>Raw_Transactions!A154</f>
        <v/>
      </c>
      <c r="B154" s="2">
        <f>Raw_Transactions!B154</f>
        <v/>
      </c>
      <c r="C154" s="2">
        <f>Raw_Transactions!C154</f>
        <v/>
      </c>
      <c r="D154" s="3">
        <f>Raw_Transactions!D154</f>
        <v/>
      </c>
      <c r="E154" s="2">
        <f>Raw_Transactions!E154</f>
        <v/>
      </c>
      <c r="F154" s="2">
        <f>Raw_Transactions!F154</f>
        <v/>
      </c>
      <c r="G154" s="2">
        <f>Raw_Transactions!G154</f>
        <v/>
      </c>
      <c r="H154" s="2">
        <f>XLOOKUP(B154,Raw_Risk_Profiles!$A:$A,Raw_Risk_Profiles!$B:$B,"Not Found")</f>
        <v/>
      </c>
      <c r="I154" s="2">
        <f>XLOOKUP(B154,Raw_Risk_Profiles!$A:$A,Raw_Risk_Profiles!$C:$C,"Missing")</f>
        <v/>
      </c>
      <c r="J154" s="2">
        <f>XLOOKUP(B154,Raw_Risk_Profiles!$A:$A,Raw_Risk_Profiles!$D:$D,"")</f>
        <v/>
      </c>
      <c r="K154" s="2">
        <f>IFERROR(INDEX(Raw_Risk_Profiles!$E:$E,MATCH(B154,Raw_Risk_Profiles!$A:$A,0)),"Unknown")</f>
        <v/>
      </c>
      <c r="L154" s="2">
        <f>IFERROR(XLOOKUP(A154,Raw_Alerts!$B:$B,Raw_Alerts!$A:$A),"No Alert")</f>
        <v/>
      </c>
      <c r="M154" s="2">
        <f>IFERROR(XLOOKUP(A154,Raw_Alerts!$B:$B,Raw_Alerts!$C:$C),"")</f>
        <v/>
      </c>
      <c r="N154" s="2">
        <f>IFERROR(XLOOKUP(A154,Raw_Alerts!$B:$B,Raw_Alerts!$D:$D),"")</f>
        <v/>
      </c>
      <c r="O154" s="2">
        <f>IFERROR(XLOOKUP(A154,Raw_Alerts!$B:$B,Raw_Alerts!$F:$F),"")</f>
        <v/>
      </c>
      <c r="P154" s="2">
        <f>IF(H154="Not Found","CRITICAL: No Risk Profile",IF(I154="Missing","WARN: Missing KYC",IF(I154="Expired","WARN: KYC Expired",IF(I154="Pending","INFO: KYC Pending","OK"))))</f>
        <v/>
      </c>
    </row>
    <row r="155">
      <c r="A155" s="4">
        <f>Raw_Transactions!A155</f>
        <v/>
      </c>
      <c r="B155" s="4">
        <f>Raw_Transactions!B155</f>
        <v/>
      </c>
      <c r="C155" s="4">
        <f>Raw_Transactions!C155</f>
        <v/>
      </c>
      <c r="D155" s="5">
        <f>Raw_Transactions!D155</f>
        <v/>
      </c>
      <c r="E155" s="4">
        <f>Raw_Transactions!E155</f>
        <v/>
      </c>
      <c r="F155" s="4">
        <f>Raw_Transactions!F155</f>
        <v/>
      </c>
      <c r="G155" s="4">
        <f>Raw_Transactions!G155</f>
        <v/>
      </c>
      <c r="H155" s="4">
        <f>XLOOKUP(B155,Raw_Risk_Profiles!$A:$A,Raw_Risk_Profiles!$B:$B,"Not Found")</f>
        <v/>
      </c>
      <c r="I155" s="4">
        <f>XLOOKUP(B155,Raw_Risk_Profiles!$A:$A,Raw_Risk_Profiles!$C:$C,"Missing")</f>
        <v/>
      </c>
      <c r="J155" s="4">
        <f>XLOOKUP(B155,Raw_Risk_Profiles!$A:$A,Raw_Risk_Profiles!$D:$D,"")</f>
        <v/>
      </c>
      <c r="K155" s="4">
        <f>IFERROR(INDEX(Raw_Risk_Profiles!$E:$E,MATCH(B155,Raw_Risk_Profiles!$A:$A,0)),"Unknown")</f>
        <v/>
      </c>
      <c r="L155" s="4">
        <f>IFERROR(XLOOKUP(A155,Raw_Alerts!$B:$B,Raw_Alerts!$A:$A),"No Alert")</f>
        <v/>
      </c>
      <c r="M155" s="4">
        <f>IFERROR(XLOOKUP(A155,Raw_Alerts!$B:$B,Raw_Alerts!$C:$C),"")</f>
        <v/>
      </c>
      <c r="N155" s="4">
        <f>IFERROR(XLOOKUP(A155,Raw_Alerts!$B:$B,Raw_Alerts!$D:$D),"")</f>
        <v/>
      </c>
      <c r="O155" s="4">
        <f>IFERROR(XLOOKUP(A155,Raw_Alerts!$B:$B,Raw_Alerts!$F:$F),"")</f>
        <v/>
      </c>
      <c r="P155" s="4">
        <f>IF(H155="Not Found","CRITICAL: No Risk Profile",IF(I155="Missing","WARN: Missing KYC",IF(I155="Expired","WARN: KYC Expired",IF(I155="Pending","INFO: KYC Pending","OK"))))</f>
        <v/>
      </c>
    </row>
    <row r="156">
      <c r="A156" s="2">
        <f>Raw_Transactions!A156</f>
        <v/>
      </c>
      <c r="B156" s="2">
        <f>Raw_Transactions!B156</f>
        <v/>
      </c>
      <c r="C156" s="2">
        <f>Raw_Transactions!C156</f>
        <v/>
      </c>
      <c r="D156" s="3">
        <f>Raw_Transactions!D156</f>
        <v/>
      </c>
      <c r="E156" s="2">
        <f>Raw_Transactions!E156</f>
        <v/>
      </c>
      <c r="F156" s="2">
        <f>Raw_Transactions!F156</f>
        <v/>
      </c>
      <c r="G156" s="2">
        <f>Raw_Transactions!G156</f>
        <v/>
      </c>
      <c r="H156" s="2">
        <f>XLOOKUP(B156,Raw_Risk_Profiles!$A:$A,Raw_Risk_Profiles!$B:$B,"Not Found")</f>
        <v/>
      </c>
      <c r="I156" s="2">
        <f>XLOOKUP(B156,Raw_Risk_Profiles!$A:$A,Raw_Risk_Profiles!$C:$C,"Missing")</f>
        <v/>
      </c>
      <c r="J156" s="2">
        <f>XLOOKUP(B156,Raw_Risk_Profiles!$A:$A,Raw_Risk_Profiles!$D:$D,"")</f>
        <v/>
      </c>
      <c r="K156" s="2">
        <f>IFERROR(INDEX(Raw_Risk_Profiles!$E:$E,MATCH(B156,Raw_Risk_Profiles!$A:$A,0)),"Unknown")</f>
        <v/>
      </c>
      <c r="L156" s="2">
        <f>IFERROR(XLOOKUP(A156,Raw_Alerts!$B:$B,Raw_Alerts!$A:$A),"No Alert")</f>
        <v/>
      </c>
      <c r="M156" s="2">
        <f>IFERROR(XLOOKUP(A156,Raw_Alerts!$B:$B,Raw_Alerts!$C:$C),"")</f>
        <v/>
      </c>
      <c r="N156" s="2">
        <f>IFERROR(XLOOKUP(A156,Raw_Alerts!$B:$B,Raw_Alerts!$D:$D),"")</f>
        <v/>
      </c>
      <c r="O156" s="2">
        <f>IFERROR(XLOOKUP(A156,Raw_Alerts!$B:$B,Raw_Alerts!$F:$F),"")</f>
        <v/>
      </c>
      <c r="P156" s="2">
        <f>IF(H156="Not Found","CRITICAL: No Risk Profile",IF(I156="Missing","WARN: Missing KYC",IF(I156="Expired","WARN: KYC Expired",IF(I156="Pending","INFO: KYC Pending","OK"))))</f>
        <v/>
      </c>
    </row>
    <row r="157">
      <c r="A157" s="4">
        <f>Raw_Transactions!A157</f>
        <v/>
      </c>
      <c r="B157" s="4">
        <f>Raw_Transactions!B157</f>
        <v/>
      </c>
      <c r="C157" s="4">
        <f>Raw_Transactions!C157</f>
        <v/>
      </c>
      <c r="D157" s="5">
        <f>Raw_Transactions!D157</f>
        <v/>
      </c>
      <c r="E157" s="4">
        <f>Raw_Transactions!E157</f>
        <v/>
      </c>
      <c r="F157" s="4">
        <f>Raw_Transactions!F157</f>
        <v/>
      </c>
      <c r="G157" s="4">
        <f>Raw_Transactions!G157</f>
        <v/>
      </c>
      <c r="H157" s="4">
        <f>XLOOKUP(B157,Raw_Risk_Profiles!$A:$A,Raw_Risk_Profiles!$B:$B,"Not Found")</f>
        <v/>
      </c>
      <c r="I157" s="4">
        <f>XLOOKUP(B157,Raw_Risk_Profiles!$A:$A,Raw_Risk_Profiles!$C:$C,"Missing")</f>
        <v/>
      </c>
      <c r="J157" s="4">
        <f>XLOOKUP(B157,Raw_Risk_Profiles!$A:$A,Raw_Risk_Profiles!$D:$D,"")</f>
        <v/>
      </c>
      <c r="K157" s="4">
        <f>IFERROR(INDEX(Raw_Risk_Profiles!$E:$E,MATCH(B157,Raw_Risk_Profiles!$A:$A,0)),"Unknown")</f>
        <v/>
      </c>
      <c r="L157" s="4">
        <f>IFERROR(XLOOKUP(A157,Raw_Alerts!$B:$B,Raw_Alerts!$A:$A),"No Alert")</f>
        <v/>
      </c>
      <c r="M157" s="4">
        <f>IFERROR(XLOOKUP(A157,Raw_Alerts!$B:$B,Raw_Alerts!$C:$C),"")</f>
        <v/>
      </c>
      <c r="N157" s="4">
        <f>IFERROR(XLOOKUP(A157,Raw_Alerts!$B:$B,Raw_Alerts!$D:$D),"")</f>
        <v/>
      </c>
      <c r="O157" s="4">
        <f>IFERROR(XLOOKUP(A157,Raw_Alerts!$B:$B,Raw_Alerts!$F:$F),"")</f>
        <v/>
      </c>
      <c r="P157" s="4">
        <f>IF(H157="Not Found","CRITICAL: No Risk Profile",IF(I157="Missing","WARN: Missing KYC",IF(I157="Expired","WARN: KYC Expired",IF(I157="Pending","INFO: KYC Pending","OK"))))</f>
        <v/>
      </c>
    </row>
    <row r="158">
      <c r="A158" s="2">
        <f>Raw_Transactions!A158</f>
        <v/>
      </c>
      <c r="B158" s="2">
        <f>Raw_Transactions!B158</f>
        <v/>
      </c>
      <c r="C158" s="2">
        <f>Raw_Transactions!C158</f>
        <v/>
      </c>
      <c r="D158" s="3">
        <f>Raw_Transactions!D158</f>
        <v/>
      </c>
      <c r="E158" s="2">
        <f>Raw_Transactions!E158</f>
        <v/>
      </c>
      <c r="F158" s="2">
        <f>Raw_Transactions!F158</f>
        <v/>
      </c>
      <c r="G158" s="2">
        <f>Raw_Transactions!G158</f>
        <v/>
      </c>
      <c r="H158" s="2">
        <f>XLOOKUP(B158,Raw_Risk_Profiles!$A:$A,Raw_Risk_Profiles!$B:$B,"Not Found")</f>
        <v/>
      </c>
      <c r="I158" s="2">
        <f>XLOOKUP(B158,Raw_Risk_Profiles!$A:$A,Raw_Risk_Profiles!$C:$C,"Missing")</f>
        <v/>
      </c>
      <c r="J158" s="2">
        <f>XLOOKUP(B158,Raw_Risk_Profiles!$A:$A,Raw_Risk_Profiles!$D:$D,"")</f>
        <v/>
      </c>
      <c r="K158" s="2">
        <f>IFERROR(INDEX(Raw_Risk_Profiles!$E:$E,MATCH(B158,Raw_Risk_Profiles!$A:$A,0)),"Unknown")</f>
        <v/>
      </c>
      <c r="L158" s="2">
        <f>IFERROR(XLOOKUP(A158,Raw_Alerts!$B:$B,Raw_Alerts!$A:$A),"No Alert")</f>
        <v/>
      </c>
      <c r="M158" s="2">
        <f>IFERROR(XLOOKUP(A158,Raw_Alerts!$B:$B,Raw_Alerts!$C:$C),"")</f>
        <v/>
      </c>
      <c r="N158" s="2">
        <f>IFERROR(XLOOKUP(A158,Raw_Alerts!$B:$B,Raw_Alerts!$D:$D),"")</f>
        <v/>
      </c>
      <c r="O158" s="2">
        <f>IFERROR(XLOOKUP(A158,Raw_Alerts!$B:$B,Raw_Alerts!$F:$F),"")</f>
        <v/>
      </c>
      <c r="P158" s="2">
        <f>IF(H158="Not Found","CRITICAL: No Risk Profile",IF(I158="Missing","WARN: Missing KYC",IF(I158="Expired","WARN: KYC Expired",IF(I158="Pending","INFO: KYC Pending","OK"))))</f>
        <v/>
      </c>
    </row>
    <row r="159">
      <c r="A159" s="4">
        <f>Raw_Transactions!A159</f>
        <v/>
      </c>
      <c r="B159" s="4">
        <f>Raw_Transactions!B159</f>
        <v/>
      </c>
      <c r="C159" s="4">
        <f>Raw_Transactions!C159</f>
        <v/>
      </c>
      <c r="D159" s="5">
        <f>Raw_Transactions!D159</f>
        <v/>
      </c>
      <c r="E159" s="4">
        <f>Raw_Transactions!E159</f>
        <v/>
      </c>
      <c r="F159" s="4">
        <f>Raw_Transactions!F159</f>
        <v/>
      </c>
      <c r="G159" s="4">
        <f>Raw_Transactions!G159</f>
        <v/>
      </c>
      <c r="H159" s="4">
        <f>XLOOKUP(B159,Raw_Risk_Profiles!$A:$A,Raw_Risk_Profiles!$B:$B,"Not Found")</f>
        <v/>
      </c>
      <c r="I159" s="4">
        <f>XLOOKUP(B159,Raw_Risk_Profiles!$A:$A,Raw_Risk_Profiles!$C:$C,"Missing")</f>
        <v/>
      </c>
      <c r="J159" s="4">
        <f>XLOOKUP(B159,Raw_Risk_Profiles!$A:$A,Raw_Risk_Profiles!$D:$D,"")</f>
        <v/>
      </c>
      <c r="K159" s="4">
        <f>IFERROR(INDEX(Raw_Risk_Profiles!$E:$E,MATCH(B159,Raw_Risk_Profiles!$A:$A,0)),"Unknown")</f>
        <v/>
      </c>
      <c r="L159" s="4">
        <f>IFERROR(XLOOKUP(A159,Raw_Alerts!$B:$B,Raw_Alerts!$A:$A),"No Alert")</f>
        <v/>
      </c>
      <c r="M159" s="4">
        <f>IFERROR(XLOOKUP(A159,Raw_Alerts!$B:$B,Raw_Alerts!$C:$C),"")</f>
        <v/>
      </c>
      <c r="N159" s="4">
        <f>IFERROR(XLOOKUP(A159,Raw_Alerts!$B:$B,Raw_Alerts!$D:$D),"")</f>
        <v/>
      </c>
      <c r="O159" s="4">
        <f>IFERROR(XLOOKUP(A159,Raw_Alerts!$B:$B,Raw_Alerts!$F:$F),"")</f>
        <v/>
      </c>
      <c r="P159" s="4">
        <f>IF(H159="Not Found","CRITICAL: No Risk Profile",IF(I159="Missing","WARN: Missing KYC",IF(I159="Expired","WARN: KYC Expired",IF(I159="Pending","INFO: KYC Pending","OK"))))</f>
        <v/>
      </c>
    </row>
    <row r="160">
      <c r="A160" s="2">
        <f>Raw_Transactions!A160</f>
        <v/>
      </c>
      <c r="B160" s="2">
        <f>Raw_Transactions!B160</f>
        <v/>
      </c>
      <c r="C160" s="2">
        <f>Raw_Transactions!C160</f>
        <v/>
      </c>
      <c r="D160" s="3">
        <f>Raw_Transactions!D160</f>
        <v/>
      </c>
      <c r="E160" s="2">
        <f>Raw_Transactions!E160</f>
        <v/>
      </c>
      <c r="F160" s="2">
        <f>Raw_Transactions!F160</f>
        <v/>
      </c>
      <c r="G160" s="2">
        <f>Raw_Transactions!G160</f>
        <v/>
      </c>
      <c r="H160" s="2">
        <f>XLOOKUP(B160,Raw_Risk_Profiles!$A:$A,Raw_Risk_Profiles!$B:$B,"Not Found")</f>
        <v/>
      </c>
      <c r="I160" s="2">
        <f>XLOOKUP(B160,Raw_Risk_Profiles!$A:$A,Raw_Risk_Profiles!$C:$C,"Missing")</f>
        <v/>
      </c>
      <c r="J160" s="2">
        <f>XLOOKUP(B160,Raw_Risk_Profiles!$A:$A,Raw_Risk_Profiles!$D:$D,"")</f>
        <v/>
      </c>
      <c r="K160" s="2">
        <f>IFERROR(INDEX(Raw_Risk_Profiles!$E:$E,MATCH(B160,Raw_Risk_Profiles!$A:$A,0)),"Unknown")</f>
        <v/>
      </c>
      <c r="L160" s="2">
        <f>IFERROR(XLOOKUP(A160,Raw_Alerts!$B:$B,Raw_Alerts!$A:$A),"No Alert")</f>
        <v/>
      </c>
      <c r="M160" s="2">
        <f>IFERROR(XLOOKUP(A160,Raw_Alerts!$B:$B,Raw_Alerts!$C:$C),"")</f>
        <v/>
      </c>
      <c r="N160" s="2">
        <f>IFERROR(XLOOKUP(A160,Raw_Alerts!$B:$B,Raw_Alerts!$D:$D),"")</f>
        <v/>
      </c>
      <c r="O160" s="2">
        <f>IFERROR(XLOOKUP(A160,Raw_Alerts!$B:$B,Raw_Alerts!$F:$F),"")</f>
        <v/>
      </c>
      <c r="P160" s="2">
        <f>IF(H160="Not Found","CRITICAL: No Risk Profile",IF(I160="Missing","WARN: Missing KYC",IF(I160="Expired","WARN: KYC Expired",IF(I160="Pending","INFO: KYC Pending","OK"))))</f>
        <v/>
      </c>
    </row>
    <row r="161">
      <c r="A161" s="4">
        <f>Raw_Transactions!A161</f>
        <v/>
      </c>
      <c r="B161" s="4">
        <f>Raw_Transactions!B161</f>
        <v/>
      </c>
      <c r="C161" s="4">
        <f>Raw_Transactions!C161</f>
        <v/>
      </c>
      <c r="D161" s="5">
        <f>Raw_Transactions!D161</f>
        <v/>
      </c>
      <c r="E161" s="4">
        <f>Raw_Transactions!E161</f>
        <v/>
      </c>
      <c r="F161" s="4">
        <f>Raw_Transactions!F161</f>
        <v/>
      </c>
      <c r="G161" s="4">
        <f>Raw_Transactions!G161</f>
        <v/>
      </c>
      <c r="H161" s="4">
        <f>XLOOKUP(B161,Raw_Risk_Profiles!$A:$A,Raw_Risk_Profiles!$B:$B,"Not Found")</f>
        <v/>
      </c>
      <c r="I161" s="4">
        <f>XLOOKUP(B161,Raw_Risk_Profiles!$A:$A,Raw_Risk_Profiles!$C:$C,"Missing")</f>
        <v/>
      </c>
      <c r="J161" s="4">
        <f>XLOOKUP(B161,Raw_Risk_Profiles!$A:$A,Raw_Risk_Profiles!$D:$D,"")</f>
        <v/>
      </c>
      <c r="K161" s="4">
        <f>IFERROR(INDEX(Raw_Risk_Profiles!$E:$E,MATCH(B161,Raw_Risk_Profiles!$A:$A,0)),"Unknown")</f>
        <v/>
      </c>
      <c r="L161" s="4">
        <f>IFERROR(XLOOKUP(A161,Raw_Alerts!$B:$B,Raw_Alerts!$A:$A),"No Alert")</f>
        <v/>
      </c>
      <c r="M161" s="4">
        <f>IFERROR(XLOOKUP(A161,Raw_Alerts!$B:$B,Raw_Alerts!$C:$C),"")</f>
        <v/>
      </c>
      <c r="N161" s="4">
        <f>IFERROR(XLOOKUP(A161,Raw_Alerts!$B:$B,Raw_Alerts!$D:$D),"")</f>
        <v/>
      </c>
      <c r="O161" s="4">
        <f>IFERROR(XLOOKUP(A161,Raw_Alerts!$B:$B,Raw_Alerts!$F:$F),"")</f>
        <v/>
      </c>
      <c r="P161" s="4">
        <f>IF(H161="Not Found","CRITICAL: No Risk Profile",IF(I161="Missing","WARN: Missing KYC",IF(I161="Expired","WARN: KYC Expired",IF(I161="Pending","INFO: KYC Pending","OK"))))</f>
        <v/>
      </c>
    </row>
    <row r="162">
      <c r="A162" s="2">
        <f>Raw_Transactions!A162</f>
        <v/>
      </c>
      <c r="B162" s="2">
        <f>Raw_Transactions!B162</f>
        <v/>
      </c>
      <c r="C162" s="2">
        <f>Raw_Transactions!C162</f>
        <v/>
      </c>
      <c r="D162" s="3">
        <f>Raw_Transactions!D162</f>
        <v/>
      </c>
      <c r="E162" s="2">
        <f>Raw_Transactions!E162</f>
        <v/>
      </c>
      <c r="F162" s="2">
        <f>Raw_Transactions!F162</f>
        <v/>
      </c>
      <c r="G162" s="2">
        <f>Raw_Transactions!G162</f>
        <v/>
      </c>
      <c r="H162" s="2">
        <f>XLOOKUP(B162,Raw_Risk_Profiles!$A:$A,Raw_Risk_Profiles!$B:$B,"Not Found")</f>
        <v/>
      </c>
      <c r="I162" s="2">
        <f>XLOOKUP(B162,Raw_Risk_Profiles!$A:$A,Raw_Risk_Profiles!$C:$C,"Missing")</f>
        <v/>
      </c>
      <c r="J162" s="2">
        <f>XLOOKUP(B162,Raw_Risk_Profiles!$A:$A,Raw_Risk_Profiles!$D:$D,"")</f>
        <v/>
      </c>
      <c r="K162" s="2">
        <f>IFERROR(INDEX(Raw_Risk_Profiles!$E:$E,MATCH(B162,Raw_Risk_Profiles!$A:$A,0)),"Unknown")</f>
        <v/>
      </c>
      <c r="L162" s="2">
        <f>IFERROR(XLOOKUP(A162,Raw_Alerts!$B:$B,Raw_Alerts!$A:$A),"No Alert")</f>
        <v/>
      </c>
      <c r="M162" s="2">
        <f>IFERROR(XLOOKUP(A162,Raw_Alerts!$B:$B,Raw_Alerts!$C:$C),"")</f>
        <v/>
      </c>
      <c r="N162" s="2">
        <f>IFERROR(XLOOKUP(A162,Raw_Alerts!$B:$B,Raw_Alerts!$D:$D),"")</f>
        <v/>
      </c>
      <c r="O162" s="2">
        <f>IFERROR(XLOOKUP(A162,Raw_Alerts!$B:$B,Raw_Alerts!$F:$F),"")</f>
        <v/>
      </c>
      <c r="P162" s="2">
        <f>IF(H162="Not Found","CRITICAL: No Risk Profile",IF(I162="Missing","WARN: Missing KYC",IF(I162="Expired","WARN: KYC Expired",IF(I162="Pending","INFO: KYC Pending","OK"))))</f>
        <v/>
      </c>
    </row>
    <row r="163">
      <c r="A163" s="4">
        <f>Raw_Transactions!A163</f>
        <v/>
      </c>
      <c r="B163" s="4">
        <f>Raw_Transactions!B163</f>
        <v/>
      </c>
      <c r="C163" s="4">
        <f>Raw_Transactions!C163</f>
        <v/>
      </c>
      <c r="D163" s="5">
        <f>Raw_Transactions!D163</f>
        <v/>
      </c>
      <c r="E163" s="4">
        <f>Raw_Transactions!E163</f>
        <v/>
      </c>
      <c r="F163" s="4">
        <f>Raw_Transactions!F163</f>
        <v/>
      </c>
      <c r="G163" s="4">
        <f>Raw_Transactions!G163</f>
        <v/>
      </c>
      <c r="H163" s="4">
        <f>XLOOKUP(B163,Raw_Risk_Profiles!$A:$A,Raw_Risk_Profiles!$B:$B,"Not Found")</f>
        <v/>
      </c>
      <c r="I163" s="4">
        <f>XLOOKUP(B163,Raw_Risk_Profiles!$A:$A,Raw_Risk_Profiles!$C:$C,"Missing")</f>
        <v/>
      </c>
      <c r="J163" s="4">
        <f>XLOOKUP(B163,Raw_Risk_Profiles!$A:$A,Raw_Risk_Profiles!$D:$D,"")</f>
        <v/>
      </c>
      <c r="K163" s="4">
        <f>IFERROR(INDEX(Raw_Risk_Profiles!$E:$E,MATCH(B163,Raw_Risk_Profiles!$A:$A,0)),"Unknown")</f>
        <v/>
      </c>
      <c r="L163" s="4">
        <f>IFERROR(XLOOKUP(A163,Raw_Alerts!$B:$B,Raw_Alerts!$A:$A),"No Alert")</f>
        <v/>
      </c>
      <c r="M163" s="4">
        <f>IFERROR(XLOOKUP(A163,Raw_Alerts!$B:$B,Raw_Alerts!$C:$C),"")</f>
        <v/>
      </c>
      <c r="N163" s="4">
        <f>IFERROR(XLOOKUP(A163,Raw_Alerts!$B:$B,Raw_Alerts!$D:$D),"")</f>
        <v/>
      </c>
      <c r="O163" s="4">
        <f>IFERROR(XLOOKUP(A163,Raw_Alerts!$B:$B,Raw_Alerts!$F:$F),"")</f>
        <v/>
      </c>
      <c r="P163" s="4">
        <f>IF(H163="Not Found","CRITICAL: No Risk Profile",IF(I163="Missing","WARN: Missing KYC",IF(I163="Expired","WARN: KYC Expired",IF(I163="Pending","INFO: KYC Pending","OK"))))</f>
        <v/>
      </c>
    </row>
    <row r="164">
      <c r="A164" s="2">
        <f>Raw_Transactions!A164</f>
        <v/>
      </c>
      <c r="B164" s="2">
        <f>Raw_Transactions!B164</f>
        <v/>
      </c>
      <c r="C164" s="2">
        <f>Raw_Transactions!C164</f>
        <v/>
      </c>
      <c r="D164" s="3">
        <f>Raw_Transactions!D164</f>
        <v/>
      </c>
      <c r="E164" s="2">
        <f>Raw_Transactions!E164</f>
        <v/>
      </c>
      <c r="F164" s="2">
        <f>Raw_Transactions!F164</f>
        <v/>
      </c>
      <c r="G164" s="2">
        <f>Raw_Transactions!G164</f>
        <v/>
      </c>
      <c r="H164" s="2">
        <f>XLOOKUP(B164,Raw_Risk_Profiles!$A:$A,Raw_Risk_Profiles!$B:$B,"Not Found")</f>
        <v/>
      </c>
      <c r="I164" s="2">
        <f>XLOOKUP(B164,Raw_Risk_Profiles!$A:$A,Raw_Risk_Profiles!$C:$C,"Missing")</f>
        <v/>
      </c>
      <c r="J164" s="2">
        <f>XLOOKUP(B164,Raw_Risk_Profiles!$A:$A,Raw_Risk_Profiles!$D:$D,"")</f>
        <v/>
      </c>
      <c r="K164" s="2">
        <f>IFERROR(INDEX(Raw_Risk_Profiles!$E:$E,MATCH(B164,Raw_Risk_Profiles!$A:$A,0)),"Unknown")</f>
        <v/>
      </c>
      <c r="L164" s="2">
        <f>IFERROR(XLOOKUP(A164,Raw_Alerts!$B:$B,Raw_Alerts!$A:$A),"No Alert")</f>
        <v/>
      </c>
      <c r="M164" s="2">
        <f>IFERROR(XLOOKUP(A164,Raw_Alerts!$B:$B,Raw_Alerts!$C:$C),"")</f>
        <v/>
      </c>
      <c r="N164" s="2">
        <f>IFERROR(XLOOKUP(A164,Raw_Alerts!$B:$B,Raw_Alerts!$D:$D),"")</f>
        <v/>
      </c>
      <c r="O164" s="2">
        <f>IFERROR(XLOOKUP(A164,Raw_Alerts!$B:$B,Raw_Alerts!$F:$F),"")</f>
        <v/>
      </c>
      <c r="P164" s="2">
        <f>IF(H164="Not Found","CRITICAL: No Risk Profile",IF(I164="Missing","WARN: Missing KYC",IF(I164="Expired","WARN: KYC Expired",IF(I164="Pending","INFO: KYC Pending","OK"))))</f>
        <v/>
      </c>
    </row>
    <row r="165">
      <c r="A165" s="4">
        <f>Raw_Transactions!A165</f>
        <v/>
      </c>
      <c r="B165" s="4">
        <f>Raw_Transactions!B165</f>
        <v/>
      </c>
      <c r="C165" s="4">
        <f>Raw_Transactions!C165</f>
        <v/>
      </c>
      <c r="D165" s="5">
        <f>Raw_Transactions!D165</f>
        <v/>
      </c>
      <c r="E165" s="4">
        <f>Raw_Transactions!E165</f>
        <v/>
      </c>
      <c r="F165" s="4">
        <f>Raw_Transactions!F165</f>
        <v/>
      </c>
      <c r="G165" s="4">
        <f>Raw_Transactions!G165</f>
        <v/>
      </c>
      <c r="H165" s="4">
        <f>XLOOKUP(B165,Raw_Risk_Profiles!$A:$A,Raw_Risk_Profiles!$B:$B,"Not Found")</f>
        <v/>
      </c>
      <c r="I165" s="4">
        <f>XLOOKUP(B165,Raw_Risk_Profiles!$A:$A,Raw_Risk_Profiles!$C:$C,"Missing")</f>
        <v/>
      </c>
      <c r="J165" s="4">
        <f>XLOOKUP(B165,Raw_Risk_Profiles!$A:$A,Raw_Risk_Profiles!$D:$D,"")</f>
        <v/>
      </c>
      <c r="K165" s="4">
        <f>IFERROR(INDEX(Raw_Risk_Profiles!$E:$E,MATCH(B165,Raw_Risk_Profiles!$A:$A,0)),"Unknown")</f>
        <v/>
      </c>
      <c r="L165" s="4">
        <f>IFERROR(XLOOKUP(A165,Raw_Alerts!$B:$B,Raw_Alerts!$A:$A),"No Alert")</f>
        <v/>
      </c>
      <c r="M165" s="4">
        <f>IFERROR(XLOOKUP(A165,Raw_Alerts!$B:$B,Raw_Alerts!$C:$C),"")</f>
        <v/>
      </c>
      <c r="N165" s="4">
        <f>IFERROR(XLOOKUP(A165,Raw_Alerts!$B:$B,Raw_Alerts!$D:$D),"")</f>
        <v/>
      </c>
      <c r="O165" s="4">
        <f>IFERROR(XLOOKUP(A165,Raw_Alerts!$B:$B,Raw_Alerts!$F:$F),"")</f>
        <v/>
      </c>
      <c r="P165" s="4">
        <f>IF(H165="Not Found","CRITICAL: No Risk Profile",IF(I165="Missing","WARN: Missing KYC",IF(I165="Expired","WARN: KYC Expired",IF(I165="Pending","INFO: KYC Pending","OK"))))</f>
        <v/>
      </c>
    </row>
    <row r="166">
      <c r="A166" s="2">
        <f>Raw_Transactions!A166</f>
        <v/>
      </c>
      <c r="B166" s="2">
        <f>Raw_Transactions!B166</f>
        <v/>
      </c>
      <c r="C166" s="2">
        <f>Raw_Transactions!C166</f>
        <v/>
      </c>
      <c r="D166" s="3">
        <f>Raw_Transactions!D166</f>
        <v/>
      </c>
      <c r="E166" s="2">
        <f>Raw_Transactions!E166</f>
        <v/>
      </c>
      <c r="F166" s="2">
        <f>Raw_Transactions!F166</f>
        <v/>
      </c>
      <c r="G166" s="2">
        <f>Raw_Transactions!G166</f>
        <v/>
      </c>
      <c r="H166" s="2">
        <f>XLOOKUP(B166,Raw_Risk_Profiles!$A:$A,Raw_Risk_Profiles!$B:$B,"Not Found")</f>
        <v/>
      </c>
      <c r="I166" s="2">
        <f>XLOOKUP(B166,Raw_Risk_Profiles!$A:$A,Raw_Risk_Profiles!$C:$C,"Missing")</f>
        <v/>
      </c>
      <c r="J166" s="2">
        <f>XLOOKUP(B166,Raw_Risk_Profiles!$A:$A,Raw_Risk_Profiles!$D:$D,"")</f>
        <v/>
      </c>
      <c r="K166" s="2">
        <f>IFERROR(INDEX(Raw_Risk_Profiles!$E:$E,MATCH(B166,Raw_Risk_Profiles!$A:$A,0)),"Unknown")</f>
        <v/>
      </c>
      <c r="L166" s="2">
        <f>IFERROR(XLOOKUP(A166,Raw_Alerts!$B:$B,Raw_Alerts!$A:$A),"No Alert")</f>
        <v/>
      </c>
      <c r="M166" s="2">
        <f>IFERROR(XLOOKUP(A166,Raw_Alerts!$B:$B,Raw_Alerts!$C:$C),"")</f>
        <v/>
      </c>
      <c r="N166" s="2">
        <f>IFERROR(XLOOKUP(A166,Raw_Alerts!$B:$B,Raw_Alerts!$D:$D),"")</f>
        <v/>
      </c>
      <c r="O166" s="2">
        <f>IFERROR(XLOOKUP(A166,Raw_Alerts!$B:$B,Raw_Alerts!$F:$F),"")</f>
        <v/>
      </c>
      <c r="P166" s="2">
        <f>IF(H166="Not Found","CRITICAL: No Risk Profile",IF(I166="Missing","WARN: Missing KYC",IF(I166="Expired","WARN: KYC Expired",IF(I166="Pending","INFO: KYC Pending","OK"))))</f>
        <v/>
      </c>
    </row>
    <row r="167">
      <c r="A167" s="4">
        <f>Raw_Transactions!A167</f>
        <v/>
      </c>
      <c r="B167" s="4">
        <f>Raw_Transactions!B167</f>
        <v/>
      </c>
      <c r="C167" s="4">
        <f>Raw_Transactions!C167</f>
        <v/>
      </c>
      <c r="D167" s="5">
        <f>Raw_Transactions!D167</f>
        <v/>
      </c>
      <c r="E167" s="4">
        <f>Raw_Transactions!E167</f>
        <v/>
      </c>
      <c r="F167" s="4">
        <f>Raw_Transactions!F167</f>
        <v/>
      </c>
      <c r="G167" s="4">
        <f>Raw_Transactions!G167</f>
        <v/>
      </c>
      <c r="H167" s="4">
        <f>XLOOKUP(B167,Raw_Risk_Profiles!$A:$A,Raw_Risk_Profiles!$B:$B,"Not Found")</f>
        <v/>
      </c>
      <c r="I167" s="4">
        <f>XLOOKUP(B167,Raw_Risk_Profiles!$A:$A,Raw_Risk_Profiles!$C:$C,"Missing")</f>
        <v/>
      </c>
      <c r="J167" s="4">
        <f>XLOOKUP(B167,Raw_Risk_Profiles!$A:$A,Raw_Risk_Profiles!$D:$D,"")</f>
        <v/>
      </c>
      <c r="K167" s="4">
        <f>IFERROR(INDEX(Raw_Risk_Profiles!$E:$E,MATCH(B167,Raw_Risk_Profiles!$A:$A,0)),"Unknown")</f>
        <v/>
      </c>
      <c r="L167" s="4">
        <f>IFERROR(XLOOKUP(A167,Raw_Alerts!$B:$B,Raw_Alerts!$A:$A),"No Alert")</f>
        <v/>
      </c>
      <c r="M167" s="4">
        <f>IFERROR(XLOOKUP(A167,Raw_Alerts!$B:$B,Raw_Alerts!$C:$C),"")</f>
        <v/>
      </c>
      <c r="N167" s="4">
        <f>IFERROR(XLOOKUP(A167,Raw_Alerts!$B:$B,Raw_Alerts!$D:$D),"")</f>
        <v/>
      </c>
      <c r="O167" s="4">
        <f>IFERROR(XLOOKUP(A167,Raw_Alerts!$B:$B,Raw_Alerts!$F:$F),"")</f>
        <v/>
      </c>
      <c r="P167" s="4">
        <f>IF(H167="Not Found","CRITICAL: No Risk Profile",IF(I167="Missing","WARN: Missing KYC",IF(I167="Expired","WARN: KYC Expired",IF(I167="Pending","INFO: KYC Pending","OK"))))</f>
        <v/>
      </c>
    </row>
    <row r="168">
      <c r="A168" s="2">
        <f>Raw_Transactions!A168</f>
        <v/>
      </c>
      <c r="B168" s="2">
        <f>Raw_Transactions!B168</f>
        <v/>
      </c>
      <c r="C168" s="2">
        <f>Raw_Transactions!C168</f>
        <v/>
      </c>
      <c r="D168" s="3">
        <f>Raw_Transactions!D168</f>
        <v/>
      </c>
      <c r="E168" s="2">
        <f>Raw_Transactions!E168</f>
        <v/>
      </c>
      <c r="F168" s="2">
        <f>Raw_Transactions!F168</f>
        <v/>
      </c>
      <c r="G168" s="2">
        <f>Raw_Transactions!G168</f>
        <v/>
      </c>
      <c r="H168" s="2">
        <f>XLOOKUP(B168,Raw_Risk_Profiles!$A:$A,Raw_Risk_Profiles!$B:$B,"Not Found")</f>
        <v/>
      </c>
      <c r="I168" s="2">
        <f>XLOOKUP(B168,Raw_Risk_Profiles!$A:$A,Raw_Risk_Profiles!$C:$C,"Missing")</f>
        <v/>
      </c>
      <c r="J168" s="2">
        <f>XLOOKUP(B168,Raw_Risk_Profiles!$A:$A,Raw_Risk_Profiles!$D:$D,"")</f>
        <v/>
      </c>
      <c r="K168" s="2">
        <f>IFERROR(INDEX(Raw_Risk_Profiles!$E:$E,MATCH(B168,Raw_Risk_Profiles!$A:$A,0)),"Unknown")</f>
        <v/>
      </c>
      <c r="L168" s="2">
        <f>IFERROR(XLOOKUP(A168,Raw_Alerts!$B:$B,Raw_Alerts!$A:$A),"No Alert")</f>
        <v/>
      </c>
      <c r="M168" s="2">
        <f>IFERROR(XLOOKUP(A168,Raw_Alerts!$B:$B,Raw_Alerts!$C:$C),"")</f>
        <v/>
      </c>
      <c r="N168" s="2">
        <f>IFERROR(XLOOKUP(A168,Raw_Alerts!$B:$B,Raw_Alerts!$D:$D),"")</f>
        <v/>
      </c>
      <c r="O168" s="2">
        <f>IFERROR(XLOOKUP(A168,Raw_Alerts!$B:$B,Raw_Alerts!$F:$F),"")</f>
        <v/>
      </c>
      <c r="P168" s="2">
        <f>IF(H168="Not Found","CRITICAL: No Risk Profile",IF(I168="Missing","WARN: Missing KYC",IF(I168="Expired","WARN: KYC Expired",IF(I168="Pending","INFO: KYC Pending","OK"))))</f>
        <v/>
      </c>
    </row>
    <row r="169">
      <c r="A169" s="4">
        <f>Raw_Transactions!A169</f>
        <v/>
      </c>
      <c r="B169" s="4">
        <f>Raw_Transactions!B169</f>
        <v/>
      </c>
      <c r="C169" s="4">
        <f>Raw_Transactions!C169</f>
        <v/>
      </c>
      <c r="D169" s="5">
        <f>Raw_Transactions!D169</f>
        <v/>
      </c>
      <c r="E169" s="4">
        <f>Raw_Transactions!E169</f>
        <v/>
      </c>
      <c r="F169" s="4">
        <f>Raw_Transactions!F169</f>
        <v/>
      </c>
      <c r="G169" s="4">
        <f>Raw_Transactions!G169</f>
        <v/>
      </c>
      <c r="H169" s="4">
        <f>XLOOKUP(B169,Raw_Risk_Profiles!$A:$A,Raw_Risk_Profiles!$B:$B,"Not Found")</f>
        <v/>
      </c>
      <c r="I169" s="4">
        <f>XLOOKUP(B169,Raw_Risk_Profiles!$A:$A,Raw_Risk_Profiles!$C:$C,"Missing")</f>
        <v/>
      </c>
      <c r="J169" s="4">
        <f>XLOOKUP(B169,Raw_Risk_Profiles!$A:$A,Raw_Risk_Profiles!$D:$D,"")</f>
        <v/>
      </c>
      <c r="K169" s="4">
        <f>IFERROR(INDEX(Raw_Risk_Profiles!$E:$E,MATCH(B169,Raw_Risk_Profiles!$A:$A,0)),"Unknown")</f>
        <v/>
      </c>
      <c r="L169" s="4">
        <f>IFERROR(XLOOKUP(A169,Raw_Alerts!$B:$B,Raw_Alerts!$A:$A),"No Alert")</f>
        <v/>
      </c>
      <c r="M169" s="4">
        <f>IFERROR(XLOOKUP(A169,Raw_Alerts!$B:$B,Raw_Alerts!$C:$C),"")</f>
        <v/>
      </c>
      <c r="N169" s="4">
        <f>IFERROR(XLOOKUP(A169,Raw_Alerts!$B:$B,Raw_Alerts!$D:$D),"")</f>
        <v/>
      </c>
      <c r="O169" s="4">
        <f>IFERROR(XLOOKUP(A169,Raw_Alerts!$B:$B,Raw_Alerts!$F:$F),"")</f>
        <v/>
      </c>
      <c r="P169" s="4">
        <f>IF(H169="Not Found","CRITICAL: No Risk Profile",IF(I169="Missing","WARN: Missing KYC",IF(I169="Expired","WARN: KYC Expired",IF(I169="Pending","INFO: KYC Pending","OK"))))</f>
        <v/>
      </c>
    </row>
    <row r="170">
      <c r="A170" s="2">
        <f>Raw_Transactions!A170</f>
        <v/>
      </c>
      <c r="B170" s="2">
        <f>Raw_Transactions!B170</f>
        <v/>
      </c>
      <c r="C170" s="2">
        <f>Raw_Transactions!C170</f>
        <v/>
      </c>
      <c r="D170" s="3">
        <f>Raw_Transactions!D170</f>
        <v/>
      </c>
      <c r="E170" s="2">
        <f>Raw_Transactions!E170</f>
        <v/>
      </c>
      <c r="F170" s="2">
        <f>Raw_Transactions!F170</f>
        <v/>
      </c>
      <c r="G170" s="2">
        <f>Raw_Transactions!G170</f>
        <v/>
      </c>
      <c r="H170" s="2">
        <f>XLOOKUP(B170,Raw_Risk_Profiles!$A:$A,Raw_Risk_Profiles!$B:$B,"Not Found")</f>
        <v/>
      </c>
      <c r="I170" s="2">
        <f>XLOOKUP(B170,Raw_Risk_Profiles!$A:$A,Raw_Risk_Profiles!$C:$C,"Missing")</f>
        <v/>
      </c>
      <c r="J170" s="2">
        <f>XLOOKUP(B170,Raw_Risk_Profiles!$A:$A,Raw_Risk_Profiles!$D:$D,"")</f>
        <v/>
      </c>
      <c r="K170" s="2">
        <f>IFERROR(INDEX(Raw_Risk_Profiles!$E:$E,MATCH(B170,Raw_Risk_Profiles!$A:$A,0)),"Unknown")</f>
        <v/>
      </c>
      <c r="L170" s="2">
        <f>IFERROR(XLOOKUP(A170,Raw_Alerts!$B:$B,Raw_Alerts!$A:$A),"No Alert")</f>
        <v/>
      </c>
      <c r="M170" s="2">
        <f>IFERROR(XLOOKUP(A170,Raw_Alerts!$B:$B,Raw_Alerts!$C:$C),"")</f>
        <v/>
      </c>
      <c r="N170" s="2">
        <f>IFERROR(XLOOKUP(A170,Raw_Alerts!$B:$B,Raw_Alerts!$D:$D),"")</f>
        <v/>
      </c>
      <c r="O170" s="2">
        <f>IFERROR(XLOOKUP(A170,Raw_Alerts!$B:$B,Raw_Alerts!$F:$F),"")</f>
        <v/>
      </c>
      <c r="P170" s="2">
        <f>IF(H170="Not Found","CRITICAL: No Risk Profile",IF(I170="Missing","WARN: Missing KYC",IF(I170="Expired","WARN: KYC Expired",IF(I170="Pending","INFO: KYC Pending","OK"))))</f>
        <v/>
      </c>
    </row>
    <row r="171">
      <c r="A171" s="4">
        <f>Raw_Transactions!A171</f>
        <v/>
      </c>
      <c r="B171" s="4">
        <f>Raw_Transactions!B171</f>
        <v/>
      </c>
      <c r="C171" s="4">
        <f>Raw_Transactions!C171</f>
        <v/>
      </c>
      <c r="D171" s="5">
        <f>Raw_Transactions!D171</f>
        <v/>
      </c>
      <c r="E171" s="4">
        <f>Raw_Transactions!E171</f>
        <v/>
      </c>
      <c r="F171" s="4">
        <f>Raw_Transactions!F171</f>
        <v/>
      </c>
      <c r="G171" s="4">
        <f>Raw_Transactions!G171</f>
        <v/>
      </c>
      <c r="H171" s="4">
        <f>XLOOKUP(B171,Raw_Risk_Profiles!$A:$A,Raw_Risk_Profiles!$B:$B,"Not Found")</f>
        <v/>
      </c>
      <c r="I171" s="4">
        <f>XLOOKUP(B171,Raw_Risk_Profiles!$A:$A,Raw_Risk_Profiles!$C:$C,"Missing")</f>
        <v/>
      </c>
      <c r="J171" s="4">
        <f>XLOOKUP(B171,Raw_Risk_Profiles!$A:$A,Raw_Risk_Profiles!$D:$D,"")</f>
        <v/>
      </c>
      <c r="K171" s="4">
        <f>IFERROR(INDEX(Raw_Risk_Profiles!$E:$E,MATCH(B171,Raw_Risk_Profiles!$A:$A,0)),"Unknown")</f>
        <v/>
      </c>
      <c r="L171" s="4">
        <f>IFERROR(XLOOKUP(A171,Raw_Alerts!$B:$B,Raw_Alerts!$A:$A),"No Alert")</f>
        <v/>
      </c>
      <c r="M171" s="4">
        <f>IFERROR(XLOOKUP(A171,Raw_Alerts!$B:$B,Raw_Alerts!$C:$C),"")</f>
        <v/>
      </c>
      <c r="N171" s="4">
        <f>IFERROR(XLOOKUP(A171,Raw_Alerts!$B:$B,Raw_Alerts!$D:$D),"")</f>
        <v/>
      </c>
      <c r="O171" s="4">
        <f>IFERROR(XLOOKUP(A171,Raw_Alerts!$B:$B,Raw_Alerts!$F:$F),"")</f>
        <v/>
      </c>
      <c r="P171" s="4">
        <f>IF(H171="Not Found","CRITICAL: No Risk Profile",IF(I171="Missing","WARN: Missing KYC",IF(I171="Expired","WARN: KYC Expired",IF(I171="Pending","INFO: KYC Pending","OK"))))</f>
        <v/>
      </c>
    </row>
    <row r="172">
      <c r="A172" s="2">
        <f>Raw_Transactions!A172</f>
        <v/>
      </c>
      <c r="B172" s="2">
        <f>Raw_Transactions!B172</f>
        <v/>
      </c>
      <c r="C172" s="2">
        <f>Raw_Transactions!C172</f>
        <v/>
      </c>
      <c r="D172" s="3">
        <f>Raw_Transactions!D172</f>
        <v/>
      </c>
      <c r="E172" s="2">
        <f>Raw_Transactions!E172</f>
        <v/>
      </c>
      <c r="F172" s="2">
        <f>Raw_Transactions!F172</f>
        <v/>
      </c>
      <c r="G172" s="2">
        <f>Raw_Transactions!G172</f>
        <v/>
      </c>
      <c r="H172" s="2">
        <f>XLOOKUP(B172,Raw_Risk_Profiles!$A:$A,Raw_Risk_Profiles!$B:$B,"Not Found")</f>
        <v/>
      </c>
      <c r="I172" s="2">
        <f>XLOOKUP(B172,Raw_Risk_Profiles!$A:$A,Raw_Risk_Profiles!$C:$C,"Missing")</f>
        <v/>
      </c>
      <c r="J172" s="2">
        <f>XLOOKUP(B172,Raw_Risk_Profiles!$A:$A,Raw_Risk_Profiles!$D:$D,"")</f>
        <v/>
      </c>
      <c r="K172" s="2">
        <f>IFERROR(INDEX(Raw_Risk_Profiles!$E:$E,MATCH(B172,Raw_Risk_Profiles!$A:$A,0)),"Unknown")</f>
        <v/>
      </c>
      <c r="L172" s="2">
        <f>IFERROR(XLOOKUP(A172,Raw_Alerts!$B:$B,Raw_Alerts!$A:$A),"No Alert")</f>
        <v/>
      </c>
      <c r="M172" s="2">
        <f>IFERROR(XLOOKUP(A172,Raw_Alerts!$B:$B,Raw_Alerts!$C:$C),"")</f>
        <v/>
      </c>
      <c r="N172" s="2">
        <f>IFERROR(XLOOKUP(A172,Raw_Alerts!$B:$B,Raw_Alerts!$D:$D),"")</f>
        <v/>
      </c>
      <c r="O172" s="2">
        <f>IFERROR(XLOOKUP(A172,Raw_Alerts!$B:$B,Raw_Alerts!$F:$F),"")</f>
        <v/>
      </c>
      <c r="P172" s="2">
        <f>IF(H172="Not Found","CRITICAL: No Risk Profile",IF(I172="Missing","WARN: Missing KYC",IF(I172="Expired","WARN: KYC Expired",IF(I172="Pending","INFO: KYC Pending","OK"))))</f>
        <v/>
      </c>
    </row>
    <row r="173">
      <c r="A173" s="4">
        <f>Raw_Transactions!A173</f>
        <v/>
      </c>
      <c r="B173" s="4">
        <f>Raw_Transactions!B173</f>
        <v/>
      </c>
      <c r="C173" s="4">
        <f>Raw_Transactions!C173</f>
        <v/>
      </c>
      <c r="D173" s="5">
        <f>Raw_Transactions!D173</f>
        <v/>
      </c>
      <c r="E173" s="4">
        <f>Raw_Transactions!E173</f>
        <v/>
      </c>
      <c r="F173" s="4">
        <f>Raw_Transactions!F173</f>
        <v/>
      </c>
      <c r="G173" s="4">
        <f>Raw_Transactions!G173</f>
        <v/>
      </c>
      <c r="H173" s="4">
        <f>XLOOKUP(B173,Raw_Risk_Profiles!$A:$A,Raw_Risk_Profiles!$B:$B,"Not Found")</f>
        <v/>
      </c>
      <c r="I173" s="4">
        <f>XLOOKUP(B173,Raw_Risk_Profiles!$A:$A,Raw_Risk_Profiles!$C:$C,"Missing")</f>
        <v/>
      </c>
      <c r="J173" s="4">
        <f>XLOOKUP(B173,Raw_Risk_Profiles!$A:$A,Raw_Risk_Profiles!$D:$D,"")</f>
        <v/>
      </c>
      <c r="K173" s="4">
        <f>IFERROR(INDEX(Raw_Risk_Profiles!$E:$E,MATCH(B173,Raw_Risk_Profiles!$A:$A,0)),"Unknown")</f>
        <v/>
      </c>
      <c r="L173" s="4">
        <f>IFERROR(XLOOKUP(A173,Raw_Alerts!$B:$B,Raw_Alerts!$A:$A),"No Alert")</f>
        <v/>
      </c>
      <c r="M173" s="4">
        <f>IFERROR(XLOOKUP(A173,Raw_Alerts!$B:$B,Raw_Alerts!$C:$C),"")</f>
        <v/>
      </c>
      <c r="N173" s="4">
        <f>IFERROR(XLOOKUP(A173,Raw_Alerts!$B:$B,Raw_Alerts!$D:$D),"")</f>
        <v/>
      </c>
      <c r="O173" s="4">
        <f>IFERROR(XLOOKUP(A173,Raw_Alerts!$B:$B,Raw_Alerts!$F:$F),"")</f>
        <v/>
      </c>
      <c r="P173" s="4">
        <f>IF(H173="Not Found","CRITICAL: No Risk Profile",IF(I173="Missing","WARN: Missing KYC",IF(I173="Expired","WARN: KYC Expired",IF(I173="Pending","INFO: KYC Pending","OK"))))</f>
        <v/>
      </c>
    </row>
    <row r="174">
      <c r="A174" s="2">
        <f>Raw_Transactions!A174</f>
        <v/>
      </c>
      <c r="B174" s="2">
        <f>Raw_Transactions!B174</f>
        <v/>
      </c>
      <c r="C174" s="2">
        <f>Raw_Transactions!C174</f>
        <v/>
      </c>
      <c r="D174" s="3">
        <f>Raw_Transactions!D174</f>
        <v/>
      </c>
      <c r="E174" s="2">
        <f>Raw_Transactions!E174</f>
        <v/>
      </c>
      <c r="F174" s="2">
        <f>Raw_Transactions!F174</f>
        <v/>
      </c>
      <c r="G174" s="2">
        <f>Raw_Transactions!G174</f>
        <v/>
      </c>
      <c r="H174" s="2">
        <f>XLOOKUP(B174,Raw_Risk_Profiles!$A:$A,Raw_Risk_Profiles!$B:$B,"Not Found")</f>
        <v/>
      </c>
      <c r="I174" s="2">
        <f>XLOOKUP(B174,Raw_Risk_Profiles!$A:$A,Raw_Risk_Profiles!$C:$C,"Missing")</f>
        <v/>
      </c>
      <c r="J174" s="2">
        <f>XLOOKUP(B174,Raw_Risk_Profiles!$A:$A,Raw_Risk_Profiles!$D:$D,"")</f>
        <v/>
      </c>
      <c r="K174" s="2">
        <f>IFERROR(INDEX(Raw_Risk_Profiles!$E:$E,MATCH(B174,Raw_Risk_Profiles!$A:$A,0)),"Unknown")</f>
        <v/>
      </c>
      <c r="L174" s="2">
        <f>IFERROR(XLOOKUP(A174,Raw_Alerts!$B:$B,Raw_Alerts!$A:$A),"No Alert")</f>
        <v/>
      </c>
      <c r="M174" s="2">
        <f>IFERROR(XLOOKUP(A174,Raw_Alerts!$B:$B,Raw_Alerts!$C:$C),"")</f>
        <v/>
      </c>
      <c r="N174" s="2">
        <f>IFERROR(XLOOKUP(A174,Raw_Alerts!$B:$B,Raw_Alerts!$D:$D),"")</f>
        <v/>
      </c>
      <c r="O174" s="2">
        <f>IFERROR(XLOOKUP(A174,Raw_Alerts!$B:$B,Raw_Alerts!$F:$F),"")</f>
        <v/>
      </c>
      <c r="P174" s="2">
        <f>IF(H174="Not Found","CRITICAL: No Risk Profile",IF(I174="Missing","WARN: Missing KYC",IF(I174="Expired","WARN: KYC Expired",IF(I174="Pending","INFO: KYC Pending","OK"))))</f>
        <v/>
      </c>
    </row>
    <row r="175">
      <c r="A175" s="4">
        <f>Raw_Transactions!A175</f>
        <v/>
      </c>
      <c r="B175" s="4">
        <f>Raw_Transactions!B175</f>
        <v/>
      </c>
      <c r="C175" s="4">
        <f>Raw_Transactions!C175</f>
        <v/>
      </c>
      <c r="D175" s="5">
        <f>Raw_Transactions!D175</f>
        <v/>
      </c>
      <c r="E175" s="4">
        <f>Raw_Transactions!E175</f>
        <v/>
      </c>
      <c r="F175" s="4">
        <f>Raw_Transactions!F175</f>
        <v/>
      </c>
      <c r="G175" s="4">
        <f>Raw_Transactions!G175</f>
        <v/>
      </c>
      <c r="H175" s="4">
        <f>XLOOKUP(B175,Raw_Risk_Profiles!$A:$A,Raw_Risk_Profiles!$B:$B,"Not Found")</f>
        <v/>
      </c>
      <c r="I175" s="4">
        <f>XLOOKUP(B175,Raw_Risk_Profiles!$A:$A,Raw_Risk_Profiles!$C:$C,"Missing")</f>
        <v/>
      </c>
      <c r="J175" s="4">
        <f>XLOOKUP(B175,Raw_Risk_Profiles!$A:$A,Raw_Risk_Profiles!$D:$D,"")</f>
        <v/>
      </c>
      <c r="K175" s="4">
        <f>IFERROR(INDEX(Raw_Risk_Profiles!$E:$E,MATCH(B175,Raw_Risk_Profiles!$A:$A,0)),"Unknown")</f>
        <v/>
      </c>
      <c r="L175" s="4">
        <f>IFERROR(XLOOKUP(A175,Raw_Alerts!$B:$B,Raw_Alerts!$A:$A),"No Alert")</f>
        <v/>
      </c>
      <c r="M175" s="4">
        <f>IFERROR(XLOOKUP(A175,Raw_Alerts!$B:$B,Raw_Alerts!$C:$C),"")</f>
        <v/>
      </c>
      <c r="N175" s="4">
        <f>IFERROR(XLOOKUP(A175,Raw_Alerts!$B:$B,Raw_Alerts!$D:$D),"")</f>
        <v/>
      </c>
      <c r="O175" s="4">
        <f>IFERROR(XLOOKUP(A175,Raw_Alerts!$B:$B,Raw_Alerts!$F:$F),"")</f>
        <v/>
      </c>
      <c r="P175" s="4">
        <f>IF(H175="Not Found","CRITICAL: No Risk Profile",IF(I175="Missing","WARN: Missing KYC",IF(I175="Expired","WARN: KYC Expired",IF(I175="Pending","INFO: KYC Pending","OK"))))</f>
        <v/>
      </c>
    </row>
    <row r="176">
      <c r="A176" s="2">
        <f>Raw_Transactions!A176</f>
        <v/>
      </c>
      <c r="B176" s="2">
        <f>Raw_Transactions!B176</f>
        <v/>
      </c>
      <c r="C176" s="2">
        <f>Raw_Transactions!C176</f>
        <v/>
      </c>
      <c r="D176" s="3">
        <f>Raw_Transactions!D176</f>
        <v/>
      </c>
      <c r="E176" s="2">
        <f>Raw_Transactions!E176</f>
        <v/>
      </c>
      <c r="F176" s="2">
        <f>Raw_Transactions!F176</f>
        <v/>
      </c>
      <c r="G176" s="2">
        <f>Raw_Transactions!G176</f>
        <v/>
      </c>
      <c r="H176" s="2">
        <f>XLOOKUP(B176,Raw_Risk_Profiles!$A:$A,Raw_Risk_Profiles!$B:$B,"Not Found")</f>
        <v/>
      </c>
      <c r="I176" s="2">
        <f>XLOOKUP(B176,Raw_Risk_Profiles!$A:$A,Raw_Risk_Profiles!$C:$C,"Missing")</f>
        <v/>
      </c>
      <c r="J176" s="2">
        <f>XLOOKUP(B176,Raw_Risk_Profiles!$A:$A,Raw_Risk_Profiles!$D:$D,"")</f>
        <v/>
      </c>
      <c r="K176" s="2">
        <f>IFERROR(INDEX(Raw_Risk_Profiles!$E:$E,MATCH(B176,Raw_Risk_Profiles!$A:$A,0)),"Unknown")</f>
        <v/>
      </c>
      <c r="L176" s="2">
        <f>IFERROR(XLOOKUP(A176,Raw_Alerts!$B:$B,Raw_Alerts!$A:$A),"No Alert")</f>
        <v/>
      </c>
      <c r="M176" s="2">
        <f>IFERROR(XLOOKUP(A176,Raw_Alerts!$B:$B,Raw_Alerts!$C:$C),"")</f>
        <v/>
      </c>
      <c r="N176" s="2">
        <f>IFERROR(XLOOKUP(A176,Raw_Alerts!$B:$B,Raw_Alerts!$D:$D),"")</f>
        <v/>
      </c>
      <c r="O176" s="2">
        <f>IFERROR(XLOOKUP(A176,Raw_Alerts!$B:$B,Raw_Alerts!$F:$F),"")</f>
        <v/>
      </c>
      <c r="P176" s="2">
        <f>IF(H176="Not Found","CRITICAL: No Risk Profile",IF(I176="Missing","WARN: Missing KYC",IF(I176="Expired","WARN: KYC Expired",IF(I176="Pending","INFO: KYC Pending","OK"))))</f>
        <v/>
      </c>
    </row>
    <row r="177">
      <c r="A177" s="4">
        <f>Raw_Transactions!A177</f>
        <v/>
      </c>
      <c r="B177" s="4">
        <f>Raw_Transactions!B177</f>
        <v/>
      </c>
      <c r="C177" s="4">
        <f>Raw_Transactions!C177</f>
        <v/>
      </c>
      <c r="D177" s="5">
        <f>Raw_Transactions!D177</f>
        <v/>
      </c>
      <c r="E177" s="4">
        <f>Raw_Transactions!E177</f>
        <v/>
      </c>
      <c r="F177" s="4">
        <f>Raw_Transactions!F177</f>
        <v/>
      </c>
      <c r="G177" s="4">
        <f>Raw_Transactions!G177</f>
        <v/>
      </c>
      <c r="H177" s="4">
        <f>XLOOKUP(B177,Raw_Risk_Profiles!$A:$A,Raw_Risk_Profiles!$B:$B,"Not Found")</f>
        <v/>
      </c>
      <c r="I177" s="4">
        <f>XLOOKUP(B177,Raw_Risk_Profiles!$A:$A,Raw_Risk_Profiles!$C:$C,"Missing")</f>
        <v/>
      </c>
      <c r="J177" s="4">
        <f>XLOOKUP(B177,Raw_Risk_Profiles!$A:$A,Raw_Risk_Profiles!$D:$D,"")</f>
        <v/>
      </c>
      <c r="K177" s="4">
        <f>IFERROR(INDEX(Raw_Risk_Profiles!$E:$E,MATCH(B177,Raw_Risk_Profiles!$A:$A,0)),"Unknown")</f>
        <v/>
      </c>
      <c r="L177" s="4">
        <f>IFERROR(XLOOKUP(A177,Raw_Alerts!$B:$B,Raw_Alerts!$A:$A),"No Alert")</f>
        <v/>
      </c>
      <c r="M177" s="4">
        <f>IFERROR(XLOOKUP(A177,Raw_Alerts!$B:$B,Raw_Alerts!$C:$C),"")</f>
        <v/>
      </c>
      <c r="N177" s="4">
        <f>IFERROR(XLOOKUP(A177,Raw_Alerts!$B:$B,Raw_Alerts!$D:$D),"")</f>
        <v/>
      </c>
      <c r="O177" s="4">
        <f>IFERROR(XLOOKUP(A177,Raw_Alerts!$B:$B,Raw_Alerts!$F:$F),"")</f>
        <v/>
      </c>
      <c r="P177" s="4">
        <f>IF(H177="Not Found","CRITICAL: No Risk Profile",IF(I177="Missing","WARN: Missing KYC",IF(I177="Expired","WARN: KYC Expired",IF(I177="Pending","INFO: KYC Pending","OK"))))</f>
        <v/>
      </c>
    </row>
    <row r="178">
      <c r="A178" s="2">
        <f>Raw_Transactions!A178</f>
        <v/>
      </c>
      <c r="B178" s="2">
        <f>Raw_Transactions!B178</f>
        <v/>
      </c>
      <c r="C178" s="2">
        <f>Raw_Transactions!C178</f>
        <v/>
      </c>
      <c r="D178" s="3">
        <f>Raw_Transactions!D178</f>
        <v/>
      </c>
      <c r="E178" s="2">
        <f>Raw_Transactions!E178</f>
        <v/>
      </c>
      <c r="F178" s="2">
        <f>Raw_Transactions!F178</f>
        <v/>
      </c>
      <c r="G178" s="2">
        <f>Raw_Transactions!G178</f>
        <v/>
      </c>
      <c r="H178" s="2">
        <f>XLOOKUP(B178,Raw_Risk_Profiles!$A:$A,Raw_Risk_Profiles!$B:$B,"Not Found")</f>
        <v/>
      </c>
      <c r="I178" s="2">
        <f>XLOOKUP(B178,Raw_Risk_Profiles!$A:$A,Raw_Risk_Profiles!$C:$C,"Missing")</f>
        <v/>
      </c>
      <c r="J178" s="2">
        <f>XLOOKUP(B178,Raw_Risk_Profiles!$A:$A,Raw_Risk_Profiles!$D:$D,"")</f>
        <v/>
      </c>
      <c r="K178" s="2">
        <f>IFERROR(INDEX(Raw_Risk_Profiles!$E:$E,MATCH(B178,Raw_Risk_Profiles!$A:$A,0)),"Unknown")</f>
        <v/>
      </c>
      <c r="L178" s="2">
        <f>IFERROR(XLOOKUP(A178,Raw_Alerts!$B:$B,Raw_Alerts!$A:$A),"No Alert")</f>
        <v/>
      </c>
      <c r="M178" s="2">
        <f>IFERROR(XLOOKUP(A178,Raw_Alerts!$B:$B,Raw_Alerts!$C:$C),"")</f>
        <v/>
      </c>
      <c r="N178" s="2">
        <f>IFERROR(XLOOKUP(A178,Raw_Alerts!$B:$B,Raw_Alerts!$D:$D),"")</f>
        <v/>
      </c>
      <c r="O178" s="2">
        <f>IFERROR(XLOOKUP(A178,Raw_Alerts!$B:$B,Raw_Alerts!$F:$F),"")</f>
        <v/>
      </c>
      <c r="P178" s="2">
        <f>IF(H178="Not Found","CRITICAL: No Risk Profile",IF(I178="Missing","WARN: Missing KYC",IF(I178="Expired","WARN: KYC Expired",IF(I178="Pending","INFO: KYC Pending","OK"))))</f>
        <v/>
      </c>
    </row>
    <row r="179">
      <c r="A179" s="4">
        <f>Raw_Transactions!A179</f>
        <v/>
      </c>
      <c r="B179" s="4">
        <f>Raw_Transactions!B179</f>
        <v/>
      </c>
      <c r="C179" s="4">
        <f>Raw_Transactions!C179</f>
        <v/>
      </c>
      <c r="D179" s="5">
        <f>Raw_Transactions!D179</f>
        <v/>
      </c>
      <c r="E179" s="4">
        <f>Raw_Transactions!E179</f>
        <v/>
      </c>
      <c r="F179" s="4">
        <f>Raw_Transactions!F179</f>
        <v/>
      </c>
      <c r="G179" s="4">
        <f>Raw_Transactions!G179</f>
        <v/>
      </c>
      <c r="H179" s="4">
        <f>XLOOKUP(B179,Raw_Risk_Profiles!$A:$A,Raw_Risk_Profiles!$B:$B,"Not Found")</f>
        <v/>
      </c>
      <c r="I179" s="4">
        <f>XLOOKUP(B179,Raw_Risk_Profiles!$A:$A,Raw_Risk_Profiles!$C:$C,"Missing")</f>
        <v/>
      </c>
      <c r="J179" s="4">
        <f>XLOOKUP(B179,Raw_Risk_Profiles!$A:$A,Raw_Risk_Profiles!$D:$D,"")</f>
        <v/>
      </c>
      <c r="K179" s="4">
        <f>IFERROR(INDEX(Raw_Risk_Profiles!$E:$E,MATCH(B179,Raw_Risk_Profiles!$A:$A,0)),"Unknown")</f>
        <v/>
      </c>
      <c r="L179" s="4">
        <f>IFERROR(XLOOKUP(A179,Raw_Alerts!$B:$B,Raw_Alerts!$A:$A),"No Alert")</f>
        <v/>
      </c>
      <c r="M179" s="4">
        <f>IFERROR(XLOOKUP(A179,Raw_Alerts!$B:$B,Raw_Alerts!$C:$C),"")</f>
        <v/>
      </c>
      <c r="N179" s="4">
        <f>IFERROR(XLOOKUP(A179,Raw_Alerts!$B:$B,Raw_Alerts!$D:$D),"")</f>
        <v/>
      </c>
      <c r="O179" s="4">
        <f>IFERROR(XLOOKUP(A179,Raw_Alerts!$B:$B,Raw_Alerts!$F:$F),"")</f>
        <v/>
      </c>
      <c r="P179" s="4">
        <f>IF(H179="Not Found","CRITICAL: No Risk Profile",IF(I179="Missing","WARN: Missing KYC",IF(I179="Expired","WARN: KYC Expired",IF(I179="Pending","INFO: KYC Pending","OK"))))</f>
        <v/>
      </c>
    </row>
    <row r="180">
      <c r="A180" s="2">
        <f>Raw_Transactions!A180</f>
        <v/>
      </c>
      <c r="B180" s="2">
        <f>Raw_Transactions!B180</f>
        <v/>
      </c>
      <c r="C180" s="2">
        <f>Raw_Transactions!C180</f>
        <v/>
      </c>
      <c r="D180" s="3">
        <f>Raw_Transactions!D180</f>
        <v/>
      </c>
      <c r="E180" s="2">
        <f>Raw_Transactions!E180</f>
        <v/>
      </c>
      <c r="F180" s="2">
        <f>Raw_Transactions!F180</f>
        <v/>
      </c>
      <c r="G180" s="2">
        <f>Raw_Transactions!G180</f>
        <v/>
      </c>
      <c r="H180" s="2">
        <f>XLOOKUP(B180,Raw_Risk_Profiles!$A:$A,Raw_Risk_Profiles!$B:$B,"Not Found")</f>
        <v/>
      </c>
      <c r="I180" s="2">
        <f>XLOOKUP(B180,Raw_Risk_Profiles!$A:$A,Raw_Risk_Profiles!$C:$C,"Missing")</f>
        <v/>
      </c>
      <c r="J180" s="2">
        <f>XLOOKUP(B180,Raw_Risk_Profiles!$A:$A,Raw_Risk_Profiles!$D:$D,"")</f>
        <v/>
      </c>
      <c r="K180" s="2">
        <f>IFERROR(INDEX(Raw_Risk_Profiles!$E:$E,MATCH(B180,Raw_Risk_Profiles!$A:$A,0)),"Unknown")</f>
        <v/>
      </c>
      <c r="L180" s="2">
        <f>IFERROR(XLOOKUP(A180,Raw_Alerts!$B:$B,Raw_Alerts!$A:$A),"No Alert")</f>
        <v/>
      </c>
      <c r="M180" s="2">
        <f>IFERROR(XLOOKUP(A180,Raw_Alerts!$B:$B,Raw_Alerts!$C:$C),"")</f>
        <v/>
      </c>
      <c r="N180" s="2">
        <f>IFERROR(XLOOKUP(A180,Raw_Alerts!$B:$B,Raw_Alerts!$D:$D),"")</f>
        <v/>
      </c>
      <c r="O180" s="2">
        <f>IFERROR(XLOOKUP(A180,Raw_Alerts!$B:$B,Raw_Alerts!$F:$F),"")</f>
        <v/>
      </c>
      <c r="P180" s="2">
        <f>IF(H180="Not Found","CRITICAL: No Risk Profile",IF(I180="Missing","WARN: Missing KYC",IF(I180="Expired","WARN: KYC Expired",IF(I180="Pending","INFO: KYC Pending","OK"))))</f>
        <v/>
      </c>
    </row>
    <row r="181">
      <c r="A181" s="4">
        <f>Raw_Transactions!A181</f>
        <v/>
      </c>
      <c r="B181" s="4">
        <f>Raw_Transactions!B181</f>
        <v/>
      </c>
      <c r="C181" s="4">
        <f>Raw_Transactions!C181</f>
        <v/>
      </c>
      <c r="D181" s="5">
        <f>Raw_Transactions!D181</f>
        <v/>
      </c>
      <c r="E181" s="4">
        <f>Raw_Transactions!E181</f>
        <v/>
      </c>
      <c r="F181" s="4">
        <f>Raw_Transactions!F181</f>
        <v/>
      </c>
      <c r="G181" s="4">
        <f>Raw_Transactions!G181</f>
        <v/>
      </c>
      <c r="H181" s="4">
        <f>XLOOKUP(B181,Raw_Risk_Profiles!$A:$A,Raw_Risk_Profiles!$B:$B,"Not Found")</f>
        <v/>
      </c>
      <c r="I181" s="4">
        <f>XLOOKUP(B181,Raw_Risk_Profiles!$A:$A,Raw_Risk_Profiles!$C:$C,"Missing")</f>
        <v/>
      </c>
      <c r="J181" s="4">
        <f>XLOOKUP(B181,Raw_Risk_Profiles!$A:$A,Raw_Risk_Profiles!$D:$D,"")</f>
        <v/>
      </c>
      <c r="K181" s="4">
        <f>IFERROR(INDEX(Raw_Risk_Profiles!$E:$E,MATCH(B181,Raw_Risk_Profiles!$A:$A,0)),"Unknown")</f>
        <v/>
      </c>
      <c r="L181" s="4">
        <f>IFERROR(XLOOKUP(A181,Raw_Alerts!$B:$B,Raw_Alerts!$A:$A),"No Alert")</f>
        <v/>
      </c>
      <c r="M181" s="4">
        <f>IFERROR(XLOOKUP(A181,Raw_Alerts!$B:$B,Raw_Alerts!$C:$C),"")</f>
        <v/>
      </c>
      <c r="N181" s="4">
        <f>IFERROR(XLOOKUP(A181,Raw_Alerts!$B:$B,Raw_Alerts!$D:$D),"")</f>
        <v/>
      </c>
      <c r="O181" s="4">
        <f>IFERROR(XLOOKUP(A181,Raw_Alerts!$B:$B,Raw_Alerts!$F:$F),"")</f>
        <v/>
      </c>
      <c r="P181" s="4">
        <f>IF(H181="Not Found","CRITICAL: No Risk Profile",IF(I181="Missing","WARN: Missing KYC",IF(I181="Expired","WARN: KYC Expired",IF(I181="Pending","INFO: KYC Pending","OK"))))</f>
        <v/>
      </c>
    </row>
    <row r="182">
      <c r="A182" s="2">
        <f>Raw_Transactions!A182</f>
        <v/>
      </c>
      <c r="B182" s="2">
        <f>Raw_Transactions!B182</f>
        <v/>
      </c>
      <c r="C182" s="2">
        <f>Raw_Transactions!C182</f>
        <v/>
      </c>
      <c r="D182" s="3">
        <f>Raw_Transactions!D182</f>
        <v/>
      </c>
      <c r="E182" s="2">
        <f>Raw_Transactions!E182</f>
        <v/>
      </c>
      <c r="F182" s="2">
        <f>Raw_Transactions!F182</f>
        <v/>
      </c>
      <c r="G182" s="2">
        <f>Raw_Transactions!G182</f>
        <v/>
      </c>
      <c r="H182" s="2">
        <f>XLOOKUP(B182,Raw_Risk_Profiles!$A:$A,Raw_Risk_Profiles!$B:$B,"Not Found")</f>
        <v/>
      </c>
      <c r="I182" s="2">
        <f>XLOOKUP(B182,Raw_Risk_Profiles!$A:$A,Raw_Risk_Profiles!$C:$C,"Missing")</f>
        <v/>
      </c>
      <c r="J182" s="2">
        <f>XLOOKUP(B182,Raw_Risk_Profiles!$A:$A,Raw_Risk_Profiles!$D:$D,"")</f>
        <v/>
      </c>
      <c r="K182" s="2">
        <f>IFERROR(INDEX(Raw_Risk_Profiles!$E:$E,MATCH(B182,Raw_Risk_Profiles!$A:$A,0)),"Unknown")</f>
        <v/>
      </c>
      <c r="L182" s="2">
        <f>IFERROR(XLOOKUP(A182,Raw_Alerts!$B:$B,Raw_Alerts!$A:$A),"No Alert")</f>
        <v/>
      </c>
      <c r="M182" s="2">
        <f>IFERROR(XLOOKUP(A182,Raw_Alerts!$B:$B,Raw_Alerts!$C:$C),"")</f>
        <v/>
      </c>
      <c r="N182" s="2">
        <f>IFERROR(XLOOKUP(A182,Raw_Alerts!$B:$B,Raw_Alerts!$D:$D),"")</f>
        <v/>
      </c>
      <c r="O182" s="2">
        <f>IFERROR(XLOOKUP(A182,Raw_Alerts!$B:$B,Raw_Alerts!$F:$F),"")</f>
        <v/>
      </c>
      <c r="P182" s="2">
        <f>IF(H182="Not Found","CRITICAL: No Risk Profile",IF(I182="Missing","WARN: Missing KYC",IF(I182="Expired","WARN: KYC Expired",IF(I182="Pending","INFO: KYC Pending","OK"))))</f>
        <v/>
      </c>
    </row>
    <row r="183">
      <c r="A183" s="4">
        <f>Raw_Transactions!A183</f>
        <v/>
      </c>
      <c r="B183" s="4">
        <f>Raw_Transactions!B183</f>
        <v/>
      </c>
      <c r="C183" s="4">
        <f>Raw_Transactions!C183</f>
        <v/>
      </c>
      <c r="D183" s="5">
        <f>Raw_Transactions!D183</f>
        <v/>
      </c>
      <c r="E183" s="4">
        <f>Raw_Transactions!E183</f>
        <v/>
      </c>
      <c r="F183" s="4">
        <f>Raw_Transactions!F183</f>
        <v/>
      </c>
      <c r="G183" s="4">
        <f>Raw_Transactions!G183</f>
        <v/>
      </c>
      <c r="H183" s="4">
        <f>XLOOKUP(B183,Raw_Risk_Profiles!$A:$A,Raw_Risk_Profiles!$B:$B,"Not Found")</f>
        <v/>
      </c>
      <c r="I183" s="4">
        <f>XLOOKUP(B183,Raw_Risk_Profiles!$A:$A,Raw_Risk_Profiles!$C:$C,"Missing")</f>
        <v/>
      </c>
      <c r="J183" s="4">
        <f>XLOOKUP(B183,Raw_Risk_Profiles!$A:$A,Raw_Risk_Profiles!$D:$D,"")</f>
        <v/>
      </c>
      <c r="K183" s="4">
        <f>IFERROR(INDEX(Raw_Risk_Profiles!$E:$E,MATCH(B183,Raw_Risk_Profiles!$A:$A,0)),"Unknown")</f>
        <v/>
      </c>
      <c r="L183" s="4">
        <f>IFERROR(XLOOKUP(A183,Raw_Alerts!$B:$B,Raw_Alerts!$A:$A),"No Alert")</f>
        <v/>
      </c>
      <c r="M183" s="4">
        <f>IFERROR(XLOOKUP(A183,Raw_Alerts!$B:$B,Raw_Alerts!$C:$C),"")</f>
        <v/>
      </c>
      <c r="N183" s="4">
        <f>IFERROR(XLOOKUP(A183,Raw_Alerts!$B:$B,Raw_Alerts!$D:$D),"")</f>
        <v/>
      </c>
      <c r="O183" s="4">
        <f>IFERROR(XLOOKUP(A183,Raw_Alerts!$B:$B,Raw_Alerts!$F:$F),"")</f>
        <v/>
      </c>
      <c r="P183" s="4">
        <f>IF(H183="Not Found","CRITICAL: No Risk Profile",IF(I183="Missing","WARN: Missing KYC",IF(I183="Expired","WARN: KYC Expired",IF(I183="Pending","INFO: KYC Pending","OK"))))</f>
        <v/>
      </c>
    </row>
    <row r="184">
      <c r="A184" s="2">
        <f>Raw_Transactions!A184</f>
        <v/>
      </c>
      <c r="B184" s="2">
        <f>Raw_Transactions!B184</f>
        <v/>
      </c>
      <c r="C184" s="2">
        <f>Raw_Transactions!C184</f>
        <v/>
      </c>
      <c r="D184" s="3">
        <f>Raw_Transactions!D184</f>
        <v/>
      </c>
      <c r="E184" s="2">
        <f>Raw_Transactions!E184</f>
        <v/>
      </c>
      <c r="F184" s="2">
        <f>Raw_Transactions!F184</f>
        <v/>
      </c>
      <c r="G184" s="2">
        <f>Raw_Transactions!G184</f>
        <v/>
      </c>
      <c r="H184" s="2">
        <f>XLOOKUP(B184,Raw_Risk_Profiles!$A:$A,Raw_Risk_Profiles!$B:$B,"Not Found")</f>
        <v/>
      </c>
      <c r="I184" s="2">
        <f>XLOOKUP(B184,Raw_Risk_Profiles!$A:$A,Raw_Risk_Profiles!$C:$C,"Missing")</f>
        <v/>
      </c>
      <c r="J184" s="2">
        <f>XLOOKUP(B184,Raw_Risk_Profiles!$A:$A,Raw_Risk_Profiles!$D:$D,"")</f>
        <v/>
      </c>
      <c r="K184" s="2">
        <f>IFERROR(INDEX(Raw_Risk_Profiles!$E:$E,MATCH(B184,Raw_Risk_Profiles!$A:$A,0)),"Unknown")</f>
        <v/>
      </c>
      <c r="L184" s="2">
        <f>IFERROR(XLOOKUP(A184,Raw_Alerts!$B:$B,Raw_Alerts!$A:$A),"No Alert")</f>
        <v/>
      </c>
      <c r="M184" s="2">
        <f>IFERROR(XLOOKUP(A184,Raw_Alerts!$B:$B,Raw_Alerts!$C:$C),"")</f>
        <v/>
      </c>
      <c r="N184" s="2">
        <f>IFERROR(XLOOKUP(A184,Raw_Alerts!$B:$B,Raw_Alerts!$D:$D),"")</f>
        <v/>
      </c>
      <c r="O184" s="2">
        <f>IFERROR(XLOOKUP(A184,Raw_Alerts!$B:$B,Raw_Alerts!$F:$F),"")</f>
        <v/>
      </c>
      <c r="P184" s="2">
        <f>IF(H184="Not Found","CRITICAL: No Risk Profile",IF(I184="Missing","WARN: Missing KYC",IF(I184="Expired","WARN: KYC Expired",IF(I184="Pending","INFO: KYC Pending","OK"))))</f>
        <v/>
      </c>
    </row>
    <row r="185">
      <c r="A185" s="4">
        <f>Raw_Transactions!A185</f>
        <v/>
      </c>
      <c r="B185" s="4">
        <f>Raw_Transactions!B185</f>
        <v/>
      </c>
      <c r="C185" s="4">
        <f>Raw_Transactions!C185</f>
        <v/>
      </c>
      <c r="D185" s="5">
        <f>Raw_Transactions!D185</f>
        <v/>
      </c>
      <c r="E185" s="4">
        <f>Raw_Transactions!E185</f>
        <v/>
      </c>
      <c r="F185" s="4">
        <f>Raw_Transactions!F185</f>
        <v/>
      </c>
      <c r="G185" s="4">
        <f>Raw_Transactions!G185</f>
        <v/>
      </c>
      <c r="H185" s="4">
        <f>XLOOKUP(B185,Raw_Risk_Profiles!$A:$A,Raw_Risk_Profiles!$B:$B,"Not Found")</f>
        <v/>
      </c>
      <c r="I185" s="4">
        <f>XLOOKUP(B185,Raw_Risk_Profiles!$A:$A,Raw_Risk_Profiles!$C:$C,"Missing")</f>
        <v/>
      </c>
      <c r="J185" s="4">
        <f>XLOOKUP(B185,Raw_Risk_Profiles!$A:$A,Raw_Risk_Profiles!$D:$D,"")</f>
        <v/>
      </c>
      <c r="K185" s="4">
        <f>IFERROR(INDEX(Raw_Risk_Profiles!$E:$E,MATCH(B185,Raw_Risk_Profiles!$A:$A,0)),"Unknown")</f>
        <v/>
      </c>
      <c r="L185" s="4">
        <f>IFERROR(XLOOKUP(A185,Raw_Alerts!$B:$B,Raw_Alerts!$A:$A),"No Alert")</f>
        <v/>
      </c>
      <c r="M185" s="4">
        <f>IFERROR(XLOOKUP(A185,Raw_Alerts!$B:$B,Raw_Alerts!$C:$C),"")</f>
        <v/>
      </c>
      <c r="N185" s="4">
        <f>IFERROR(XLOOKUP(A185,Raw_Alerts!$B:$B,Raw_Alerts!$D:$D),"")</f>
        <v/>
      </c>
      <c r="O185" s="4">
        <f>IFERROR(XLOOKUP(A185,Raw_Alerts!$B:$B,Raw_Alerts!$F:$F),"")</f>
        <v/>
      </c>
      <c r="P185" s="4">
        <f>IF(H185="Not Found","CRITICAL: No Risk Profile",IF(I185="Missing","WARN: Missing KYC",IF(I185="Expired","WARN: KYC Expired",IF(I185="Pending","INFO: KYC Pending","OK"))))</f>
        <v/>
      </c>
    </row>
    <row r="186">
      <c r="A186" s="2">
        <f>Raw_Transactions!A186</f>
        <v/>
      </c>
      <c r="B186" s="2">
        <f>Raw_Transactions!B186</f>
        <v/>
      </c>
      <c r="C186" s="2">
        <f>Raw_Transactions!C186</f>
        <v/>
      </c>
      <c r="D186" s="3">
        <f>Raw_Transactions!D186</f>
        <v/>
      </c>
      <c r="E186" s="2">
        <f>Raw_Transactions!E186</f>
        <v/>
      </c>
      <c r="F186" s="2">
        <f>Raw_Transactions!F186</f>
        <v/>
      </c>
      <c r="G186" s="2">
        <f>Raw_Transactions!G186</f>
        <v/>
      </c>
      <c r="H186" s="2">
        <f>XLOOKUP(B186,Raw_Risk_Profiles!$A:$A,Raw_Risk_Profiles!$B:$B,"Not Found")</f>
        <v/>
      </c>
      <c r="I186" s="2">
        <f>XLOOKUP(B186,Raw_Risk_Profiles!$A:$A,Raw_Risk_Profiles!$C:$C,"Missing")</f>
        <v/>
      </c>
      <c r="J186" s="2">
        <f>XLOOKUP(B186,Raw_Risk_Profiles!$A:$A,Raw_Risk_Profiles!$D:$D,"")</f>
        <v/>
      </c>
      <c r="K186" s="2">
        <f>IFERROR(INDEX(Raw_Risk_Profiles!$E:$E,MATCH(B186,Raw_Risk_Profiles!$A:$A,0)),"Unknown")</f>
        <v/>
      </c>
      <c r="L186" s="2">
        <f>IFERROR(XLOOKUP(A186,Raw_Alerts!$B:$B,Raw_Alerts!$A:$A),"No Alert")</f>
        <v/>
      </c>
      <c r="M186" s="2">
        <f>IFERROR(XLOOKUP(A186,Raw_Alerts!$B:$B,Raw_Alerts!$C:$C),"")</f>
        <v/>
      </c>
      <c r="N186" s="2">
        <f>IFERROR(XLOOKUP(A186,Raw_Alerts!$B:$B,Raw_Alerts!$D:$D),"")</f>
        <v/>
      </c>
      <c r="O186" s="2">
        <f>IFERROR(XLOOKUP(A186,Raw_Alerts!$B:$B,Raw_Alerts!$F:$F),"")</f>
        <v/>
      </c>
      <c r="P186" s="2">
        <f>IF(H186="Not Found","CRITICAL: No Risk Profile",IF(I186="Missing","WARN: Missing KYC",IF(I186="Expired","WARN: KYC Expired",IF(I186="Pending","INFO: KYC Pending","OK"))))</f>
        <v/>
      </c>
    </row>
    <row r="187">
      <c r="A187" s="4">
        <f>Raw_Transactions!A187</f>
        <v/>
      </c>
      <c r="B187" s="4">
        <f>Raw_Transactions!B187</f>
        <v/>
      </c>
      <c r="C187" s="4">
        <f>Raw_Transactions!C187</f>
        <v/>
      </c>
      <c r="D187" s="5">
        <f>Raw_Transactions!D187</f>
        <v/>
      </c>
      <c r="E187" s="4">
        <f>Raw_Transactions!E187</f>
        <v/>
      </c>
      <c r="F187" s="4">
        <f>Raw_Transactions!F187</f>
        <v/>
      </c>
      <c r="G187" s="4">
        <f>Raw_Transactions!G187</f>
        <v/>
      </c>
      <c r="H187" s="4">
        <f>XLOOKUP(B187,Raw_Risk_Profiles!$A:$A,Raw_Risk_Profiles!$B:$B,"Not Found")</f>
        <v/>
      </c>
      <c r="I187" s="4">
        <f>XLOOKUP(B187,Raw_Risk_Profiles!$A:$A,Raw_Risk_Profiles!$C:$C,"Missing")</f>
        <v/>
      </c>
      <c r="J187" s="4">
        <f>XLOOKUP(B187,Raw_Risk_Profiles!$A:$A,Raw_Risk_Profiles!$D:$D,"")</f>
        <v/>
      </c>
      <c r="K187" s="4">
        <f>IFERROR(INDEX(Raw_Risk_Profiles!$E:$E,MATCH(B187,Raw_Risk_Profiles!$A:$A,0)),"Unknown")</f>
        <v/>
      </c>
      <c r="L187" s="4">
        <f>IFERROR(XLOOKUP(A187,Raw_Alerts!$B:$B,Raw_Alerts!$A:$A),"No Alert")</f>
        <v/>
      </c>
      <c r="M187" s="4">
        <f>IFERROR(XLOOKUP(A187,Raw_Alerts!$B:$B,Raw_Alerts!$C:$C),"")</f>
        <v/>
      </c>
      <c r="N187" s="4">
        <f>IFERROR(XLOOKUP(A187,Raw_Alerts!$B:$B,Raw_Alerts!$D:$D),"")</f>
        <v/>
      </c>
      <c r="O187" s="4">
        <f>IFERROR(XLOOKUP(A187,Raw_Alerts!$B:$B,Raw_Alerts!$F:$F),"")</f>
        <v/>
      </c>
      <c r="P187" s="4">
        <f>IF(H187="Not Found","CRITICAL: No Risk Profile",IF(I187="Missing","WARN: Missing KYC",IF(I187="Expired","WARN: KYC Expired",IF(I187="Pending","INFO: KYC Pending","OK"))))</f>
        <v/>
      </c>
    </row>
    <row r="188">
      <c r="A188" s="2">
        <f>Raw_Transactions!A188</f>
        <v/>
      </c>
      <c r="B188" s="2">
        <f>Raw_Transactions!B188</f>
        <v/>
      </c>
      <c r="C188" s="2">
        <f>Raw_Transactions!C188</f>
        <v/>
      </c>
      <c r="D188" s="3">
        <f>Raw_Transactions!D188</f>
        <v/>
      </c>
      <c r="E188" s="2">
        <f>Raw_Transactions!E188</f>
        <v/>
      </c>
      <c r="F188" s="2">
        <f>Raw_Transactions!F188</f>
        <v/>
      </c>
      <c r="G188" s="2">
        <f>Raw_Transactions!G188</f>
        <v/>
      </c>
      <c r="H188" s="2">
        <f>XLOOKUP(B188,Raw_Risk_Profiles!$A:$A,Raw_Risk_Profiles!$B:$B,"Not Found")</f>
        <v/>
      </c>
      <c r="I188" s="2">
        <f>XLOOKUP(B188,Raw_Risk_Profiles!$A:$A,Raw_Risk_Profiles!$C:$C,"Missing")</f>
        <v/>
      </c>
      <c r="J188" s="2">
        <f>XLOOKUP(B188,Raw_Risk_Profiles!$A:$A,Raw_Risk_Profiles!$D:$D,"")</f>
        <v/>
      </c>
      <c r="K188" s="2">
        <f>IFERROR(INDEX(Raw_Risk_Profiles!$E:$E,MATCH(B188,Raw_Risk_Profiles!$A:$A,0)),"Unknown")</f>
        <v/>
      </c>
      <c r="L188" s="2">
        <f>IFERROR(XLOOKUP(A188,Raw_Alerts!$B:$B,Raw_Alerts!$A:$A),"No Alert")</f>
        <v/>
      </c>
      <c r="M188" s="2">
        <f>IFERROR(XLOOKUP(A188,Raw_Alerts!$B:$B,Raw_Alerts!$C:$C),"")</f>
        <v/>
      </c>
      <c r="N188" s="2">
        <f>IFERROR(XLOOKUP(A188,Raw_Alerts!$B:$B,Raw_Alerts!$D:$D),"")</f>
        <v/>
      </c>
      <c r="O188" s="2">
        <f>IFERROR(XLOOKUP(A188,Raw_Alerts!$B:$B,Raw_Alerts!$F:$F),"")</f>
        <v/>
      </c>
      <c r="P188" s="2">
        <f>IF(H188="Not Found","CRITICAL: No Risk Profile",IF(I188="Missing","WARN: Missing KYC",IF(I188="Expired","WARN: KYC Expired",IF(I188="Pending","INFO: KYC Pending","OK"))))</f>
        <v/>
      </c>
    </row>
    <row r="189">
      <c r="A189" s="4">
        <f>Raw_Transactions!A189</f>
        <v/>
      </c>
      <c r="B189" s="4">
        <f>Raw_Transactions!B189</f>
        <v/>
      </c>
      <c r="C189" s="4">
        <f>Raw_Transactions!C189</f>
        <v/>
      </c>
      <c r="D189" s="5">
        <f>Raw_Transactions!D189</f>
        <v/>
      </c>
      <c r="E189" s="4">
        <f>Raw_Transactions!E189</f>
        <v/>
      </c>
      <c r="F189" s="4">
        <f>Raw_Transactions!F189</f>
        <v/>
      </c>
      <c r="G189" s="4">
        <f>Raw_Transactions!G189</f>
        <v/>
      </c>
      <c r="H189" s="4">
        <f>XLOOKUP(B189,Raw_Risk_Profiles!$A:$A,Raw_Risk_Profiles!$B:$B,"Not Found")</f>
        <v/>
      </c>
      <c r="I189" s="4">
        <f>XLOOKUP(B189,Raw_Risk_Profiles!$A:$A,Raw_Risk_Profiles!$C:$C,"Missing")</f>
        <v/>
      </c>
      <c r="J189" s="4">
        <f>XLOOKUP(B189,Raw_Risk_Profiles!$A:$A,Raw_Risk_Profiles!$D:$D,"")</f>
        <v/>
      </c>
      <c r="K189" s="4">
        <f>IFERROR(INDEX(Raw_Risk_Profiles!$E:$E,MATCH(B189,Raw_Risk_Profiles!$A:$A,0)),"Unknown")</f>
        <v/>
      </c>
      <c r="L189" s="4">
        <f>IFERROR(XLOOKUP(A189,Raw_Alerts!$B:$B,Raw_Alerts!$A:$A),"No Alert")</f>
        <v/>
      </c>
      <c r="M189" s="4">
        <f>IFERROR(XLOOKUP(A189,Raw_Alerts!$B:$B,Raw_Alerts!$C:$C),"")</f>
        <v/>
      </c>
      <c r="N189" s="4">
        <f>IFERROR(XLOOKUP(A189,Raw_Alerts!$B:$B,Raw_Alerts!$D:$D),"")</f>
        <v/>
      </c>
      <c r="O189" s="4">
        <f>IFERROR(XLOOKUP(A189,Raw_Alerts!$B:$B,Raw_Alerts!$F:$F),"")</f>
        <v/>
      </c>
      <c r="P189" s="4">
        <f>IF(H189="Not Found","CRITICAL: No Risk Profile",IF(I189="Missing","WARN: Missing KYC",IF(I189="Expired","WARN: KYC Expired",IF(I189="Pending","INFO: KYC Pending","OK"))))</f>
        <v/>
      </c>
    </row>
    <row r="190">
      <c r="A190" s="2">
        <f>Raw_Transactions!A190</f>
        <v/>
      </c>
      <c r="B190" s="2">
        <f>Raw_Transactions!B190</f>
        <v/>
      </c>
      <c r="C190" s="2">
        <f>Raw_Transactions!C190</f>
        <v/>
      </c>
      <c r="D190" s="3">
        <f>Raw_Transactions!D190</f>
        <v/>
      </c>
      <c r="E190" s="2">
        <f>Raw_Transactions!E190</f>
        <v/>
      </c>
      <c r="F190" s="2">
        <f>Raw_Transactions!F190</f>
        <v/>
      </c>
      <c r="G190" s="2">
        <f>Raw_Transactions!G190</f>
        <v/>
      </c>
      <c r="H190" s="2">
        <f>XLOOKUP(B190,Raw_Risk_Profiles!$A:$A,Raw_Risk_Profiles!$B:$B,"Not Found")</f>
        <v/>
      </c>
      <c r="I190" s="2">
        <f>XLOOKUP(B190,Raw_Risk_Profiles!$A:$A,Raw_Risk_Profiles!$C:$C,"Missing")</f>
        <v/>
      </c>
      <c r="J190" s="2">
        <f>XLOOKUP(B190,Raw_Risk_Profiles!$A:$A,Raw_Risk_Profiles!$D:$D,"")</f>
        <v/>
      </c>
      <c r="K190" s="2">
        <f>IFERROR(INDEX(Raw_Risk_Profiles!$E:$E,MATCH(B190,Raw_Risk_Profiles!$A:$A,0)),"Unknown")</f>
        <v/>
      </c>
      <c r="L190" s="2">
        <f>IFERROR(XLOOKUP(A190,Raw_Alerts!$B:$B,Raw_Alerts!$A:$A),"No Alert")</f>
        <v/>
      </c>
      <c r="M190" s="2">
        <f>IFERROR(XLOOKUP(A190,Raw_Alerts!$B:$B,Raw_Alerts!$C:$C),"")</f>
        <v/>
      </c>
      <c r="N190" s="2">
        <f>IFERROR(XLOOKUP(A190,Raw_Alerts!$B:$B,Raw_Alerts!$D:$D),"")</f>
        <v/>
      </c>
      <c r="O190" s="2">
        <f>IFERROR(XLOOKUP(A190,Raw_Alerts!$B:$B,Raw_Alerts!$F:$F),"")</f>
        <v/>
      </c>
      <c r="P190" s="2">
        <f>IF(H190="Not Found","CRITICAL: No Risk Profile",IF(I190="Missing","WARN: Missing KYC",IF(I190="Expired","WARN: KYC Expired",IF(I190="Pending","INFO: KYC Pending","OK"))))</f>
        <v/>
      </c>
    </row>
    <row r="191">
      <c r="A191" s="4">
        <f>Raw_Transactions!A191</f>
        <v/>
      </c>
      <c r="B191" s="4">
        <f>Raw_Transactions!B191</f>
        <v/>
      </c>
      <c r="C191" s="4">
        <f>Raw_Transactions!C191</f>
        <v/>
      </c>
      <c r="D191" s="5">
        <f>Raw_Transactions!D191</f>
        <v/>
      </c>
      <c r="E191" s="4">
        <f>Raw_Transactions!E191</f>
        <v/>
      </c>
      <c r="F191" s="4">
        <f>Raw_Transactions!F191</f>
        <v/>
      </c>
      <c r="G191" s="4">
        <f>Raw_Transactions!G191</f>
        <v/>
      </c>
      <c r="H191" s="4">
        <f>XLOOKUP(B191,Raw_Risk_Profiles!$A:$A,Raw_Risk_Profiles!$B:$B,"Not Found")</f>
        <v/>
      </c>
      <c r="I191" s="4">
        <f>XLOOKUP(B191,Raw_Risk_Profiles!$A:$A,Raw_Risk_Profiles!$C:$C,"Missing")</f>
        <v/>
      </c>
      <c r="J191" s="4">
        <f>XLOOKUP(B191,Raw_Risk_Profiles!$A:$A,Raw_Risk_Profiles!$D:$D,"")</f>
        <v/>
      </c>
      <c r="K191" s="4">
        <f>IFERROR(INDEX(Raw_Risk_Profiles!$E:$E,MATCH(B191,Raw_Risk_Profiles!$A:$A,0)),"Unknown")</f>
        <v/>
      </c>
      <c r="L191" s="4">
        <f>IFERROR(XLOOKUP(A191,Raw_Alerts!$B:$B,Raw_Alerts!$A:$A),"No Alert")</f>
        <v/>
      </c>
      <c r="M191" s="4">
        <f>IFERROR(XLOOKUP(A191,Raw_Alerts!$B:$B,Raw_Alerts!$C:$C),"")</f>
        <v/>
      </c>
      <c r="N191" s="4">
        <f>IFERROR(XLOOKUP(A191,Raw_Alerts!$B:$B,Raw_Alerts!$D:$D),"")</f>
        <v/>
      </c>
      <c r="O191" s="4">
        <f>IFERROR(XLOOKUP(A191,Raw_Alerts!$B:$B,Raw_Alerts!$F:$F),"")</f>
        <v/>
      </c>
      <c r="P191" s="4">
        <f>IF(H191="Not Found","CRITICAL: No Risk Profile",IF(I191="Missing","WARN: Missing KYC",IF(I191="Expired","WARN: KYC Expired",IF(I191="Pending","INFO: KYC Pending","OK"))))</f>
        <v/>
      </c>
    </row>
    <row r="192">
      <c r="A192" s="2">
        <f>Raw_Transactions!A192</f>
        <v/>
      </c>
      <c r="B192" s="2">
        <f>Raw_Transactions!B192</f>
        <v/>
      </c>
      <c r="C192" s="2">
        <f>Raw_Transactions!C192</f>
        <v/>
      </c>
      <c r="D192" s="3">
        <f>Raw_Transactions!D192</f>
        <v/>
      </c>
      <c r="E192" s="2">
        <f>Raw_Transactions!E192</f>
        <v/>
      </c>
      <c r="F192" s="2">
        <f>Raw_Transactions!F192</f>
        <v/>
      </c>
      <c r="G192" s="2">
        <f>Raw_Transactions!G192</f>
        <v/>
      </c>
      <c r="H192" s="2">
        <f>XLOOKUP(B192,Raw_Risk_Profiles!$A:$A,Raw_Risk_Profiles!$B:$B,"Not Found")</f>
        <v/>
      </c>
      <c r="I192" s="2">
        <f>XLOOKUP(B192,Raw_Risk_Profiles!$A:$A,Raw_Risk_Profiles!$C:$C,"Missing")</f>
        <v/>
      </c>
      <c r="J192" s="2">
        <f>XLOOKUP(B192,Raw_Risk_Profiles!$A:$A,Raw_Risk_Profiles!$D:$D,"")</f>
        <v/>
      </c>
      <c r="K192" s="2">
        <f>IFERROR(INDEX(Raw_Risk_Profiles!$E:$E,MATCH(B192,Raw_Risk_Profiles!$A:$A,0)),"Unknown")</f>
        <v/>
      </c>
      <c r="L192" s="2">
        <f>IFERROR(XLOOKUP(A192,Raw_Alerts!$B:$B,Raw_Alerts!$A:$A),"No Alert")</f>
        <v/>
      </c>
      <c r="M192" s="2">
        <f>IFERROR(XLOOKUP(A192,Raw_Alerts!$B:$B,Raw_Alerts!$C:$C),"")</f>
        <v/>
      </c>
      <c r="N192" s="2">
        <f>IFERROR(XLOOKUP(A192,Raw_Alerts!$B:$B,Raw_Alerts!$D:$D),"")</f>
        <v/>
      </c>
      <c r="O192" s="2">
        <f>IFERROR(XLOOKUP(A192,Raw_Alerts!$B:$B,Raw_Alerts!$F:$F),"")</f>
        <v/>
      </c>
      <c r="P192" s="2">
        <f>IF(H192="Not Found","CRITICAL: No Risk Profile",IF(I192="Missing","WARN: Missing KYC",IF(I192="Expired","WARN: KYC Expired",IF(I192="Pending","INFO: KYC Pending","OK"))))</f>
        <v/>
      </c>
    </row>
    <row r="193">
      <c r="A193" s="4">
        <f>Raw_Transactions!A193</f>
        <v/>
      </c>
      <c r="B193" s="4">
        <f>Raw_Transactions!B193</f>
        <v/>
      </c>
      <c r="C193" s="4">
        <f>Raw_Transactions!C193</f>
        <v/>
      </c>
      <c r="D193" s="5">
        <f>Raw_Transactions!D193</f>
        <v/>
      </c>
      <c r="E193" s="4">
        <f>Raw_Transactions!E193</f>
        <v/>
      </c>
      <c r="F193" s="4">
        <f>Raw_Transactions!F193</f>
        <v/>
      </c>
      <c r="G193" s="4">
        <f>Raw_Transactions!G193</f>
        <v/>
      </c>
      <c r="H193" s="4">
        <f>XLOOKUP(B193,Raw_Risk_Profiles!$A:$A,Raw_Risk_Profiles!$B:$B,"Not Found")</f>
        <v/>
      </c>
      <c r="I193" s="4">
        <f>XLOOKUP(B193,Raw_Risk_Profiles!$A:$A,Raw_Risk_Profiles!$C:$C,"Missing")</f>
        <v/>
      </c>
      <c r="J193" s="4">
        <f>XLOOKUP(B193,Raw_Risk_Profiles!$A:$A,Raw_Risk_Profiles!$D:$D,"")</f>
        <v/>
      </c>
      <c r="K193" s="4">
        <f>IFERROR(INDEX(Raw_Risk_Profiles!$E:$E,MATCH(B193,Raw_Risk_Profiles!$A:$A,0)),"Unknown")</f>
        <v/>
      </c>
      <c r="L193" s="4">
        <f>IFERROR(XLOOKUP(A193,Raw_Alerts!$B:$B,Raw_Alerts!$A:$A),"No Alert")</f>
        <v/>
      </c>
      <c r="M193" s="4">
        <f>IFERROR(XLOOKUP(A193,Raw_Alerts!$B:$B,Raw_Alerts!$C:$C),"")</f>
        <v/>
      </c>
      <c r="N193" s="4">
        <f>IFERROR(XLOOKUP(A193,Raw_Alerts!$B:$B,Raw_Alerts!$D:$D),"")</f>
        <v/>
      </c>
      <c r="O193" s="4">
        <f>IFERROR(XLOOKUP(A193,Raw_Alerts!$B:$B,Raw_Alerts!$F:$F),"")</f>
        <v/>
      </c>
      <c r="P193" s="4">
        <f>IF(H193="Not Found","CRITICAL: No Risk Profile",IF(I193="Missing","WARN: Missing KYC",IF(I193="Expired","WARN: KYC Expired",IF(I193="Pending","INFO: KYC Pending","OK"))))</f>
        <v/>
      </c>
    </row>
    <row r="194">
      <c r="A194" s="2">
        <f>Raw_Transactions!A194</f>
        <v/>
      </c>
      <c r="B194" s="2">
        <f>Raw_Transactions!B194</f>
        <v/>
      </c>
      <c r="C194" s="2">
        <f>Raw_Transactions!C194</f>
        <v/>
      </c>
      <c r="D194" s="3">
        <f>Raw_Transactions!D194</f>
        <v/>
      </c>
      <c r="E194" s="2">
        <f>Raw_Transactions!E194</f>
        <v/>
      </c>
      <c r="F194" s="2">
        <f>Raw_Transactions!F194</f>
        <v/>
      </c>
      <c r="G194" s="2">
        <f>Raw_Transactions!G194</f>
        <v/>
      </c>
      <c r="H194" s="2">
        <f>XLOOKUP(B194,Raw_Risk_Profiles!$A:$A,Raw_Risk_Profiles!$B:$B,"Not Found")</f>
        <v/>
      </c>
      <c r="I194" s="2">
        <f>XLOOKUP(B194,Raw_Risk_Profiles!$A:$A,Raw_Risk_Profiles!$C:$C,"Missing")</f>
        <v/>
      </c>
      <c r="J194" s="2">
        <f>XLOOKUP(B194,Raw_Risk_Profiles!$A:$A,Raw_Risk_Profiles!$D:$D,"")</f>
        <v/>
      </c>
      <c r="K194" s="2">
        <f>IFERROR(INDEX(Raw_Risk_Profiles!$E:$E,MATCH(B194,Raw_Risk_Profiles!$A:$A,0)),"Unknown")</f>
        <v/>
      </c>
      <c r="L194" s="2">
        <f>IFERROR(XLOOKUP(A194,Raw_Alerts!$B:$B,Raw_Alerts!$A:$A),"No Alert")</f>
        <v/>
      </c>
      <c r="M194" s="2">
        <f>IFERROR(XLOOKUP(A194,Raw_Alerts!$B:$B,Raw_Alerts!$C:$C),"")</f>
        <v/>
      </c>
      <c r="N194" s="2">
        <f>IFERROR(XLOOKUP(A194,Raw_Alerts!$B:$B,Raw_Alerts!$D:$D),"")</f>
        <v/>
      </c>
      <c r="O194" s="2">
        <f>IFERROR(XLOOKUP(A194,Raw_Alerts!$B:$B,Raw_Alerts!$F:$F),"")</f>
        <v/>
      </c>
      <c r="P194" s="2">
        <f>IF(H194="Not Found","CRITICAL: No Risk Profile",IF(I194="Missing","WARN: Missing KYC",IF(I194="Expired","WARN: KYC Expired",IF(I194="Pending","INFO: KYC Pending","OK"))))</f>
        <v/>
      </c>
    </row>
    <row r="195">
      <c r="A195" s="4">
        <f>Raw_Transactions!A195</f>
        <v/>
      </c>
      <c r="B195" s="4">
        <f>Raw_Transactions!B195</f>
        <v/>
      </c>
      <c r="C195" s="4">
        <f>Raw_Transactions!C195</f>
        <v/>
      </c>
      <c r="D195" s="5">
        <f>Raw_Transactions!D195</f>
        <v/>
      </c>
      <c r="E195" s="4">
        <f>Raw_Transactions!E195</f>
        <v/>
      </c>
      <c r="F195" s="4">
        <f>Raw_Transactions!F195</f>
        <v/>
      </c>
      <c r="G195" s="4">
        <f>Raw_Transactions!G195</f>
        <v/>
      </c>
      <c r="H195" s="4">
        <f>XLOOKUP(B195,Raw_Risk_Profiles!$A:$A,Raw_Risk_Profiles!$B:$B,"Not Found")</f>
        <v/>
      </c>
      <c r="I195" s="4">
        <f>XLOOKUP(B195,Raw_Risk_Profiles!$A:$A,Raw_Risk_Profiles!$C:$C,"Missing")</f>
        <v/>
      </c>
      <c r="J195" s="4">
        <f>XLOOKUP(B195,Raw_Risk_Profiles!$A:$A,Raw_Risk_Profiles!$D:$D,"")</f>
        <v/>
      </c>
      <c r="K195" s="4">
        <f>IFERROR(INDEX(Raw_Risk_Profiles!$E:$E,MATCH(B195,Raw_Risk_Profiles!$A:$A,0)),"Unknown")</f>
        <v/>
      </c>
      <c r="L195" s="4">
        <f>IFERROR(XLOOKUP(A195,Raw_Alerts!$B:$B,Raw_Alerts!$A:$A),"No Alert")</f>
        <v/>
      </c>
      <c r="M195" s="4">
        <f>IFERROR(XLOOKUP(A195,Raw_Alerts!$B:$B,Raw_Alerts!$C:$C),"")</f>
        <v/>
      </c>
      <c r="N195" s="4">
        <f>IFERROR(XLOOKUP(A195,Raw_Alerts!$B:$B,Raw_Alerts!$D:$D),"")</f>
        <v/>
      </c>
      <c r="O195" s="4">
        <f>IFERROR(XLOOKUP(A195,Raw_Alerts!$B:$B,Raw_Alerts!$F:$F),"")</f>
        <v/>
      </c>
      <c r="P195" s="4">
        <f>IF(H195="Not Found","CRITICAL: No Risk Profile",IF(I195="Missing","WARN: Missing KYC",IF(I195="Expired","WARN: KYC Expired",IF(I195="Pending","INFO: KYC Pending","OK"))))</f>
        <v/>
      </c>
    </row>
    <row r="196">
      <c r="A196" s="2">
        <f>Raw_Transactions!A196</f>
        <v/>
      </c>
      <c r="B196" s="2">
        <f>Raw_Transactions!B196</f>
        <v/>
      </c>
      <c r="C196" s="2">
        <f>Raw_Transactions!C196</f>
        <v/>
      </c>
      <c r="D196" s="3">
        <f>Raw_Transactions!D196</f>
        <v/>
      </c>
      <c r="E196" s="2">
        <f>Raw_Transactions!E196</f>
        <v/>
      </c>
      <c r="F196" s="2">
        <f>Raw_Transactions!F196</f>
        <v/>
      </c>
      <c r="G196" s="2">
        <f>Raw_Transactions!G196</f>
        <v/>
      </c>
      <c r="H196" s="2">
        <f>XLOOKUP(B196,Raw_Risk_Profiles!$A:$A,Raw_Risk_Profiles!$B:$B,"Not Found")</f>
        <v/>
      </c>
      <c r="I196" s="2">
        <f>XLOOKUP(B196,Raw_Risk_Profiles!$A:$A,Raw_Risk_Profiles!$C:$C,"Missing")</f>
        <v/>
      </c>
      <c r="J196" s="2">
        <f>XLOOKUP(B196,Raw_Risk_Profiles!$A:$A,Raw_Risk_Profiles!$D:$D,"")</f>
        <v/>
      </c>
      <c r="K196" s="2">
        <f>IFERROR(INDEX(Raw_Risk_Profiles!$E:$E,MATCH(B196,Raw_Risk_Profiles!$A:$A,0)),"Unknown")</f>
        <v/>
      </c>
      <c r="L196" s="2">
        <f>IFERROR(XLOOKUP(A196,Raw_Alerts!$B:$B,Raw_Alerts!$A:$A),"No Alert")</f>
        <v/>
      </c>
      <c r="M196" s="2">
        <f>IFERROR(XLOOKUP(A196,Raw_Alerts!$B:$B,Raw_Alerts!$C:$C),"")</f>
        <v/>
      </c>
      <c r="N196" s="2">
        <f>IFERROR(XLOOKUP(A196,Raw_Alerts!$B:$B,Raw_Alerts!$D:$D),"")</f>
        <v/>
      </c>
      <c r="O196" s="2">
        <f>IFERROR(XLOOKUP(A196,Raw_Alerts!$B:$B,Raw_Alerts!$F:$F),"")</f>
        <v/>
      </c>
      <c r="P196" s="2">
        <f>IF(H196="Not Found","CRITICAL: No Risk Profile",IF(I196="Missing","WARN: Missing KYC",IF(I196="Expired","WARN: KYC Expired",IF(I196="Pending","INFO: KYC Pending","OK"))))</f>
        <v/>
      </c>
    </row>
    <row r="197">
      <c r="A197" s="4">
        <f>Raw_Transactions!A197</f>
        <v/>
      </c>
      <c r="B197" s="4">
        <f>Raw_Transactions!B197</f>
        <v/>
      </c>
      <c r="C197" s="4">
        <f>Raw_Transactions!C197</f>
        <v/>
      </c>
      <c r="D197" s="5">
        <f>Raw_Transactions!D197</f>
        <v/>
      </c>
      <c r="E197" s="4">
        <f>Raw_Transactions!E197</f>
        <v/>
      </c>
      <c r="F197" s="4">
        <f>Raw_Transactions!F197</f>
        <v/>
      </c>
      <c r="G197" s="4">
        <f>Raw_Transactions!G197</f>
        <v/>
      </c>
      <c r="H197" s="4">
        <f>XLOOKUP(B197,Raw_Risk_Profiles!$A:$A,Raw_Risk_Profiles!$B:$B,"Not Found")</f>
        <v/>
      </c>
      <c r="I197" s="4">
        <f>XLOOKUP(B197,Raw_Risk_Profiles!$A:$A,Raw_Risk_Profiles!$C:$C,"Missing")</f>
        <v/>
      </c>
      <c r="J197" s="4">
        <f>XLOOKUP(B197,Raw_Risk_Profiles!$A:$A,Raw_Risk_Profiles!$D:$D,"")</f>
        <v/>
      </c>
      <c r="K197" s="4">
        <f>IFERROR(INDEX(Raw_Risk_Profiles!$E:$E,MATCH(B197,Raw_Risk_Profiles!$A:$A,0)),"Unknown")</f>
        <v/>
      </c>
      <c r="L197" s="4">
        <f>IFERROR(XLOOKUP(A197,Raw_Alerts!$B:$B,Raw_Alerts!$A:$A),"No Alert")</f>
        <v/>
      </c>
      <c r="M197" s="4">
        <f>IFERROR(XLOOKUP(A197,Raw_Alerts!$B:$B,Raw_Alerts!$C:$C),"")</f>
        <v/>
      </c>
      <c r="N197" s="4">
        <f>IFERROR(XLOOKUP(A197,Raw_Alerts!$B:$B,Raw_Alerts!$D:$D),"")</f>
        <v/>
      </c>
      <c r="O197" s="4">
        <f>IFERROR(XLOOKUP(A197,Raw_Alerts!$B:$B,Raw_Alerts!$F:$F),"")</f>
        <v/>
      </c>
      <c r="P197" s="4">
        <f>IF(H197="Not Found","CRITICAL: No Risk Profile",IF(I197="Missing","WARN: Missing KYC",IF(I197="Expired","WARN: KYC Expired",IF(I197="Pending","INFO: KYC Pending","OK"))))</f>
        <v/>
      </c>
    </row>
    <row r="198">
      <c r="A198" s="2">
        <f>Raw_Transactions!A198</f>
        <v/>
      </c>
      <c r="B198" s="2">
        <f>Raw_Transactions!B198</f>
        <v/>
      </c>
      <c r="C198" s="2">
        <f>Raw_Transactions!C198</f>
        <v/>
      </c>
      <c r="D198" s="3">
        <f>Raw_Transactions!D198</f>
        <v/>
      </c>
      <c r="E198" s="2">
        <f>Raw_Transactions!E198</f>
        <v/>
      </c>
      <c r="F198" s="2">
        <f>Raw_Transactions!F198</f>
        <v/>
      </c>
      <c r="G198" s="2">
        <f>Raw_Transactions!G198</f>
        <v/>
      </c>
      <c r="H198" s="2">
        <f>XLOOKUP(B198,Raw_Risk_Profiles!$A:$A,Raw_Risk_Profiles!$B:$B,"Not Found")</f>
        <v/>
      </c>
      <c r="I198" s="2">
        <f>XLOOKUP(B198,Raw_Risk_Profiles!$A:$A,Raw_Risk_Profiles!$C:$C,"Missing")</f>
        <v/>
      </c>
      <c r="J198" s="2">
        <f>XLOOKUP(B198,Raw_Risk_Profiles!$A:$A,Raw_Risk_Profiles!$D:$D,"")</f>
        <v/>
      </c>
      <c r="K198" s="2">
        <f>IFERROR(INDEX(Raw_Risk_Profiles!$E:$E,MATCH(B198,Raw_Risk_Profiles!$A:$A,0)),"Unknown")</f>
        <v/>
      </c>
      <c r="L198" s="2">
        <f>IFERROR(XLOOKUP(A198,Raw_Alerts!$B:$B,Raw_Alerts!$A:$A),"No Alert")</f>
        <v/>
      </c>
      <c r="M198" s="2">
        <f>IFERROR(XLOOKUP(A198,Raw_Alerts!$B:$B,Raw_Alerts!$C:$C),"")</f>
        <v/>
      </c>
      <c r="N198" s="2">
        <f>IFERROR(XLOOKUP(A198,Raw_Alerts!$B:$B,Raw_Alerts!$D:$D),"")</f>
        <v/>
      </c>
      <c r="O198" s="2">
        <f>IFERROR(XLOOKUP(A198,Raw_Alerts!$B:$B,Raw_Alerts!$F:$F),"")</f>
        <v/>
      </c>
      <c r="P198" s="2">
        <f>IF(H198="Not Found","CRITICAL: No Risk Profile",IF(I198="Missing","WARN: Missing KYC",IF(I198="Expired","WARN: KYC Expired",IF(I198="Pending","INFO: KYC Pending","OK"))))</f>
        <v/>
      </c>
    </row>
    <row r="199">
      <c r="A199" s="4">
        <f>Raw_Transactions!A199</f>
        <v/>
      </c>
      <c r="B199" s="4">
        <f>Raw_Transactions!B199</f>
        <v/>
      </c>
      <c r="C199" s="4">
        <f>Raw_Transactions!C199</f>
        <v/>
      </c>
      <c r="D199" s="5">
        <f>Raw_Transactions!D199</f>
        <v/>
      </c>
      <c r="E199" s="4">
        <f>Raw_Transactions!E199</f>
        <v/>
      </c>
      <c r="F199" s="4">
        <f>Raw_Transactions!F199</f>
        <v/>
      </c>
      <c r="G199" s="4">
        <f>Raw_Transactions!G199</f>
        <v/>
      </c>
      <c r="H199" s="4">
        <f>XLOOKUP(B199,Raw_Risk_Profiles!$A:$A,Raw_Risk_Profiles!$B:$B,"Not Found")</f>
        <v/>
      </c>
      <c r="I199" s="4">
        <f>XLOOKUP(B199,Raw_Risk_Profiles!$A:$A,Raw_Risk_Profiles!$C:$C,"Missing")</f>
        <v/>
      </c>
      <c r="J199" s="4">
        <f>XLOOKUP(B199,Raw_Risk_Profiles!$A:$A,Raw_Risk_Profiles!$D:$D,"")</f>
        <v/>
      </c>
      <c r="K199" s="4">
        <f>IFERROR(INDEX(Raw_Risk_Profiles!$E:$E,MATCH(B199,Raw_Risk_Profiles!$A:$A,0)),"Unknown")</f>
        <v/>
      </c>
      <c r="L199" s="4">
        <f>IFERROR(XLOOKUP(A199,Raw_Alerts!$B:$B,Raw_Alerts!$A:$A),"No Alert")</f>
        <v/>
      </c>
      <c r="M199" s="4">
        <f>IFERROR(XLOOKUP(A199,Raw_Alerts!$B:$B,Raw_Alerts!$C:$C),"")</f>
        <v/>
      </c>
      <c r="N199" s="4">
        <f>IFERROR(XLOOKUP(A199,Raw_Alerts!$B:$B,Raw_Alerts!$D:$D),"")</f>
        <v/>
      </c>
      <c r="O199" s="4">
        <f>IFERROR(XLOOKUP(A199,Raw_Alerts!$B:$B,Raw_Alerts!$F:$F),"")</f>
        <v/>
      </c>
      <c r="P199" s="4">
        <f>IF(H199="Not Found","CRITICAL: No Risk Profile",IF(I199="Missing","WARN: Missing KYC",IF(I199="Expired","WARN: KYC Expired",IF(I199="Pending","INFO: KYC Pending","OK"))))</f>
        <v/>
      </c>
    </row>
    <row r="200">
      <c r="A200" s="2">
        <f>Raw_Transactions!A200</f>
        <v/>
      </c>
      <c r="B200" s="2">
        <f>Raw_Transactions!B200</f>
        <v/>
      </c>
      <c r="C200" s="2">
        <f>Raw_Transactions!C200</f>
        <v/>
      </c>
      <c r="D200" s="3">
        <f>Raw_Transactions!D200</f>
        <v/>
      </c>
      <c r="E200" s="2">
        <f>Raw_Transactions!E200</f>
        <v/>
      </c>
      <c r="F200" s="2">
        <f>Raw_Transactions!F200</f>
        <v/>
      </c>
      <c r="G200" s="2">
        <f>Raw_Transactions!G200</f>
        <v/>
      </c>
      <c r="H200" s="2">
        <f>XLOOKUP(B200,Raw_Risk_Profiles!$A:$A,Raw_Risk_Profiles!$B:$B,"Not Found")</f>
        <v/>
      </c>
      <c r="I200" s="2">
        <f>XLOOKUP(B200,Raw_Risk_Profiles!$A:$A,Raw_Risk_Profiles!$C:$C,"Missing")</f>
        <v/>
      </c>
      <c r="J200" s="2">
        <f>XLOOKUP(B200,Raw_Risk_Profiles!$A:$A,Raw_Risk_Profiles!$D:$D,"")</f>
        <v/>
      </c>
      <c r="K200" s="2">
        <f>IFERROR(INDEX(Raw_Risk_Profiles!$E:$E,MATCH(B200,Raw_Risk_Profiles!$A:$A,0)),"Unknown")</f>
        <v/>
      </c>
      <c r="L200" s="2">
        <f>IFERROR(XLOOKUP(A200,Raw_Alerts!$B:$B,Raw_Alerts!$A:$A),"No Alert")</f>
        <v/>
      </c>
      <c r="M200" s="2">
        <f>IFERROR(XLOOKUP(A200,Raw_Alerts!$B:$B,Raw_Alerts!$C:$C),"")</f>
        <v/>
      </c>
      <c r="N200" s="2">
        <f>IFERROR(XLOOKUP(A200,Raw_Alerts!$B:$B,Raw_Alerts!$D:$D),"")</f>
        <v/>
      </c>
      <c r="O200" s="2">
        <f>IFERROR(XLOOKUP(A200,Raw_Alerts!$B:$B,Raw_Alerts!$F:$F),"")</f>
        <v/>
      </c>
      <c r="P200" s="2">
        <f>IF(H200="Not Found","CRITICAL: No Risk Profile",IF(I200="Missing","WARN: Missing KYC",IF(I200="Expired","WARN: KYC Expired",IF(I200="Pending","INFO: KYC Pending","OK"))))</f>
        <v/>
      </c>
    </row>
    <row r="201">
      <c r="A201" s="4">
        <f>Raw_Transactions!A201</f>
        <v/>
      </c>
      <c r="B201" s="4">
        <f>Raw_Transactions!B201</f>
        <v/>
      </c>
      <c r="C201" s="4">
        <f>Raw_Transactions!C201</f>
        <v/>
      </c>
      <c r="D201" s="5">
        <f>Raw_Transactions!D201</f>
        <v/>
      </c>
      <c r="E201" s="4">
        <f>Raw_Transactions!E201</f>
        <v/>
      </c>
      <c r="F201" s="4">
        <f>Raw_Transactions!F201</f>
        <v/>
      </c>
      <c r="G201" s="4">
        <f>Raw_Transactions!G201</f>
        <v/>
      </c>
      <c r="H201" s="4">
        <f>XLOOKUP(B201,Raw_Risk_Profiles!$A:$A,Raw_Risk_Profiles!$B:$B,"Not Found")</f>
        <v/>
      </c>
      <c r="I201" s="4">
        <f>XLOOKUP(B201,Raw_Risk_Profiles!$A:$A,Raw_Risk_Profiles!$C:$C,"Missing")</f>
        <v/>
      </c>
      <c r="J201" s="4">
        <f>XLOOKUP(B201,Raw_Risk_Profiles!$A:$A,Raw_Risk_Profiles!$D:$D,"")</f>
        <v/>
      </c>
      <c r="K201" s="4">
        <f>IFERROR(INDEX(Raw_Risk_Profiles!$E:$E,MATCH(B201,Raw_Risk_Profiles!$A:$A,0)),"Unknown")</f>
        <v/>
      </c>
      <c r="L201" s="4">
        <f>IFERROR(XLOOKUP(A201,Raw_Alerts!$B:$B,Raw_Alerts!$A:$A),"No Alert")</f>
        <v/>
      </c>
      <c r="M201" s="4">
        <f>IFERROR(XLOOKUP(A201,Raw_Alerts!$B:$B,Raw_Alerts!$C:$C),"")</f>
        <v/>
      </c>
      <c r="N201" s="4">
        <f>IFERROR(XLOOKUP(A201,Raw_Alerts!$B:$B,Raw_Alerts!$D:$D),"")</f>
        <v/>
      </c>
      <c r="O201" s="4">
        <f>IFERROR(XLOOKUP(A201,Raw_Alerts!$B:$B,Raw_Alerts!$F:$F),"")</f>
        <v/>
      </c>
      <c r="P201" s="4">
        <f>IF(H201="Not Found","CRITICAL: No Risk Profile",IF(I201="Missing","WARN: Missing KYC",IF(I201="Expired","WARN: KYC Expired",IF(I201="Pending","INFO: KYC Pending","OK"))))</f>
        <v/>
      </c>
    </row>
    <row r="202">
      <c r="A202" s="2">
        <f>Raw_Transactions!A202</f>
        <v/>
      </c>
      <c r="B202" s="2">
        <f>Raw_Transactions!B202</f>
        <v/>
      </c>
      <c r="C202" s="2">
        <f>Raw_Transactions!C202</f>
        <v/>
      </c>
      <c r="D202" s="3">
        <f>Raw_Transactions!D202</f>
        <v/>
      </c>
      <c r="E202" s="2">
        <f>Raw_Transactions!E202</f>
        <v/>
      </c>
      <c r="F202" s="2">
        <f>Raw_Transactions!F202</f>
        <v/>
      </c>
      <c r="G202" s="2">
        <f>Raw_Transactions!G202</f>
        <v/>
      </c>
      <c r="H202" s="2">
        <f>XLOOKUP(B202,Raw_Risk_Profiles!$A:$A,Raw_Risk_Profiles!$B:$B,"Not Found")</f>
        <v/>
      </c>
      <c r="I202" s="2">
        <f>XLOOKUP(B202,Raw_Risk_Profiles!$A:$A,Raw_Risk_Profiles!$C:$C,"Missing")</f>
        <v/>
      </c>
      <c r="J202" s="2">
        <f>XLOOKUP(B202,Raw_Risk_Profiles!$A:$A,Raw_Risk_Profiles!$D:$D,"")</f>
        <v/>
      </c>
      <c r="K202" s="2">
        <f>IFERROR(INDEX(Raw_Risk_Profiles!$E:$E,MATCH(B202,Raw_Risk_Profiles!$A:$A,0)),"Unknown")</f>
        <v/>
      </c>
      <c r="L202" s="2">
        <f>IFERROR(XLOOKUP(A202,Raw_Alerts!$B:$B,Raw_Alerts!$A:$A),"No Alert")</f>
        <v/>
      </c>
      <c r="M202" s="2">
        <f>IFERROR(XLOOKUP(A202,Raw_Alerts!$B:$B,Raw_Alerts!$C:$C),"")</f>
        <v/>
      </c>
      <c r="N202" s="2">
        <f>IFERROR(XLOOKUP(A202,Raw_Alerts!$B:$B,Raw_Alerts!$D:$D),"")</f>
        <v/>
      </c>
      <c r="O202" s="2">
        <f>IFERROR(XLOOKUP(A202,Raw_Alerts!$B:$B,Raw_Alerts!$F:$F),"")</f>
        <v/>
      </c>
      <c r="P202" s="2">
        <f>IF(H202="Not Found","CRITICAL: No Risk Profile",IF(I202="Missing","WARN: Missing KYC",IF(I202="Expired","WARN: KYC Expired",IF(I202="Pending","INFO: KYC Pending","OK"))))</f>
        <v/>
      </c>
    </row>
    <row r="203">
      <c r="A203" s="4">
        <f>Raw_Transactions!A203</f>
        <v/>
      </c>
      <c r="B203" s="4">
        <f>Raw_Transactions!B203</f>
        <v/>
      </c>
      <c r="C203" s="4">
        <f>Raw_Transactions!C203</f>
        <v/>
      </c>
      <c r="D203" s="5">
        <f>Raw_Transactions!D203</f>
        <v/>
      </c>
      <c r="E203" s="4">
        <f>Raw_Transactions!E203</f>
        <v/>
      </c>
      <c r="F203" s="4">
        <f>Raw_Transactions!F203</f>
        <v/>
      </c>
      <c r="G203" s="4">
        <f>Raw_Transactions!G203</f>
        <v/>
      </c>
      <c r="H203" s="4">
        <f>XLOOKUP(B203,Raw_Risk_Profiles!$A:$A,Raw_Risk_Profiles!$B:$B,"Not Found")</f>
        <v/>
      </c>
      <c r="I203" s="4">
        <f>XLOOKUP(B203,Raw_Risk_Profiles!$A:$A,Raw_Risk_Profiles!$C:$C,"Missing")</f>
        <v/>
      </c>
      <c r="J203" s="4">
        <f>XLOOKUP(B203,Raw_Risk_Profiles!$A:$A,Raw_Risk_Profiles!$D:$D,"")</f>
        <v/>
      </c>
      <c r="K203" s="4">
        <f>IFERROR(INDEX(Raw_Risk_Profiles!$E:$E,MATCH(B203,Raw_Risk_Profiles!$A:$A,0)),"Unknown")</f>
        <v/>
      </c>
      <c r="L203" s="4">
        <f>IFERROR(XLOOKUP(A203,Raw_Alerts!$B:$B,Raw_Alerts!$A:$A),"No Alert")</f>
        <v/>
      </c>
      <c r="M203" s="4">
        <f>IFERROR(XLOOKUP(A203,Raw_Alerts!$B:$B,Raw_Alerts!$C:$C),"")</f>
        <v/>
      </c>
      <c r="N203" s="4">
        <f>IFERROR(XLOOKUP(A203,Raw_Alerts!$B:$B,Raw_Alerts!$D:$D),"")</f>
        <v/>
      </c>
      <c r="O203" s="4">
        <f>IFERROR(XLOOKUP(A203,Raw_Alerts!$B:$B,Raw_Alerts!$F:$F),"")</f>
        <v/>
      </c>
      <c r="P203" s="4">
        <f>IF(H203="Not Found","CRITICAL: No Risk Profile",IF(I203="Missing","WARN: Missing KYC",IF(I203="Expired","WARN: KYC Expired",IF(I203="Pending","INFO: KYC Pending","OK"))))</f>
        <v/>
      </c>
    </row>
    <row r="204">
      <c r="A204" s="2">
        <f>Raw_Transactions!A204</f>
        <v/>
      </c>
      <c r="B204" s="2">
        <f>Raw_Transactions!B204</f>
        <v/>
      </c>
      <c r="C204" s="2">
        <f>Raw_Transactions!C204</f>
        <v/>
      </c>
      <c r="D204" s="3">
        <f>Raw_Transactions!D204</f>
        <v/>
      </c>
      <c r="E204" s="2">
        <f>Raw_Transactions!E204</f>
        <v/>
      </c>
      <c r="F204" s="2">
        <f>Raw_Transactions!F204</f>
        <v/>
      </c>
      <c r="G204" s="2">
        <f>Raw_Transactions!G204</f>
        <v/>
      </c>
      <c r="H204" s="2">
        <f>XLOOKUP(B204,Raw_Risk_Profiles!$A:$A,Raw_Risk_Profiles!$B:$B,"Not Found")</f>
        <v/>
      </c>
      <c r="I204" s="2">
        <f>XLOOKUP(B204,Raw_Risk_Profiles!$A:$A,Raw_Risk_Profiles!$C:$C,"Missing")</f>
        <v/>
      </c>
      <c r="J204" s="2">
        <f>XLOOKUP(B204,Raw_Risk_Profiles!$A:$A,Raw_Risk_Profiles!$D:$D,"")</f>
        <v/>
      </c>
      <c r="K204" s="2">
        <f>IFERROR(INDEX(Raw_Risk_Profiles!$E:$E,MATCH(B204,Raw_Risk_Profiles!$A:$A,0)),"Unknown")</f>
        <v/>
      </c>
      <c r="L204" s="2">
        <f>IFERROR(XLOOKUP(A204,Raw_Alerts!$B:$B,Raw_Alerts!$A:$A),"No Alert")</f>
        <v/>
      </c>
      <c r="M204" s="2">
        <f>IFERROR(XLOOKUP(A204,Raw_Alerts!$B:$B,Raw_Alerts!$C:$C),"")</f>
        <v/>
      </c>
      <c r="N204" s="2">
        <f>IFERROR(XLOOKUP(A204,Raw_Alerts!$B:$B,Raw_Alerts!$D:$D),"")</f>
        <v/>
      </c>
      <c r="O204" s="2">
        <f>IFERROR(XLOOKUP(A204,Raw_Alerts!$B:$B,Raw_Alerts!$F:$F),"")</f>
        <v/>
      </c>
      <c r="P204" s="2">
        <f>IF(H204="Not Found","CRITICAL: No Risk Profile",IF(I204="Missing","WARN: Missing KYC",IF(I204="Expired","WARN: KYC Expired",IF(I204="Pending","INFO: KYC Pending","OK"))))</f>
        <v/>
      </c>
    </row>
    <row r="205">
      <c r="A205" s="4">
        <f>Raw_Transactions!A205</f>
        <v/>
      </c>
      <c r="B205" s="4">
        <f>Raw_Transactions!B205</f>
        <v/>
      </c>
      <c r="C205" s="4">
        <f>Raw_Transactions!C205</f>
        <v/>
      </c>
      <c r="D205" s="5">
        <f>Raw_Transactions!D205</f>
        <v/>
      </c>
      <c r="E205" s="4">
        <f>Raw_Transactions!E205</f>
        <v/>
      </c>
      <c r="F205" s="4">
        <f>Raw_Transactions!F205</f>
        <v/>
      </c>
      <c r="G205" s="4">
        <f>Raw_Transactions!G205</f>
        <v/>
      </c>
      <c r="H205" s="4">
        <f>XLOOKUP(B205,Raw_Risk_Profiles!$A:$A,Raw_Risk_Profiles!$B:$B,"Not Found")</f>
        <v/>
      </c>
      <c r="I205" s="4">
        <f>XLOOKUP(B205,Raw_Risk_Profiles!$A:$A,Raw_Risk_Profiles!$C:$C,"Missing")</f>
        <v/>
      </c>
      <c r="J205" s="4">
        <f>XLOOKUP(B205,Raw_Risk_Profiles!$A:$A,Raw_Risk_Profiles!$D:$D,"")</f>
        <v/>
      </c>
      <c r="K205" s="4">
        <f>IFERROR(INDEX(Raw_Risk_Profiles!$E:$E,MATCH(B205,Raw_Risk_Profiles!$A:$A,0)),"Unknown")</f>
        <v/>
      </c>
      <c r="L205" s="4">
        <f>IFERROR(XLOOKUP(A205,Raw_Alerts!$B:$B,Raw_Alerts!$A:$A),"No Alert")</f>
        <v/>
      </c>
      <c r="M205" s="4">
        <f>IFERROR(XLOOKUP(A205,Raw_Alerts!$B:$B,Raw_Alerts!$C:$C),"")</f>
        <v/>
      </c>
      <c r="N205" s="4">
        <f>IFERROR(XLOOKUP(A205,Raw_Alerts!$B:$B,Raw_Alerts!$D:$D),"")</f>
        <v/>
      </c>
      <c r="O205" s="4">
        <f>IFERROR(XLOOKUP(A205,Raw_Alerts!$B:$B,Raw_Alerts!$F:$F),"")</f>
        <v/>
      </c>
      <c r="P205" s="4">
        <f>IF(H205="Not Found","CRITICAL: No Risk Profile",IF(I205="Missing","WARN: Missing KYC",IF(I205="Expired","WARN: KYC Expired",IF(I205="Pending","INFO: KYC Pending","OK"))))</f>
        <v/>
      </c>
    </row>
    <row r="206">
      <c r="A206" s="2">
        <f>Raw_Transactions!A206</f>
        <v/>
      </c>
      <c r="B206" s="2">
        <f>Raw_Transactions!B206</f>
        <v/>
      </c>
      <c r="C206" s="2">
        <f>Raw_Transactions!C206</f>
        <v/>
      </c>
      <c r="D206" s="3">
        <f>Raw_Transactions!D206</f>
        <v/>
      </c>
      <c r="E206" s="2">
        <f>Raw_Transactions!E206</f>
        <v/>
      </c>
      <c r="F206" s="2">
        <f>Raw_Transactions!F206</f>
        <v/>
      </c>
      <c r="G206" s="2">
        <f>Raw_Transactions!G206</f>
        <v/>
      </c>
      <c r="H206" s="2">
        <f>XLOOKUP(B206,Raw_Risk_Profiles!$A:$A,Raw_Risk_Profiles!$B:$B,"Not Found")</f>
        <v/>
      </c>
      <c r="I206" s="2">
        <f>XLOOKUP(B206,Raw_Risk_Profiles!$A:$A,Raw_Risk_Profiles!$C:$C,"Missing")</f>
        <v/>
      </c>
      <c r="J206" s="2">
        <f>XLOOKUP(B206,Raw_Risk_Profiles!$A:$A,Raw_Risk_Profiles!$D:$D,"")</f>
        <v/>
      </c>
      <c r="K206" s="2">
        <f>IFERROR(INDEX(Raw_Risk_Profiles!$E:$E,MATCH(B206,Raw_Risk_Profiles!$A:$A,0)),"Unknown")</f>
        <v/>
      </c>
      <c r="L206" s="2">
        <f>IFERROR(XLOOKUP(A206,Raw_Alerts!$B:$B,Raw_Alerts!$A:$A),"No Alert")</f>
        <v/>
      </c>
      <c r="M206" s="2">
        <f>IFERROR(XLOOKUP(A206,Raw_Alerts!$B:$B,Raw_Alerts!$C:$C),"")</f>
        <v/>
      </c>
      <c r="N206" s="2">
        <f>IFERROR(XLOOKUP(A206,Raw_Alerts!$B:$B,Raw_Alerts!$D:$D),"")</f>
        <v/>
      </c>
      <c r="O206" s="2">
        <f>IFERROR(XLOOKUP(A206,Raw_Alerts!$B:$B,Raw_Alerts!$F:$F),"")</f>
        <v/>
      </c>
      <c r="P206" s="2">
        <f>IF(H206="Not Found","CRITICAL: No Risk Profile",IF(I206="Missing","WARN: Missing KYC",IF(I206="Expired","WARN: KYC Expired",IF(I206="Pending","INFO: KYC Pending","OK"))))</f>
        <v/>
      </c>
    </row>
    <row r="207">
      <c r="A207" s="4">
        <f>Raw_Transactions!A207</f>
        <v/>
      </c>
      <c r="B207" s="4">
        <f>Raw_Transactions!B207</f>
        <v/>
      </c>
      <c r="C207" s="4">
        <f>Raw_Transactions!C207</f>
        <v/>
      </c>
      <c r="D207" s="5">
        <f>Raw_Transactions!D207</f>
        <v/>
      </c>
      <c r="E207" s="4">
        <f>Raw_Transactions!E207</f>
        <v/>
      </c>
      <c r="F207" s="4">
        <f>Raw_Transactions!F207</f>
        <v/>
      </c>
      <c r="G207" s="4">
        <f>Raw_Transactions!G207</f>
        <v/>
      </c>
      <c r="H207" s="4">
        <f>XLOOKUP(B207,Raw_Risk_Profiles!$A:$A,Raw_Risk_Profiles!$B:$B,"Not Found")</f>
        <v/>
      </c>
      <c r="I207" s="4">
        <f>XLOOKUP(B207,Raw_Risk_Profiles!$A:$A,Raw_Risk_Profiles!$C:$C,"Missing")</f>
        <v/>
      </c>
      <c r="J207" s="4">
        <f>XLOOKUP(B207,Raw_Risk_Profiles!$A:$A,Raw_Risk_Profiles!$D:$D,"")</f>
        <v/>
      </c>
      <c r="K207" s="4">
        <f>IFERROR(INDEX(Raw_Risk_Profiles!$E:$E,MATCH(B207,Raw_Risk_Profiles!$A:$A,0)),"Unknown")</f>
        <v/>
      </c>
      <c r="L207" s="4">
        <f>IFERROR(XLOOKUP(A207,Raw_Alerts!$B:$B,Raw_Alerts!$A:$A),"No Alert")</f>
        <v/>
      </c>
      <c r="M207" s="4">
        <f>IFERROR(XLOOKUP(A207,Raw_Alerts!$B:$B,Raw_Alerts!$C:$C),"")</f>
        <v/>
      </c>
      <c r="N207" s="4">
        <f>IFERROR(XLOOKUP(A207,Raw_Alerts!$B:$B,Raw_Alerts!$D:$D),"")</f>
        <v/>
      </c>
      <c r="O207" s="4">
        <f>IFERROR(XLOOKUP(A207,Raw_Alerts!$B:$B,Raw_Alerts!$F:$F),"")</f>
        <v/>
      </c>
      <c r="P207" s="4">
        <f>IF(H207="Not Found","CRITICAL: No Risk Profile",IF(I207="Missing","WARN: Missing KYC",IF(I207="Expired","WARN: KYC Expired",IF(I207="Pending","INFO: KYC Pending","OK"))))</f>
        <v/>
      </c>
    </row>
    <row r="208">
      <c r="A208" s="2">
        <f>Raw_Transactions!A208</f>
        <v/>
      </c>
      <c r="B208" s="2">
        <f>Raw_Transactions!B208</f>
        <v/>
      </c>
      <c r="C208" s="2">
        <f>Raw_Transactions!C208</f>
        <v/>
      </c>
      <c r="D208" s="3">
        <f>Raw_Transactions!D208</f>
        <v/>
      </c>
      <c r="E208" s="2">
        <f>Raw_Transactions!E208</f>
        <v/>
      </c>
      <c r="F208" s="2">
        <f>Raw_Transactions!F208</f>
        <v/>
      </c>
      <c r="G208" s="2">
        <f>Raw_Transactions!G208</f>
        <v/>
      </c>
      <c r="H208" s="2">
        <f>XLOOKUP(B208,Raw_Risk_Profiles!$A:$A,Raw_Risk_Profiles!$B:$B,"Not Found")</f>
        <v/>
      </c>
      <c r="I208" s="2">
        <f>XLOOKUP(B208,Raw_Risk_Profiles!$A:$A,Raw_Risk_Profiles!$C:$C,"Missing")</f>
        <v/>
      </c>
      <c r="J208" s="2">
        <f>XLOOKUP(B208,Raw_Risk_Profiles!$A:$A,Raw_Risk_Profiles!$D:$D,"")</f>
        <v/>
      </c>
      <c r="K208" s="2">
        <f>IFERROR(INDEX(Raw_Risk_Profiles!$E:$E,MATCH(B208,Raw_Risk_Profiles!$A:$A,0)),"Unknown")</f>
        <v/>
      </c>
      <c r="L208" s="2">
        <f>IFERROR(XLOOKUP(A208,Raw_Alerts!$B:$B,Raw_Alerts!$A:$A),"No Alert")</f>
        <v/>
      </c>
      <c r="M208" s="2">
        <f>IFERROR(XLOOKUP(A208,Raw_Alerts!$B:$B,Raw_Alerts!$C:$C),"")</f>
        <v/>
      </c>
      <c r="N208" s="2">
        <f>IFERROR(XLOOKUP(A208,Raw_Alerts!$B:$B,Raw_Alerts!$D:$D),"")</f>
        <v/>
      </c>
      <c r="O208" s="2">
        <f>IFERROR(XLOOKUP(A208,Raw_Alerts!$B:$B,Raw_Alerts!$F:$F),"")</f>
        <v/>
      </c>
      <c r="P208" s="2">
        <f>IF(H208="Not Found","CRITICAL: No Risk Profile",IF(I208="Missing","WARN: Missing KYC",IF(I208="Expired","WARN: KYC Expired",IF(I208="Pending","INFO: KYC Pending","OK"))))</f>
        <v/>
      </c>
    </row>
    <row r="209">
      <c r="A209" s="4">
        <f>Raw_Transactions!A209</f>
        <v/>
      </c>
      <c r="B209" s="4">
        <f>Raw_Transactions!B209</f>
        <v/>
      </c>
      <c r="C209" s="4">
        <f>Raw_Transactions!C209</f>
        <v/>
      </c>
      <c r="D209" s="5">
        <f>Raw_Transactions!D209</f>
        <v/>
      </c>
      <c r="E209" s="4">
        <f>Raw_Transactions!E209</f>
        <v/>
      </c>
      <c r="F209" s="4">
        <f>Raw_Transactions!F209</f>
        <v/>
      </c>
      <c r="G209" s="4">
        <f>Raw_Transactions!G209</f>
        <v/>
      </c>
      <c r="H209" s="4">
        <f>XLOOKUP(B209,Raw_Risk_Profiles!$A:$A,Raw_Risk_Profiles!$B:$B,"Not Found")</f>
        <v/>
      </c>
      <c r="I209" s="4">
        <f>XLOOKUP(B209,Raw_Risk_Profiles!$A:$A,Raw_Risk_Profiles!$C:$C,"Missing")</f>
        <v/>
      </c>
      <c r="J209" s="4">
        <f>XLOOKUP(B209,Raw_Risk_Profiles!$A:$A,Raw_Risk_Profiles!$D:$D,"")</f>
        <v/>
      </c>
      <c r="K209" s="4">
        <f>IFERROR(INDEX(Raw_Risk_Profiles!$E:$E,MATCH(B209,Raw_Risk_Profiles!$A:$A,0)),"Unknown")</f>
        <v/>
      </c>
      <c r="L209" s="4">
        <f>IFERROR(XLOOKUP(A209,Raw_Alerts!$B:$B,Raw_Alerts!$A:$A),"No Alert")</f>
        <v/>
      </c>
      <c r="M209" s="4">
        <f>IFERROR(XLOOKUP(A209,Raw_Alerts!$B:$B,Raw_Alerts!$C:$C),"")</f>
        <v/>
      </c>
      <c r="N209" s="4">
        <f>IFERROR(XLOOKUP(A209,Raw_Alerts!$B:$B,Raw_Alerts!$D:$D),"")</f>
        <v/>
      </c>
      <c r="O209" s="4">
        <f>IFERROR(XLOOKUP(A209,Raw_Alerts!$B:$B,Raw_Alerts!$F:$F),"")</f>
        <v/>
      </c>
      <c r="P209" s="4">
        <f>IF(H209="Not Found","CRITICAL: No Risk Profile",IF(I209="Missing","WARN: Missing KYC",IF(I209="Expired","WARN: KYC Expired",IF(I209="Pending","INFO: KYC Pending","OK"))))</f>
        <v/>
      </c>
    </row>
    <row r="210">
      <c r="A210" s="2">
        <f>Raw_Transactions!A210</f>
        <v/>
      </c>
      <c r="B210" s="2">
        <f>Raw_Transactions!B210</f>
        <v/>
      </c>
      <c r="C210" s="2">
        <f>Raw_Transactions!C210</f>
        <v/>
      </c>
      <c r="D210" s="3">
        <f>Raw_Transactions!D210</f>
        <v/>
      </c>
      <c r="E210" s="2">
        <f>Raw_Transactions!E210</f>
        <v/>
      </c>
      <c r="F210" s="2">
        <f>Raw_Transactions!F210</f>
        <v/>
      </c>
      <c r="G210" s="2">
        <f>Raw_Transactions!G210</f>
        <v/>
      </c>
      <c r="H210" s="2">
        <f>XLOOKUP(B210,Raw_Risk_Profiles!$A:$A,Raw_Risk_Profiles!$B:$B,"Not Found")</f>
        <v/>
      </c>
      <c r="I210" s="2">
        <f>XLOOKUP(B210,Raw_Risk_Profiles!$A:$A,Raw_Risk_Profiles!$C:$C,"Missing")</f>
        <v/>
      </c>
      <c r="J210" s="2">
        <f>XLOOKUP(B210,Raw_Risk_Profiles!$A:$A,Raw_Risk_Profiles!$D:$D,"")</f>
        <v/>
      </c>
      <c r="K210" s="2">
        <f>IFERROR(INDEX(Raw_Risk_Profiles!$E:$E,MATCH(B210,Raw_Risk_Profiles!$A:$A,0)),"Unknown")</f>
        <v/>
      </c>
      <c r="L210" s="2">
        <f>IFERROR(XLOOKUP(A210,Raw_Alerts!$B:$B,Raw_Alerts!$A:$A),"No Alert")</f>
        <v/>
      </c>
      <c r="M210" s="2">
        <f>IFERROR(XLOOKUP(A210,Raw_Alerts!$B:$B,Raw_Alerts!$C:$C),"")</f>
        <v/>
      </c>
      <c r="N210" s="2">
        <f>IFERROR(XLOOKUP(A210,Raw_Alerts!$B:$B,Raw_Alerts!$D:$D),"")</f>
        <v/>
      </c>
      <c r="O210" s="2">
        <f>IFERROR(XLOOKUP(A210,Raw_Alerts!$B:$B,Raw_Alerts!$F:$F),"")</f>
        <v/>
      </c>
      <c r="P210" s="2">
        <f>IF(H210="Not Found","CRITICAL: No Risk Profile",IF(I210="Missing","WARN: Missing KYC",IF(I210="Expired","WARN: KYC Expired",IF(I210="Pending","INFO: KYC Pending","OK"))))</f>
        <v/>
      </c>
    </row>
    <row r="211">
      <c r="A211" s="4">
        <f>Raw_Transactions!A211</f>
        <v/>
      </c>
      <c r="B211" s="4">
        <f>Raw_Transactions!B211</f>
        <v/>
      </c>
      <c r="C211" s="4">
        <f>Raw_Transactions!C211</f>
        <v/>
      </c>
      <c r="D211" s="5">
        <f>Raw_Transactions!D211</f>
        <v/>
      </c>
      <c r="E211" s="4">
        <f>Raw_Transactions!E211</f>
        <v/>
      </c>
      <c r="F211" s="4">
        <f>Raw_Transactions!F211</f>
        <v/>
      </c>
      <c r="G211" s="4">
        <f>Raw_Transactions!G211</f>
        <v/>
      </c>
      <c r="H211" s="4">
        <f>XLOOKUP(B211,Raw_Risk_Profiles!$A:$A,Raw_Risk_Profiles!$B:$B,"Not Found")</f>
        <v/>
      </c>
      <c r="I211" s="4">
        <f>XLOOKUP(B211,Raw_Risk_Profiles!$A:$A,Raw_Risk_Profiles!$C:$C,"Missing")</f>
        <v/>
      </c>
      <c r="J211" s="4">
        <f>XLOOKUP(B211,Raw_Risk_Profiles!$A:$A,Raw_Risk_Profiles!$D:$D,"")</f>
        <v/>
      </c>
      <c r="K211" s="4">
        <f>IFERROR(INDEX(Raw_Risk_Profiles!$E:$E,MATCH(B211,Raw_Risk_Profiles!$A:$A,0)),"Unknown")</f>
        <v/>
      </c>
      <c r="L211" s="4">
        <f>IFERROR(XLOOKUP(A211,Raw_Alerts!$B:$B,Raw_Alerts!$A:$A),"No Alert")</f>
        <v/>
      </c>
      <c r="M211" s="4">
        <f>IFERROR(XLOOKUP(A211,Raw_Alerts!$B:$B,Raw_Alerts!$C:$C),"")</f>
        <v/>
      </c>
      <c r="N211" s="4">
        <f>IFERROR(XLOOKUP(A211,Raw_Alerts!$B:$B,Raw_Alerts!$D:$D),"")</f>
        <v/>
      </c>
      <c r="O211" s="4">
        <f>IFERROR(XLOOKUP(A211,Raw_Alerts!$B:$B,Raw_Alerts!$F:$F),"")</f>
        <v/>
      </c>
      <c r="P211" s="4">
        <f>IF(H211="Not Found","CRITICAL: No Risk Profile",IF(I211="Missing","WARN: Missing KYC",IF(I211="Expired","WARN: KYC Expired",IF(I211="Pending","INFO: KYC Pending","OK"))))</f>
        <v/>
      </c>
    </row>
    <row r="212">
      <c r="A212" s="2">
        <f>Raw_Transactions!A212</f>
        <v/>
      </c>
      <c r="B212" s="2">
        <f>Raw_Transactions!B212</f>
        <v/>
      </c>
      <c r="C212" s="2">
        <f>Raw_Transactions!C212</f>
        <v/>
      </c>
      <c r="D212" s="3">
        <f>Raw_Transactions!D212</f>
        <v/>
      </c>
      <c r="E212" s="2">
        <f>Raw_Transactions!E212</f>
        <v/>
      </c>
      <c r="F212" s="2">
        <f>Raw_Transactions!F212</f>
        <v/>
      </c>
      <c r="G212" s="2">
        <f>Raw_Transactions!G212</f>
        <v/>
      </c>
      <c r="H212" s="2">
        <f>XLOOKUP(B212,Raw_Risk_Profiles!$A:$A,Raw_Risk_Profiles!$B:$B,"Not Found")</f>
        <v/>
      </c>
      <c r="I212" s="2">
        <f>XLOOKUP(B212,Raw_Risk_Profiles!$A:$A,Raw_Risk_Profiles!$C:$C,"Missing")</f>
        <v/>
      </c>
      <c r="J212" s="2">
        <f>XLOOKUP(B212,Raw_Risk_Profiles!$A:$A,Raw_Risk_Profiles!$D:$D,"")</f>
        <v/>
      </c>
      <c r="K212" s="2">
        <f>IFERROR(INDEX(Raw_Risk_Profiles!$E:$E,MATCH(B212,Raw_Risk_Profiles!$A:$A,0)),"Unknown")</f>
        <v/>
      </c>
      <c r="L212" s="2">
        <f>IFERROR(XLOOKUP(A212,Raw_Alerts!$B:$B,Raw_Alerts!$A:$A),"No Alert")</f>
        <v/>
      </c>
      <c r="M212" s="2">
        <f>IFERROR(XLOOKUP(A212,Raw_Alerts!$B:$B,Raw_Alerts!$C:$C),"")</f>
        <v/>
      </c>
      <c r="N212" s="2">
        <f>IFERROR(XLOOKUP(A212,Raw_Alerts!$B:$B,Raw_Alerts!$D:$D),"")</f>
        <v/>
      </c>
      <c r="O212" s="2">
        <f>IFERROR(XLOOKUP(A212,Raw_Alerts!$B:$B,Raw_Alerts!$F:$F),"")</f>
        <v/>
      </c>
      <c r="P212" s="2">
        <f>IF(H212="Not Found","CRITICAL: No Risk Profile",IF(I212="Missing","WARN: Missing KYC",IF(I212="Expired","WARN: KYC Expired",IF(I212="Pending","INFO: KYC Pending","OK"))))</f>
        <v/>
      </c>
    </row>
    <row r="213">
      <c r="A213" s="4">
        <f>Raw_Transactions!A213</f>
        <v/>
      </c>
      <c r="B213" s="4">
        <f>Raw_Transactions!B213</f>
        <v/>
      </c>
      <c r="C213" s="4">
        <f>Raw_Transactions!C213</f>
        <v/>
      </c>
      <c r="D213" s="5">
        <f>Raw_Transactions!D213</f>
        <v/>
      </c>
      <c r="E213" s="4">
        <f>Raw_Transactions!E213</f>
        <v/>
      </c>
      <c r="F213" s="4">
        <f>Raw_Transactions!F213</f>
        <v/>
      </c>
      <c r="G213" s="4">
        <f>Raw_Transactions!G213</f>
        <v/>
      </c>
      <c r="H213" s="4">
        <f>XLOOKUP(B213,Raw_Risk_Profiles!$A:$A,Raw_Risk_Profiles!$B:$B,"Not Found")</f>
        <v/>
      </c>
      <c r="I213" s="4">
        <f>XLOOKUP(B213,Raw_Risk_Profiles!$A:$A,Raw_Risk_Profiles!$C:$C,"Missing")</f>
        <v/>
      </c>
      <c r="J213" s="4">
        <f>XLOOKUP(B213,Raw_Risk_Profiles!$A:$A,Raw_Risk_Profiles!$D:$D,"")</f>
        <v/>
      </c>
      <c r="K213" s="4">
        <f>IFERROR(INDEX(Raw_Risk_Profiles!$E:$E,MATCH(B213,Raw_Risk_Profiles!$A:$A,0)),"Unknown")</f>
        <v/>
      </c>
      <c r="L213" s="4">
        <f>IFERROR(XLOOKUP(A213,Raw_Alerts!$B:$B,Raw_Alerts!$A:$A),"No Alert")</f>
        <v/>
      </c>
      <c r="M213" s="4">
        <f>IFERROR(XLOOKUP(A213,Raw_Alerts!$B:$B,Raw_Alerts!$C:$C),"")</f>
        <v/>
      </c>
      <c r="N213" s="4">
        <f>IFERROR(XLOOKUP(A213,Raw_Alerts!$B:$B,Raw_Alerts!$D:$D),"")</f>
        <v/>
      </c>
      <c r="O213" s="4">
        <f>IFERROR(XLOOKUP(A213,Raw_Alerts!$B:$B,Raw_Alerts!$F:$F),"")</f>
        <v/>
      </c>
      <c r="P213" s="4">
        <f>IF(H213="Not Found","CRITICAL: No Risk Profile",IF(I213="Missing","WARN: Missing KYC",IF(I213="Expired","WARN: KYC Expired",IF(I213="Pending","INFO: KYC Pending","OK"))))</f>
        <v/>
      </c>
    </row>
    <row r="214">
      <c r="A214" s="2">
        <f>Raw_Transactions!A214</f>
        <v/>
      </c>
      <c r="B214" s="2">
        <f>Raw_Transactions!B214</f>
        <v/>
      </c>
      <c r="C214" s="2">
        <f>Raw_Transactions!C214</f>
        <v/>
      </c>
      <c r="D214" s="3">
        <f>Raw_Transactions!D214</f>
        <v/>
      </c>
      <c r="E214" s="2">
        <f>Raw_Transactions!E214</f>
        <v/>
      </c>
      <c r="F214" s="2">
        <f>Raw_Transactions!F214</f>
        <v/>
      </c>
      <c r="G214" s="2">
        <f>Raw_Transactions!G214</f>
        <v/>
      </c>
      <c r="H214" s="2">
        <f>XLOOKUP(B214,Raw_Risk_Profiles!$A:$A,Raw_Risk_Profiles!$B:$B,"Not Found")</f>
        <v/>
      </c>
      <c r="I214" s="2">
        <f>XLOOKUP(B214,Raw_Risk_Profiles!$A:$A,Raw_Risk_Profiles!$C:$C,"Missing")</f>
        <v/>
      </c>
      <c r="J214" s="2">
        <f>XLOOKUP(B214,Raw_Risk_Profiles!$A:$A,Raw_Risk_Profiles!$D:$D,"")</f>
        <v/>
      </c>
      <c r="K214" s="2">
        <f>IFERROR(INDEX(Raw_Risk_Profiles!$E:$E,MATCH(B214,Raw_Risk_Profiles!$A:$A,0)),"Unknown")</f>
        <v/>
      </c>
      <c r="L214" s="2">
        <f>IFERROR(XLOOKUP(A214,Raw_Alerts!$B:$B,Raw_Alerts!$A:$A),"No Alert")</f>
        <v/>
      </c>
      <c r="M214" s="2">
        <f>IFERROR(XLOOKUP(A214,Raw_Alerts!$B:$B,Raw_Alerts!$C:$C),"")</f>
        <v/>
      </c>
      <c r="N214" s="2">
        <f>IFERROR(XLOOKUP(A214,Raw_Alerts!$B:$B,Raw_Alerts!$D:$D),"")</f>
        <v/>
      </c>
      <c r="O214" s="2">
        <f>IFERROR(XLOOKUP(A214,Raw_Alerts!$B:$B,Raw_Alerts!$F:$F),"")</f>
        <v/>
      </c>
      <c r="P214" s="2">
        <f>IF(H214="Not Found","CRITICAL: No Risk Profile",IF(I214="Missing","WARN: Missing KYC",IF(I214="Expired","WARN: KYC Expired",IF(I214="Pending","INFO: KYC Pending","OK"))))</f>
        <v/>
      </c>
    </row>
    <row r="215">
      <c r="A215" s="4">
        <f>Raw_Transactions!A215</f>
        <v/>
      </c>
      <c r="B215" s="4">
        <f>Raw_Transactions!B215</f>
        <v/>
      </c>
      <c r="C215" s="4">
        <f>Raw_Transactions!C215</f>
        <v/>
      </c>
      <c r="D215" s="5">
        <f>Raw_Transactions!D215</f>
        <v/>
      </c>
      <c r="E215" s="4">
        <f>Raw_Transactions!E215</f>
        <v/>
      </c>
      <c r="F215" s="4">
        <f>Raw_Transactions!F215</f>
        <v/>
      </c>
      <c r="G215" s="4">
        <f>Raw_Transactions!G215</f>
        <v/>
      </c>
      <c r="H215" s="4">
        <f>XLOOKUP(B215,Raw_Risk_Profiles!$A:$A,Raw_Risk_Profiles!$B:$B,"Not Found")</f>
        <v/>
      </c>
      <c r="I215" s="4">
        <f>XLOOKUP(B215,Raw_Risk_Profiles!$A:$A,Raw_Risk_Profiles!$C:$C,"Missing")</f>
        <v/>
      </c>
      <c r="J215" s="4">
        <f>XLOOKUP(B215,Raw_Risk_Profiles!$A:$A,Raw_Risk_Profiles!$D:$D,"")</f>
        <v/>
      </c>
      <c r="K215" s="4">
        <f>IFERROR(INDEX(Raw_Risk_Profiles!$E:$E,MATCH(B215,Raw_Risk_Profiles!$A:$A,0)),"Unknown")</f>
        <v/>
      </c>
      <c r="L215" s="4">
        <f>IFERROR(XLOOKUP(A215,Raw_Alerts!$B:$B,Raw_Alerts!$A:$A),"No Alert")</f>
        <v/>
      </c>
      <c r="M215" s="4">
        <f>IFERROR(XLOOKUP(A215,Raw_Alerts!$B:$B,Raw_Alerts!$C:$C),"")</f>
        <v/>
      </c>
      <c r="N215" s="4">
        <f>IFERROR(XLOOKUP(A215,Raw_Alerts!$B:$B,Raw_Alerts!$D:$D),"")</f>
        <v/>
      </c>
      <c r="O215" s="4">
        <f>IFERROR(XLOOKUP(A215,Raw_Alerts!$B:$B,Raw_Alerts!$F:$F),"")</f>
        <v/>
      </c>
      <c r="P215" s="4">
        <f>IF(H215="Not Found","CRITICAL: No Risk Profile",IF(I215="Missing","WARN: Missing KYC",IF(I215="Expired","WARN: KYC Expired",IF(I215="Pending","INFO: KYC Pending","OK"))))</f>
        <v/>
      </c>
    </row>
    <row r="216">
      <c r="A216" s="2">
        <f>Raw_Transactions!A216</f>
        <v/>
      </c>
      <c r="B216" s="2">
        <f>Raw_Transactions!B216</f>
        <v/>
      </c>
      <c r="C216" s="2">
        <f>Raw_Transactions!C216</f>
        <v/>
      </c>
      <c r="D216" s="3">
        <f>Raw_Transactions!D216</f>
        <v/>
      </c>
      <c r="E216" s="2">
        <f>Raw_Transactions!E216</f>
        <v/>
      </c>
      <c r="F216" s="2">
        <f>Raw_Transactions!F216</f>
        <v/>
      </c>
      <c r="G216" s="2">
        <f>Raw_Transactions!G216</f>
        <v/>
      </c>
      <c r="H216" s="2">
        <f>XLOOKUP(B216,Raw_Risk_Profiles!$A:$A,Raw_Risk_Profiles!$B:$B,"Not Found")</f>
        <v/>
      </c>
      <c r="I216" s="2">
        <f>XLOOKUP(B216,Raw_Risk_Profiles!$A:$A,Raw_Risk_Profiles!$C:$C,"Missing")</f>
        <v/>
      </c>
      <c r="J216" s="2">
        <f>XLOOKUP(B216,Raw_Risk_Profiles!$A:$A,Raw_Risk_Profiles!$D:$D,"")</f>
        <v/>
      </c>
      <c r="K216" s="2">
        <f>IFERROR(INDEX(Raw_Risk_Profiles!$E:$E,MATCH(B216,Raw_Risk_Profiles!$A:$A,0)),"Unknown")</f>
        <v/>
      </c>
      <c r="L216" s="2">
        <f>IFERROR(XLOOKUP(A216,Raw_Alerts!$B:$B,Raw_Alerts!$A:$A),"No Alert")</f>
        <v/>
      </c>
      <c r="M216" s="2">
        <f>IFERROR(XLOOKUP(A216,Raw_Alerts!$B:$B,Raw_Alerts!$C:$C),"")</f>
        <v/>
      </c>
      <c r="N216" s="2">
        <f>IFERROR(XLOOKUP(A216,Raw_Alerts!$B:$B,Raw_Alerts!$D:$D),"")</f>
        <v/>
      </c>
      <c r="O216" s="2">
        <f>IFERROR(XLOOKUP(A216,Raw_Alerts!$B:$B,Raw_Alerts!$F:$F),"")</f>
        <v/>
      </c>
      <c r="P216" s="2">
        <f>IF(H216="Not Found","CRITICAL: No Risk Profile",IF(I216="Missing","WARN: Missing KYC",IF(I216="Expired","WARN: KYC Expired",IF(I216="Pending","INFO: KYC Pending","OK"))))</f>
        <v/>
      </c>
    </row>
    <row r="217">
      <c r="A217" s="4">
        <f>Raw_Transactions!A217</f>
        <v/>
      </c>
      <c r="B217" s="4">
        <f>Raw_Transactions!B217</f>
        <v/>
      </c>
      <c r="C217" s="4">
        <f>Raw_Transactions!C217</f>
        <v/>
      </c>
      <c r="D217" s="5">
        <f>Raw_Transactions!D217</f>
        <v/>
      </c>
      <c r="E217" s="4">
        <f>Raw_Transactions!E217</f>
        <v/>
      </c>
      <c r="F217" s="4">
        <f>Raw_Transactions!F217</f>
        <v/>
      </c>
      <c r="G217" s="4">
        <f>Raw_Transactions!G217</f>
        <v/>
      </c>
      <c r="H217" s="4">
        <f>XLOOKUP(B217,Raw_Risk_Profiles!$A:$A,Raw_Risk_Profiles!$B:$B,"Not Found")</f>
        <v/>
      </c>
      <c r="I217" s="4">
        <f>XLOOKUP(B217,Raw_Risk_Profiles!$A:$A,Raw_Risk_Profiles!$C:$C,"Missing")</f>
        <v/>
      </c>
      <c r="J217" s="4">
        <f>XLOOKUP(B217,Raw_Risk_Profiles!$A:$A,Raw_Risk_Profiles!$D:$D,"")</f>
        <v/>
      </c>
      <c r="K217" s="4">
        <f>IFERROR(INDEX(Raw_Risk_Profiles!$E:$E,MATCH(B217,Raw_Risk_Profiles!$A:$A,0)),"Unknown")</f>
        <v/>
      </c>
      <c r="L217" s="4">
        <f>IFERROR(XLOOKUP(A217,Raw_Alerts!$B:$B,Raw_Alerts!$A:$A),"No Alert")</f>
        <v/>
      </c>
      <c r="M217" s="4">
        <f>IFERROR(XLOOKUP(A217,Raw_Alerts!$B:$B,Raw_Alerts!$C:$C),"")</f>
        <v/>
      </c>
      <c r="N217" s="4">
        <f>IFERROR(XLOOKUP(A217,Raw_Alerts!$B:$B,Raw_Alerts!$D:$D),"")</f>
        <v/>
      </c>
      <c r="O217" s="4">
        <f>IFERROR(XLOOKUP(A217,Raw_Alerts!$B:$B,Raw_Alerts!$F:$F),"")</f>
        <v/>
      </c>
      <c r="P217" s="4">
        <f>IF(H217="Not Found","CRITICAL: No Risk Profile",IF(I217="Missing","WARN: Missing KYC",IF(I217="Expired","WARN: KYC Expired",IF(I217="Pending","INFO: KYC Pending","OK"))))</f>
        <v/>
      </c>
    </row>
    <row r="218">
      <c r="A218" s="2">
        <f>Raw_Transactions!A218</f>
        <v/>
      </c>
      <c r="B218" s="2">
        <f>Raw_Transactions!B218</f>
        <v/>
      </c>
      <c r="C218" s="2">
        <f>Raw_Transactions!C218</f>
        <v/>
      </c>
      <c r="D218" s="3">
        <f>Raw_Transactions!D218</f>
        <v/>
      </c>
      <c r="E218" s="2">
        <f>Raw_Transactions!E218</f>
        <v/>
      </c>
      <c r="F218" s="2">
        <f>Raw_Transactions!F218</f>
        <v/>
      </c>
      <c r="G218" s="2">
        <f>Raw_Transactions!G218</f>
        <v/>
      </c>
      <c r="H218" s="2">
        <f>XLOOKUP(B218,Raw_Risk_Profiles!$A:$A,Raw_Risk_Profiles!$B:$B,"Not Found")</f>
        <v/>
      </c>
      <c r="I218" s="2">
        <f>XLOOKUP(B218,Raw_Risk_Profiles!$A:$A,Raw_Risk_Profiles!$C:$C,"Missing")</f>
        <v/>
      </c>
      <c r="J218" s="2">
        <f>XLOOKUP(B218,Raw_Risk_Profiles!$A:$A,Raw_Risk_Profiles!$D:$D,"")</f>
        <v/>
      </c>
      <c r="K218" s="2">
        <f>IFERROR(INDEX(Raw_Risk_Profiles!$E:$E,MATCH(B218,Raw_Risk_Profiles!$A:$A,0)),"Unknown")</f>
        <v/>
      </c>
      <c r="L218" s="2">
        <f>IFERROR(XLOOKUP(A218,Raw_Alerts!$B:$B,Raw_Alerts!$A:$A),"No Alert")</f>
        <v/>
      </c>
      <c r="M218" s="2">
        <f>IFERROR(XLOOKUP(A218,Raw_Alerts!$B:$B,Raw_Alerts!$C:$C),"")</f>
        <v/>
      </c>
      <c r="N218" s="2">
        <f>IFERROR(XLOOKUP(A218,Raw_Alerts!$B:$B,Raw_Alerts!$D:$D),"")</f>
        <v/>
      </c>
      <c r="O218" s="2">
        <f>IFERROR(XLOOKUP(A218,Raw_Alerts!$B:$B,Raw_Alerts!$F:$F),"")</f>
        <v/>
      </c>
      <c r="P218" s="2">
        <f>IF(H218="Not Found","CRITICAL: No Risk Profile",IF(I218="Missing","WARN: Missing KYC",IF(I218="Expired","WARN: KYC Expired",IF(I218="Pending","INFO: KYC Pending","OK"))))</f>
        <v/>
      </c>
    </row>
    <row r="219">
      <c r="A219" s="4">
        <f>Raw_Transactions!A219</f>
        <v/>
      </c>
      <c r="B219" s="4">
        <f>Raw_Transactions!B219</f>
        <v/>
      </c>
      <c r="C219" s="4">
        <f>Raw_Transactions!C219</f>
        <v/>
      </c>
      <c r="D219" s="5">
        <f>Raw_Transactions!D219</f>
        <v/>
      </c>
      <c r="E219" s="4">
        <f>Raw_Transactions!E219</f>
        <v/>
      </c>
      <c r="F219" s="4">
        <f>Raw_Transactions!F219</f>
        <v/>
      </c>
      <c r="G219" s="4">
        <f>Raw_Transactions!G219</f>
        <v/>
      </c>
      <c r="H219" s="4">
        <f>XLOOKUP(B219,Raw_Risk_Profiles!$A:$A,Raw_Risk_Profiles!$B:$B,"Not Found")</f>
        <v/>
      </c>
      <c r="I219" s="4">
        <f>XLOOKUP(B219,Raw_Risk_Profiles!$A:$A,Raw_Risk_Profiles!$C:$C,"Missing")</f>
        <v/>
      </c>
      <c r="J219" s="4">
        <f>XLOOKUP(B219,Raw_Risk_Profiles!$A:$A,Raw_Risk_Profiles!$D:$D,"")</f>
        <v/>
      </c>
      <c r="K219" s="4">
        <f>IFERROR(INDEX(Raw_Risk_Profiles!$E:$E,MATCH(B219,Raw_Risk_Profiles!$A:$A,0)),"Unknown")</f>
        <v/>
      </c>
      <c r="L219" s="4">
        <f>IFERROR(XLOOKUP(A219,Raw_Alerts!$B:$B,Raw_Alerts!$A:$A),"No Alert")</f>
        <v/>
      </c>
      <c r="M219" s="4">
        <f>IFERROR(XLOOKUP(A219,Raw_Alerts!$B:$B,Raw_Alerts!$C:$C),"")</f>
        <v/>
      </c>
      <c r="N219" s="4">
        <f>IFERROR(XLOOKUP(A219,Raw_Alerts!$B:$B,Raw_Alerts!$D:$D),"")</f>
        <v/>
      </c>
      <c r="O219" s="4">
        <f>IFERROR(XLOOKUP(A219,Raw_Alerts!$B:$B,Raw_Alerts!$F:$F),"")</f>
        <v/>
      </c>
      <c r="P219" s="4">
        <f>IF(H219="Not Found","CRITICAL: No Risk Profile",IF(I219="Missing","WARN: Missing KYC",IF(I219="Expired","WARN: KYC Expired",IF(I219="Pending","INFO: KYC Pending","OK"))))</f>
        <v/>
      </c>
    </row>
    <row r="220">
      <c r="A220" s="2">
        <f>Raw_Transactions!A220</f>
        <v/>
      </c>
      <c r="B220" s="2">
        <f>Raw_Transactions!B220</f>
        <v/>
      </c>
      <c r="C220" s="2">
        <f>Raw_Transactions!C220</f>
        <v/>
      </c>
      <c r="D220" s="3">
        <f>Raw_Transactions!D220</f>
        <v/>
      </c>
      <c r="E220" s="2">
        <f>Raw_Transactions!E220</f>
        <v/>
      </c>
      <c r="F220" s="2">
        <f>Raw_Transactions!F220</f>
        <v/>
      </c>
      <c r="G220" s="2">
        <f>Raw_Transactions!G220</f>
        <v/>
      </c>
      <c r="H220" s="2">
        <f>XLOOKUP(B220,Raw_Risk_Profiles!$A:$A,Raw_Risk_Profiles!$B:$B,"Not Found")</f>
        <v/>
      </c>
      <c r="I220" s="2">
        <f>XLOOKUP(B220,Raw_Risk_Profiles!$A:$A,Raw_Risk_Profiles!$C:$C,"Missing")</f>
        <v/>
      </c>
      <c r="J220" s="2">
        <f>XLOOKUP(B220,Raw_Risk_Profiles!$A:$A,Raw_Risk_Profiles!$D:$D,"")</f>
        <v/>
      </c>
      <c r="K220" s="2">
        <f>IFERROR(INDEX(Raw_Risk_Profiles!$E:$E,MATCH(B220,Raw_Risk_Profiles!$A:$A,0)),"Unknown")</f>
        <v/>
      </c>
      <c r="L220" s="2">
        <f>IFERROR(XLOOKUP(A220,Raw_Alerts!$B:$B,Raw_Alerts!$A:$A),"No Alert")</f>
        <v/>
      </c>
      <c r="M220" s="2">
        <f>IFERROR(XLOOKUP(A220,Raw_Alerts!$B:$B,Raw_Alerts!$C:$C),"")</f>
        <v/>
      </c>
      <c r="N220" s="2">
        <f>IFERROR(XLOOKUP(A220,Raw_Alerts!$B:$B,Raw_Alerts!$D:$D),"")</f>
        <v/>
      </c>
      <c r="O220" s="2">
        <f>IFERROR(XLOOKUP(A220,Raw_Alerts!$B:$B,Raw_Alerts!$F:$F),"")</f>
        <v/>
      </c>
      <c r="P220" s="2">
        <f>IF(H220="Not Found","CRITICAL: No Risk Profile",IF(I220="Missing","WARN: Missing KYC",IF(I220="Expired","WARN: KYC Expired",IF(I220="Pending","INFO: KYC Pending","OK"))))</f>
        <v/>
      </c>
    </row>
    <row r="221">
      <c r="A221" s="4">
        <f>Raw_Transactions!A221</f>
        <v/>
      </c>
      <c r="B221" s="4">
        <f>Raw_Transactions!B221</f>
        <v/>
      </c>
      <c r="C221" s="4">
        <f>Raw_Transactions!C221</f>
        <v/>
      </c>
      <c r="D221" s="5">
        <f>Raw_Transactions!D221</f>
        <v/>
      </c>
      <c r="E221" s="4">
        <f>Raw_Transactions!E221</f>
        <v/>
      </c>
      <c r="F221" s="4">
        <f>Raw_Transactions!F221</f>
        <v/>
      </c>
      <c r="G221" s="4">
        <f>Raw_Transactions!G221</f>
        <v/>
      </c>
      <c r="H221" s="4">
        <f>XLOOKUP(B221,Raw_Risk_Profiles!$A:$A,Raw_Risk_Profiles!$B:$B,"Not Found")</f>
        <v/>
      </c>
      <c r="I221" s="4">
        <f>XLOOKUP(B221,Raw_Risk_Profiles!$A:$A,Raw_Risk_Profiles!$C:$C,"Missing")</f>
        <v/>
      </c>
      <c r="J221" s="4">
        <f>XLOOKUP(B221,Raw_Risk_Profiles!$A:$A,Raw_Risk_Profiles!$D:$D,"")</f>
        <v/>
      </c>
      <c r="K221" s="4">
        <f>IFERROR(INDEX(Raw_Risk_Profiles!$E:$E,MATCH(B221,Raw_Risk_Profiles!$A:$A,0)),"Unknown")</f>
        <v/>
      </c>
      <c r="L221" s="4">
        <f>IFERROR(XLOOKUP(A221,Raw_Alerts!$B:$B,Raw_Alerts!$A:$A),"No Alert")</f>
        <v/>
      </c>
      <c r="M221" s="4">
        <f>IFERROR(XLOOKUP(A221,Raw_Alerts!$B:$B,Raw_Alerts!$C:$C),"")</f>
        <v/>
      </c>
      <c r="N221" s="4">
        <f>IFERROR(XLOOKUP(A221,Raw_Alerts!$B:$B,Raw_Alerts!$D:$D),"")</f>
        <v/>
      </c>
      <c r="O221" s="4">
        <f>IFERROR(XLOOKUP(A221,Raw_Alerts!$B:$B,Raw_Alerts!$F:$F),"")</f>
        <v/>
      </c>
      <c r="P221" s="4">
        <f>IF(H221="Not Found","CRITICAL: No Risk Profile",IF(I221="Missing","WARN: Missing KYC",IF(I221="Expired","WARN: KYC Expired",IF(I221="Pending","INFO: KYC Pending","OK"))))</f>
        <v/>
      </c>
    </row>
    <row r="222">
      <c r="A222" s="2">
        <f>Raw_Transactions!A222</f>
        <v/>
      </c>
      <c r="B222" s="2">
        <f>Raw_Transactions!B222</f>
        <v/>
      </c>
      <c r="C222" s="2">
        <f>Raw_Transactions!C222</f>
        <v/>
      </c>
      <c r="D222" s="3">
        <f>Raw_Transactions!D222</f>
        <v/>
      </c>
      <c r="E222" s="2">
        <f>Raw_Transactions!E222</f>
        <v/>
      </c>
      <c r="F222" s="2">
        <f>Raw_Transactions!F222</f>
        <v/>
      </c>
      <c r="G222" s="2">
        <f>Raw_Transactions!G222</f>
        <v/>
      </c>
      <c r="H222" s="2">
        <f>XLOOKUP(B222,Raw_Risk_Profiles!$A:$A,Raw_Risk_Profiles!$B:$B,"Not Found")</f>
        <v/>
      </c>
      <c r="I222" s="2">
        <f>XLOOKUP(B222,Raw_Risk_Profiles!$A:$A,Raw_Risk_Profiles!$C:$C,"Missing")</f>
        <v/>
      </c>
      <c r="J222" s="2">
        <f>XLOOKUP(B222,Raw_Risk_Profiles!$A:$A,Raw_Risk_Profiles!$D:$D,"")</f>
        <v/>
      </c>
      <c r="K222" s="2">
        <f>IFERROR(INDEX(Raw_Risk_Profiles!$E:$E,MATCH(B222,Raw_Risk_Profiles!$A:$A,0)),"Unknown")</f>
        <v/>
      </c>
      <c r="L222" s="2">
        <f>IFERROR(XLOOKUP(A222,Raw_Alerts!$B:$B,Raw_Alerts!$A:$A),"No Alert")</f>
        <v/>
      </c>
      <c r="M222" s="2">
        <f>IFERROR(XLOOKUP(A222,Raw_Alerts!$B:$B,Raw_Alerts!$C:$C),"")</f>
        <v/>
      </c>
      <c r="N222" s="2">
        <f>IFERROR(XLOOKUP(A222,Raw_Alerts!$B:$B,Raw_Alerts!$D:$D),"")</f>
        <v/>
      </c>
      <c r="O222" s="2">
        <f>IFERROR(XLOOKUP(A222,Raw_Alerts!$B:$B,Raw_Alerts!$F:$F),"")</f>
        <v/>
      </c>
      <c r="P222" s="2">
        <f>IF(H222="Not Found","CRITICAL: No Risk Profile",IF(I222="Missing","WARN: Missing KYC",IF(I222="Expired","WARN: KYC Expired",IF(I222="Pending","INFO: KYC Pending","OK"))))</f>
        <v/>
      </c>
    </row>
    <row r="223">
      <c r="A223" s="4">
        <f>Raw_Transactions!A223</f>
        <v/>
      </c>
      <c r="B223" s="4">
        <f>Raw_Transactions!B223</f>
        <v/>
      </c>
      <c r="C223" s="4">
        <f>Raw_Transactions!C223</f>
        <v/>
      </c>
      <c r="D223" s="5">
        <f>Raw_Transactions!D223</f>
        <v/>
      </c>
      <c r="E223" s="4">
        <f>Raw_Transactions!E223</f>
        <v/>
      </c>
      <c r="F223" s="4">
        <f>Raw_Transactions!F223</f>
        <v/>
      </c>
      <c r="G223" s="4">
        <f>Raw_Transactions!G223</f>
        <v/>
      </c>
      <c r="H223" s="4">
        <f>XLOOKUP(B223,Raw_Risk_Profiles!$A:$A,Raw_Risk_Profiles!$B:$B,"Not Found")</f>
        <v/>
      </c>
      <c r="I223" s="4">
        <f>XLOOKUP(B223,Raw_Risk_Profiles!$A:$A,Raw_Risk_Profiles!$C:$C,"Missing")</f>
        <v/>
      </c>
      <c r="J223" s="4">
        <f>XLOOKUP(B223,Raw_Risk_Profiles!$A:$A,Raw_Risk_Profiles!$D:$D,"")</f>
        <v/>
      </c>
      <c r="K223" s="4">
        <f>IFERROR(INDEX(Raw_Risk_Profiles!$E:$E,MATCH(B223,Raw_Risk_Profiles!$A:$A,0)),"Unknown")</f>
        <v/>
      </c>
      <c r="L223" s="4">
        <f>IFERROR(XLOOKUP(A223,Raw_Alerts!$B:$B,Raw_Alerts!$A:$A),"No Alert")</f>
        <v/>
      </c>
      <c r="M223" s="4">
        <f>IFERROR(XLOOKUP(A223,Raw_Alerts!$B:$B,Raw_Alerts!$C:$C),"")</f>
        <v/>
      </c>
      <c r="N223" s="4">
        <f>IFERROR(XLOOKUP(A223,Raw_Alerts!$B:$B,Raw_Alerts!$D:$D),"")</f>
        <v/>
      </c>
      <c r="O223" s="4">
        <f>IFERROR(XLOOKUP(A223,Raw_Alerts!$B:$B,Raw_Alerts!$F:$F),"")</f>
        <v/>
      </c>
      <c r="P223" s="4">
        <f>IF(H223="Not Found","CRITICAL: No Risk Profile",IF(I223="Missing","WARN: Missing KYC",IF(I223="Expired","WARN: KYC Expired",IF(I223="Pending","INFO: KYC Pending","OK"))))</f>
        <v/>
      </c>
    </row>
    <row r="224">
      <c r="A224" s="2">
        <f>Raw_Transactions!A224</f>
        <v/>
      </c>
      <c r="B224" s="2">
        <f>Raw_Transactions!B224</f>
        <v/>
      </c>
      <c r="C224" s="2">
        <f>Raw_Transactions!C224</f>
        <v/>
      </c>
      <c r="D224" s="3">
        <f>Raw_Transactions!D224</f>
        <v/>
      </c>
      <c r="E224" s="2">
        <f>Raw_Transactions!E224</f>
        <v/>
      </c>
      <c r="F224" s="2">
        <f>Raw_Transactions!F224</f>
        <v/>
      </c>
      <c r="G224" s="2">
        <f>Raw_Transactions!G224</f>
        <v/>
      </c>
      <c r="H224" s="2">
        <f>XLOOKUP(B224,Raw_Risk_Profiles!$A:$A,Raw_Risk_Profiles!$B:$B,"Not Found")</f>
        <v/>
      </c>
      <c r="I224" s="2">
        <f>XLOOKUP(B224,Raw_Risk_Profiles!$A:$A,Raw_Risk_Profiles!$C:$C,"Missing")</f>
        <v/>
      </c>
      <c r="J224" s="2">
        <f>XLOOKUP(B224,Raw_Risk_Profiles!$A:$A,Raw_Risk_Profiles!$D:$D,"")</f>
        <v/>
      </c>
      <c r="K224" s="2">
        <f>IFERROR(INDEX(Raw_Risk_Profiles!$E:$E,MATCH(B224,Raw_Risk_Profiles!$A:$A,0)),"Unknown")</f>
        <v/>
      </c>
      <c r="L224" s="2">
        <f>IFERROR(XLOOKUP(A224,Raw_Alerts!$B:$B,Raw_Alerts!$A:$A),"No Alert")</f>
        <v/>
      </c>
      <c r="M224" s="2">
        <f>IFERROR(XLOOKUP(A224,Raw_Alerts!$B:$B,Raw_Alerts!$C:$C),"")</f>
        <v/>
      </c>
      <c r="N224" s="2">
        <f>IFERROR(XLOOKUP(A224,Raw_Alerts!$B:$B,Raw_Alerts!$D:$D),"")</f>
        <v/>
      </c>
      <c r="O224" s="2">
        <f>IFERROR(XLOOKUP(A224,Raw_Alerts!$B:$B,Raw_Alerts!$F:$F),"")</f>
        <v/>
      </c>
      <c r="P224" s="2">
        <f>IF(H224="Not Found","CRITICAL: No Risk Profile",IF(I224="Missing","WARN: Missing KYC",IF(I224="Expired","WARN: KYC Expired",IF(I224="Pending","INFO: KYC Pending","OK"))))</f>
        <v/>
      </c>
    </row>
    <row r="225">
      <c r="A225" s="4">
        <f>Raw_Transactions!A225</f>
        <v/>
      </c>
      <c r="B225" s="4">
        <f>Raw_Transactions!B225</f>
        <v/>
      </c>
      <c r="C225" s="4">
        <f>Raw_Transactions!C225</f>
        <v/>
      </c>
      <c r="D225" s="5">
        <f>Raw_Transactions!D225</f>
        <v/>
      </c>
      <c r="E225" s="4">
        <f>Raw_Transactions!E225</f>
        <v/>
      </c>
      <c r="F225" s="4">
        <f>Raw_Transactions!F225</f>
        <v/>
      </c>
      <c r="G225" s="4">
        <f>Raw_Transactions!G225</f>
        <v/>
      </c>
      <c r="H225" s="4">
        <f>XLOOKUP(B225,Raw_Risk_Profiles!$A:$A,Raw_Risk_Profiles!$B:$B,"Not Found")</f>
        <v/>
      </c>
      <c r="I225" s="4">
        <f>XLOOKUP(B225,Raw_Risk_Profiles!$A:$A,Raw_Risk_Profiles!$C:$C,"Missing")</f>
        <v/>
      </c>
      <c r="J225" s="4">
        <f>XLOOKUP(B225,Raw_Risk_Profiles!$A:$A,Raw_Risk_Profiles!$D:$D,"")</f>
        <v/>
      </c>
      <c r="K225" s="4">
        <f>IFERROR(INDEX(Raw_Risk_Profiles!$E:$E,MATCH(B225,Raw_Risk_Profiles!$A:$A,0)),"Unknown")</f>
        <v/>
      </c>
      <c r="L225" s="4">
        <f>IFERROR(XLOOKUP(A225,Raw_Alerts!$B:$B,Raw_Alerts!$A:$A),"No Alert")</f>
        <v/>
      </c>
      <c r="M225" s="4">
        <f>IFERROR(XLOOKUP(A225,Raw_Alerts!$B:$B,Raw_Alerts!$C:$C),"")</f>
        <v/>
      </c>
      <c r="N225" s="4">
        <f>IFERROR(XLOOKUP(A225,Raw_Alerts!$B:$B,Raw_Alerts!$D:$D),"")</f>
        <v/>
      </c>
      <c r="O225" s="4">
        <f>IFERROR(XLOOKUP(A225,Raw_Alerts!$B:$B,Raw_Alerts!$F:$F),"")</f>
        <v/>
      </c>
      <c r="P225" s="4">
        <f>IF(H225="Not Found","CRITICAL: No Risk Profile",IF(I225="Missing","WARN: Missing KYC",IF(I225="Expired","WARN: KYC Expired",IF(I225="Pending","INFO: KYC Pending","OK"))))</f>
        <v/>
      </c>
    </row>
    <row r="226">
      <c r="A226" s="2">
        <f>Raw_Transactions!A226</f>
        <v/>
      </c>
      <c r="B226" s="2">
        <f>Raw_Transactions!B226</f>
        <v/>
      </c>
      <c r="C226" s="2">
        <f>Raw_Transactions!C226</f>
        <v/>
      </c>
      <c r="D226" s="3">
        <f>Raw_Transactions!D226</f>
        <v/>
      </c>
      <c r="E226" s="2">
        <f>Raw_Transactions!E226</f>
        <v/>
      </c>
      <c r="F226" s="2">
        <f>Raw_Transactions!F226</f>
        <v/>
      </c>
      <c r="G226" s="2">
        <f>Raw_Transactions!G226</f>
        <v/>
      </c>
      <c r="H226" s="2">
        <f>XLOOKUP(B226,Raw_Risk_Profiles!$A:$A,Raw_Risk_Profiles!$B:$B,"Not Found")</f>
        <v/>
      </c>
      <c r="I226" s="2">
        <f>XLOOKUP(B226,Raw_Risk_Profiles!$A:$A,Raw_Risk_Profiles!$C:$C,"Missing")</f>
        <v/>
      </c>
      <c r="J226" s="2">
        <f>XLOOKUP(B226,Raw_Risk_Profiles!$A:$A,Raw_Risk_Profiles!$D:$D,"")</f>
        <v/>
      </c>
      <c r="K226" s="2">
        <f>IFERROR(INDEX(Raw_Risk_Profiles!$E:$E,MATCH(B226,Raw_Risk_Profiles!$A:$A,0)),"Unknown")</f>
        <v/>
      </c>
      <c r="L226" s="2">
        <f>IFERROR(XLOOKUP(A226,Raw_Alerts!$B:$B,Raw_Alerts!$A:$A),"No Alert")</f>
        <v/>
      </c>
      <c r="M226" s="2">
        <f>IFERROR(XLOOKUP(A226,Raw_Alerts!$B:$B,Raw_Alerts!$C:$C),"")</f>
        <v/>
      </c>
      <c r="N226" s="2">
        <f>IFERROR(XLOOKUP(A226,Raw_Alerts!$B:$B,Raw_Alerts!$D:$D),"")</f>
        <v/>
      </c>
      <c r="O226" s="2">
        <f>IFERROR(XLOOKUP(A226,Raw_Alerts!$B:$B,Raw_Alerts!$F:$F),"")</f>
        <v/>
      </c>
      <c r="P226" s="2">
        <f>IF(H226="Not Found","CRITICAL: No Risk Profile",IF(I226="Missing","WARN: Missing KYC",IF(I226="Expired","WARN: KYC Expired",IF(I226="Pending","INFO: KYC Pending","OK"))))</f>
        <v/>
      </c>
    </row>
    <row r="227">
      <c r="A227" s="4">
        <f>Raw_Transactions!A227</f>
        <v/>
      </c>
      <c r="B227" s="4">
        <f>Raw_Transactions!B227</f>
        <v/>
      </c>
      <c r="C227" s="4">
        <f>Raw_Transactions!C227</f>
        <v/>
      </c>
      <c r="D227" s="5">
        <f>Raw_Transactions!D227</f>
        <v/>
      </c>
      <c r="E227" s="4">
        <f>Raw_Transactions!E227</f>
        <v/>
      </c>
      <c r="F227" s="4">
        <f>Raw_Transactions!F227</f>
        <v/>
      </c>
      <c r="G227" s="4">
        <f>Raw_Transactions!G227</f>
        <v/>
      </c>
      <c r="H227" s="4">
        <f>XLOOKUP(B227,Raw_Risk_Profiles!$A:$A,Raw_Risk_Profiles!$B:$B,"Not Found")</f>
        <v/>
      </c>
      <c r="I227" s="4">
        <f>XLOOKUP(B227,Raw_Risk_Profiles!$A:$A,Raw_Risk_Profiles!$C:$C,"Missing")</f>
        <v/>
      </c>
      <c r="J227" s="4">
        <f>XLOOKUP(B227,Raw_Risk_Profiles!$A:$A,Raw_Risk_Profiles!$D:$D,"")</f>
        <v/>
      </c>
      <c r="K227" s="4">
        <f>IFERROR(INDEX(Raw_Risk_Profiles!$E:$E,MATCH(B227,Raw_Risk_Profiles!$A:$A,0)),"Unknown")</f>
        <v/>
      </c>
      <c r="L227" s="4">
        <f>IFERROR(XLOOKUP(A227,Raw_Alerts!$B:$B,Raw_Alerts!$A:$A),"No Alert")</f>
        <v/>
      </c>
      <c r="M227" s="4">
        <f>IFERROR(XLOOKUP(A227,Raw_Alerts!$B:$B,Raw_Alerts!$C:$C),"")</f>
        <v/>
      </c>
      <c r="N227" s="4">
        <f>IFERROR(XLOOKUP(A227,Raw_Alerts!$B:$B,Raw_Alerts!$D:$D),"")</f>
        <v/>
      </c>
      <c r="O227" s="4">
        <f>IFERROR(XLOOKUP(A227,Raw_Alerts!$B:$B,Raw_Alerts!$F:$F),"")</f>
        <v/>
      </c>
      <c r="P227" s="4">
        <f>IF(H227="Not Found","CRITICAL: No Risk Profile",IF(I227="Missing","WARN: Missing KYC",IF(I227="Expired","WARN: KYC Expired",IF(I227="Pending","INFO: KYC Pending","OK"))))</f>
        <v/>
      </c>
    </row>
    <row r="228">
      <c r="A228" s="2">
        <f>Raw_Transactions!A228</f>
        <v/>
      </c>
      <c r="B228" s="2">
        <f>Raw_Transactions!B228</f>
        <v/>
      </c>
      <c r="C228" s="2">
        <f>Raw_Transactions!C228</f>
        <v/>
      </c>
      <c r="D228" s="3">
        <f>Raw_Transactions!D228</f>
        <v/>
      </c>
      <c r="E228" s="2">
        <f>Raw_Transactions!E228</f>
        <v/>
      </c>
      <c r="F228" s="2">
        <f>Raw_Transactions!F228</f>
        <v/>
      </c>
      <c r="G228" s="2">
        <f>Raw_Transactions!G228</f>
        <v/>
      </c>
      <c r="H228" s="2">
        <f>XLOOKUP(B228,Raw_Risk_Profiles!$A:$A,Raw_Risk_Profiles!$B:$B,"Not Found")</f>
        <v/>
      </c>
      <c r="I228" s="2">
        <f>XLOOKUP(B228,Raw_Risk_Profiles!$A:$A,Raw_Risk_Profiles!$C:$C,"Missing")</f>
        <v/>
      </c>
      <c r="J228" s="2">
        <f>XLOOKUP(B228,Raw_Risk_Profiles!$A:$A,Raw_Risk_Profiles!$D:$D,"")</f>
        <v/>
      </c>
      <c r="K228" s="2">
        <f>IFERROR(INDEX(Raw_Risk_Profiles!$E:$E,MATCH(B228,Raw_Risk_Profiles!$A:$A,0)),"Unknown")</f>
        <v/>
      </c>
      <c r="L228" s="2">
        <f>IFERROR(XLOOKUP(A228,Raw_Alerts!$B:$B,Raw_Alerts!$A:$A),"No Alert")</f>
        <v/>
      </c>
      <c r="M228" s="2">
        <f>IFERROR(XLOOKUP(A228,Raw_Alerts!$B:$B,Raw_Alerts!$C:$C),"")</f>
        <v/>
      </c>
      <c r="N228" s="2">
        <f>IFERROR(XLOOKUP(A228,Raw_Alerts!$B:$B,Raw_Alerts!$D:$D),"")</f>
        <v/>
      </c>
      <c r="O228" s="2">
        <f>IFERROR(XLOOKUP(A228,Raw_Alerts!$B:$B,Raw_Alerts!$F:$F),"")</f>
        <v/>
      </c>
      <c r="P228" s="2">
        <f>IF(H228="Not Found","CRITICAL: No Risk Profile",IF(I228="Missing","WARN: Missing KYC",IF(I228="Expired","WARN: KYC Expired",IF(I228="Pending","INFO: KYC Pending","OK"))))</f>
        <v/>
      </c>
    </row>
    <row r="229">
      <c r="A229" s="4">
        <f>Raw_Transactions!A229</f>
        <v/>
      </c>
      <c r="B229" s="4">
        <f>Raw_Transactions!B229</f>
        <v/>
      </c>
      <c r="C229" s="4">
        <f>Raw_Transactions!C229</f>
        <v/>
      </c>
      <c r="D229" s="5">
        <f>Raw_Transactions!D229</f>
        <v/>
      </c>
      <c r="E229" s="4">
        <f>Raw_Transactions!E229</f>
        <v/>
      </c>
      <c r="F229" s="4">
        <f>Raw_Transactions!F229</f>
        <v/>
      </c>
      <c r="G229" s="4">
        <f>Raw_Transactions!G229</f>
        <v/>
      </c>
      <c r="H229" s="4">
        <f>XLOOKUP(B229,Raw_Risk_Profiles!$A:$A,Raw_Risk_Profiles!$B:$B,"Not Found")</f>
        <v/>
      </c>
      <c r="I229" s="4">
        <f>XLOOKUP(B229,Raw_Risk_Profiles!$A:$A,Raw_Risk_Profiles!$C:$C,"Missing")</f>
        <v/>
      </c>
      <c r="J229" s="4">
        <f>XLOOKUP(B229,Raw_Risk_Profiles!$A:$A,Raw_Risk_Profiles!$D:$D,"")</f>
        <v/>
      </c>
      <c r="K229" s="4">
        <f>IFERROR(INDEX(Raw_Risk_Profiles!$E:$E,MATCH(B229,Raw_Risk_Profiles!$A:$A,0)),"Unknown")</f>
        <v/>
      </c>
      <c r="L229" s="4">
        <f>IFERROR(XLOOKUP(A229,Raw_Alerts!$B:$B,Raw_Alerts!$A:$A),"No Alert")</f>
        <v/>
      </c>
      <c r="M229" s="4">
        <f>IFERROR(XLOOKUP(A229,Raw_Alerts!$B:$B,Raw_Alerts!$C:$C),"")</f>
        <v/>
      </c>
      <c r="N229" s="4">
        <f>IFERROR(XLOOKUP(A229,Raw_Alerts!$B:$B,Raw_Alerts!$D:$D),"")</f>
        <v/>
      </c>
      <c r="O229" s="4">
        <f>IFERROR(XLOOKUP(A229,Raw_Alerts!$B:$B,Raw_Alerts!$F:$F),"")</f>
        <v/>
      </c>
      <c r="P229" s="4">
        <f>IF(H229="Not Found","CRITICAL: No Risk Profile",IF(I229="Missing","WARN: Missing KYC",IF(I229="Expired","WARN: KYC Expired",IF(I229="Pending","INFO: KYC Pending","OK"))))</f>
        <v/>
      </c>
    </row>
    <row r="230">
      <c r="A230" s="2">
        <f>Raw_Transactions!A230</f>
        <v/>
      </c>
      <c r="B230" s="2">
        <f>Raw_Transactions!B230</f>
        <v/>
      </c>
      <c r="C230" s="2">
        <f>Raw_Transactions!C230</f>
        <v/>
      </c>
      <c r="D230" s="3">
        <f>Raw_Transactions!D230</f>
        <v/>
      </c>
      <c r="E230" s="2">
        <f>Raw_Transactions!E230</f>
        <v/>
      </c>
      <c r="F230" s="2">
        <f>Raw_Transactions!F230</f>
        <v/>
      </c>
      <c r="G230" s="2">
        <f>Raw_Transactions!G230</f>
        <v/>
      </c>
      <c r="H230" s="2">
        <f>XLOOKUP(B230,Raw_Risk_Profiles!$A:$A,Raw_Risk_Profiles!$B:$B,"Not Found")</f>
        <v/>
      </c>
      <c r="I230" s="2">
        <f>XLOOKUP(B230,Raw_Risk_Profiles!$A:$A,Raw_Risk_Profiles!$C:$C,"Missing")</f>
        <v/>
      </c>
      <c r="J230" s="2">
        <f>XLOOKUP(B230,Raw_Risk_Profiles!$A:$A,Raw_Risk_Profiles!$D:$D,"")</f>
        <v/>
      </c>
      <c r="K230" s="2">
        <f>IFERROR(INDEX(Raw_Risk_Profiles!$E:$E,MATCH(B230,Raw_Risk_Profiles!$A:$A,0)),"Unknown")</f>
        <v/>
      </c>
      <c r="L230" s="2">
        <f>IFERROR(XLOOKUP(A230,Raw_Alerts!$B:$B,Raw_Alerts!$A:$A),"No Alert")</f>
        <v/>
      </c>
      <c r="M230" s="2">
        <f>IFERROR(XLOOKUP(A230,Raw_Alerts!$B:$B,Raw_Alerts!$C:$C),"")</f>
        <v/>
      </c>
      <c r="N230" s="2">
        <f>IFERROR(XLOOKUP(A230,Raw_Alerts!$B:$B,Raw_Alerts!$D:$D),"")</f>
        <v/>
      </c>
      <c r="O230" s="2">
        <f>IFERROR(XLOOKUP(A230,Raw_Alerts!$B:$B,Raw_Alerts!$F:$F),"")</f>
        <v/>
      </c>
      <c r="P230" s="2">
        <f>IF(H230="Not Found","CRITICAL: No Risk Profile",IF(I230="Missing","WARN: Missing KYC",IF(I230="Expired","WARN: KYC Expired",IF(I230="Pending","INFO: KYC Pending","OK"))))</f>
        <v/>
      </c>
    </row>
    <row r="231">
      <c r="A231" s="4">
        <f>Raw_Transactions!A231</f>
        <v/>
      </c>
      <c r="B231" s="4">
        <f>Raw_Transactions!B231</f>
        <v/>
      </c>
      <c r="C231" s="4">
        <f>Raw_Transactions!C231</f>
        <v/>
      </c>
      <c r="D231" s="5">
        <f>Raw_Transactions!D231</f>
        <v/>
      </c>
      <c r="E231" s="4">
        <f>Raw_Transactions!E231</f>
        <v/>
      </c>
      <c r="F231" s="4">
        <f>Raw_Transactions!F231</f>
        <v/>
      </c>
      <c r="G231" s="4">
        <f>Raw_Transactions!G231</f>
        <v/>
      </c>
      <c r="H231" s="4">
        <f>XLOOKUP(B231,Raw_Risk_Profiles!$A:$A,Raw_Risk_Profiles!$B:$B,"Not Found")</f>
        <v/>
      </c>
      <c r="I231" s="4">
        <f>XLOOKUP(B231,Raw_Risk_Profiles!$A:$A,Raw_Risk_Profiles!$C:$C,"Missing")</f>
        <v/>
      </c>
      <c r="J231" s="4">
        <f>XLOOKUP(B231,Raw_Risk_Profiles!$A:$A,Raw_Risk_Profiles!$D:$D,"")</f>
        <v/>
      </c>
      <c r="K231" s="4">
        <f>IFERROR(INDEX(Raw_Risk_Profiles!$E:$E,MATCH(B231,Raw_Risk_Profiles!$A:$A,0)),"Unknown")</f>
        <v/>
      </c>
      <c r="L231" s="4">
        <f>IFERROR(XLOOKUP(A231,Raw_Alerts!$B:$B,Raw_Alerts!$A:$A),"No Alert")</f>
        <v/>
      </c>
      <c r="M231" s="4">
        <f>IFERROR(XLOOKUP(A231,Raw_Alerts!$B:$B,Raw_Alerts!$C:$C),"")</f>
        <v/>
      </c>
      <c r="N231" s="4">
        <f>IFERROR(XLOOKUP(A231,Raw_Alerts!$B:$B,Raw_Alerts!$D:$D),"")</f>
        <v/>
      </c>
      <c r="O231" s="4">
        <f>IFERROR(XLOOKUP(A231,Raw_Alerts!$B:$B,Raw_Alerts!$F:$F),"")</f>
        <v/>
      </c>
      <c r="P231" s="4">
        <f>IF(H231="Not Found","CRITICAL: No Risk Profile",IF(I231="Missing","WARN: Missing KYC",IF(I231="Expired","WARN: KYC Expired",IF(I231="Pending","INFO: KYC Pending","OK"))))</f>
        <v/>
      </c>
    </row>
    <row r="232">
      <c r="A232" s="2">
        <f>Raw_Transactions!A232</f>
        <v/>
      </c>
      <c r="B232" s="2">
        <f>Raw_Transactions!B232</f>
        <v/>
      </c>
      <c r="C232" s="2">
        <f>Raw_Transactions!C232</f>
        <v/>
      </c>
      <c r="D232" s="3">
        <f>Raw_Transactions!D232</f>
        <v/>
      </c>
      <c r="E232" s="2">
        <f>Raw_Transactions!E232</f>
        <v/>
      </c>
      <c r="F232" s="2">
        <f>Raw_Transactions!F232</f>
        <v/>
      </c>
      <c r="G232" s="2">
        <f>Raw_Transactions!G232</f>
        <v/>
      </c>
      <c r="H232" s="2">
        <f>XLOOKUP(B232,Raw_Risk_Profiles!$A:$A,Raw_Risk_Profiles!$B:$B,"Not Found")</f>
        <v/>
      </c>
      <c r="I232" s="2">
        <f>XLOOKUP(B232,Raw_Risk_Profiles!$A:$A,Raw_Risk_Profiles!$C:$C,"Missing")</f>
        <v/>
      </c>
      <c r="J232" s="2">
        <f>XLOOKUP(B232,Raw_Risk_Profiles!$A:$A,Raw_Risk_Profiles!$D:$D,"")</f>
        <v/>
      </c>
      <c r="K232" s="2">
        <f>IFERROR(INDEX(Raw_Risk_Profiles!$E:$E,MATCH(B232,Raw_Risk_Profiles!$A:$A,0)),"Unknown")</f>
        <v/>
      </c>
      <c r="L232" s="2">
        <f>IFERROR(XLOOKUP(A232,Raw_Alerts!$B:$B,Raw_Alerts!$A:$A),"No Alert")</f>
        <v/>
      </c>
      <c r="M232" s="2">
        <f>IFERROR(XLOOKUP(A232,Raw_Alerts!$B:$B,Raw_Alerts!$C:$C),"")</f>
        <v/>
      </c>
      <c r="N232" s="2">
        <f>IFERROR(XLOOKUP(A232,Raw_Alerts!$B:$B,Raw_Alerts!$D:$D),"")</f>
        <v/>
      </c>
      <c r="O232" s="2">
        <f>IFERROR(XLOOKUP(A232,Raw_Alerts!$B:$B,Raw_Alerts!$F:$F),"")</f>
        <v/>
      </c>
      <c r="P232" s="2">
        <f>IF(H232="Not Found","CRITICAL: No Risk Profile",IF(I232="Missing","WARN: Missing KYC",IF(I232="Expired","WARN: KYC Expired",IF(I232="Pending","INFO: KYC Pending","OK"))))</f>
        <v/>
      </c>
    </row>
    <row r="233">
      <c r="A233" s="4">
        <f>Raw_Transactions!A233</f>
        <v/>
      </c>
      <c r="B233" s="4">
        <f>Raw_Transactions!B233</f>
        <v/>
      </c>
      <c r="C233" s="4">
        <f>Raw_Transactions!C233</f>
        <v/>
      </c>
      <c r="D233" s="5">
        <f>Raw_Transactions!D233</f>
        <v/>
      </c>
      <c r="E233" s="4">
        <f>Raw_Transactions!E233</f>
        <v/>
      </c>
      <c r="F233" s="4">
        <f>Raw_Transactions!F233</f>
        <v/>
      </c>
      <c r="G233" s="4">
        <f>Raw_Transactions!G233</f>
        <v/>
      </c>
      <c r="H233" s="4">
        <f>XLOOKUP(B233,Raw_Risk_Profiles!$A:$A,Raw_Risk_Profiles!$B:$B,"Not Found")</f>
        <v/>
      </c>
      <c r="I233" s="4">
        <f>XLOOKUP(B233,Raw_Risk_Profiles!$A:$A,Raw_Risk_Profiles!$C:$C,"Missing")</f>
        <v/>
      </c>
      <c r="J233" s="4">
        <f>XLOOKUP(B233,Raw_Risk_Profiles!$A:$A,Raw_Risk_Profiles!$D:$D,"")</f>
        <v/>
      </c>
      <c r="K233" s="4">
        <f>IFERROR(INDEX(Raw_Risk_Profiles!$E:$E,MATCH(B233,Raw_Risk_Profiles!$A:$A,0)),"Unknown")</f>
        <v/>
      </c>
      <c r="L233" s="4">
        <f>IFERROR(XLOOKUP(A233,Raw_Alerts!$B:$B,Raw_Alerts!$A:$A),"No Alert")</f>
        <v/>
      </c>
      <c r="M233" s="4">
        <f>IFERROR(XLOOKUP(A233,Raw_Alerts!$B:$B,Raw_Alerts!$C:$C),"")</f>
        <v/>
      </c>
      <c r="N233" s="4">
        <f>IFERROR(XLOOKUP(A233,Raw_Alerts!$B:$B,Raw_Alerts!$D:$D),"")</f>
        <v/>
      </c>
      <c r="O233" s="4">
        <f>IFERROR(XLOOKUP(A233,Raw_Alerts!$B:$B,Raw_Alerts!$F:$F),"")</f>
        <v/>
      </c>
      <c r="P233" s="4">
        <f>IF(H233="Not Found","CRITICAL: No Risk Profile",IF(I233="Missing","WARN: Missing KYC",IF(I233="Expired","WARN: KYC Expired",IF(I233="Pending","INFO: KYC Pending","OK"))))</f>
        <v/>
      </c>
    </row>
    <row r="234">
      <c r="A234" s="2">
        <f>Raw_Transactions!A234</f>
        <v/>
      </c>
      <c r="B234" s="2">
        <f>Raw_Transactions!B234</f>
        <v/>
      </c>
      <c r="C234" s="2">
        <f>Raw_Transactions!C234</f>
        <v/>
      </c>
      <c r="D234" s="3">
        <f>Raw_Transactions!D234</f>
        <v/>
      </c>
      <c r="E234" s="2">
        <f>Raw_Transactions!E234</f>
        <v/>
      </c>
      <c r="F234" s="2">
        <f>Raw_Transactions!F234</f>
        <v/>
      </c>
      <c r="G234" s="2">
        <f>Raw_Transactions!G234</f>
        <v/>
      </c>
      <c r="H234" s="2">
        <f>XLOOKUP(B234,Raw_Risk_Profiles!$A:$A,Raw_Risk_Profiles!$B:$B,"Not Found")</f>
        <v/>
      </c>
      <c r="I234" s="2">
        <f>XLOOKUP(B234,Raw_Risk_Profiles!$A:$A,Raw_Risk_Profiles!$C:$C,"Missing")</f>
        <v/>
      </c>
      <c r="J234" s="2">
        <f>XLOOKUP(B234,Raw_Risk_Profiles!$A:$A,Raw_Risk_Profiles!$D:$D,"")</f>
        <v/>
      </c>
      <c r="K234" s="2">
        <f>IFERROR(INDEX(Raw_Risk_Profiles!$E:$E,MATCH(B234,Raw_Risk_Profiles!$A:$A,0)),"Unknown")</f>
        <v/>
      </c>
      <c r="L234" s="2">
        <f>IFERROR(XLOOKUP(A234,Raw_Alerts!$B:$B,Raw_Alerts!$A:$A),"No Alert")</f>
        <v/>
      </c>
      <c r="M234" s="2">
        <f>IFERROR(XLOOKUP(A234,Raw_Alerts!$B:$B,Raw_Alerts!$C:$C),"")</f>
        <v/>
      </c>
      <c r="N234" s="2">
        <f>IFERROR(XLOOKUP(A234,Raw_Alerts!$B:$B,Raw_Alerts!$D:$D),"")</f>
        <v/>
      </c>
      <c r="O234" s="2">
        <f>IFERROR(XLOOKUP(A234,Raw_Alerts!$B:$B,Raw_Alerts!$F:$F),"")</f>
        <v/>
      </c>
      <c r="P234" s="2">
        <f>IF(H234="Not Found","CRITICAL: No Risk Profile",IF(I234="Missing","WARN: Missing KYC",IF(I234="Expired","WARN: KYC Expired",IF(I234="Pending","INFO: KYC Pending","OK"))))</f>
        <v/>
      </c>
    </row>
    <row r="235">
      <c r="A235" s="4">
        <f>Raw_Transactions!A235</f>
        <v/>
      </c>
      <c r="B235" s="4">
        <f>Raw_Transactions!B235</f>
        <v/>
      </c>
      <c r="C235" s="4">
        <f>Raw_Transactions!C235</f>
        <v/>
      </c>
      <c r="D235" s="5">
        <f>Raw_Transactions!D235</f>
        <v/>
      </c>
      <c r="E235" s="4">
        <f>Raw_Transactions!E235</f>
        <v/>
      </c>
      <c r="F235" s="4">
        <f>Raw_Transactions!F235</f>
        <v/>
      </c>
      <c r="G235" s="4">
        <f>Raw_Transactions!G235</f>
        <v/>
      </c>
      <c r="H235" s="4">
        <f>XLOOKUP(B235,Raw_Risk_Profiles!$A:$A,Raw_Risk_Profiles!$B:$B,"Not Found")</f>
        <v/>
      </c>
      <c r="I235" s="4">
        <f>XLOOKUP(B235,Raw_Risk_Profiles!$A:$A,Raw_Risk_Profiles!$C:$C,"Missing")</f>
        <v/>
      </c>
      <c r="J235" s="4">
        <f>XLOOKUP(B235,Raw_Risk_Profiles!$A:$A,Raw_Risk_Profiles!$D:$D,"")</f>
        <v/>
      </c>
      <c r="K235" s="4">
        <f>IFERROR(INDEX(Raw_Risk_Profiles!$E:$E,MATCH(B235,Raw_Risk_Profiles!$A:$A,0)),"Unknown")</f>
        <v/>
      </c>
      <c r="L235" s="4">
        <f>IFERROR(XLOOKUP(A235,Raw_Alerts!$B:$B,Raw_Alerts!$A:$A),"No Alert")</f>
        <v/>
      </c>
      <c r="M235" s="4">
        <f>IFERROR(XLOOKUP(A235,Raw_Alerts!$B:$B,Raw_Alerts!$C:$C),"")</f>
        <v/>
      </c>
      <c r="N235" s="4">
        <f>IFERROR(XLOOKUP(A235,Raw_Alerts!$B:$B,Raw_Alerts!$D:$D),"")</f>
        <v/>
      </c>
      <c r="O235" s="4">
        <f>IFERROR(XLOOKUP(A235,Raw_Alerts!$B:$B,Raw_Alerts!$F:$F),"")</f>
        <v/>
      </c>
      <c r="P235" s="4">
        <f>IF(H235="Not Found","CRITICAL: No Risk Profile",IF(I235="Missing","WARN: Missing KYC",IF(I235="Expired","WARN: KYC Expired",IF(I235="Pending","INFO: KYC Pending","OK"))))</f>
        <v/>
      </c>
    </row>
    <row r="236">
      <c r="A236" s="2">
        <f>Raw_Transactions!A236</f>
        <v/>
      </c>
      <c r="B236" s="2">
        <f>Raw_Transactions!B236</f>
        <v/>
      </c>
      <c r="C236" s="2">
        <f>Raw_Transactions!C236</f>
        <v/>
      </c>
      <c r="D236" s="3">
        <f>Raw_Transactions!D236</f>
        <v/>
      </c>
      <c r="E236" s="2">
        <f>Raw_Transactions!E236</f>
        <v/>
      </c>
      <c r="F236" s="2">
        <f>Raw_Transactions!F236</f>
        <v/>
      </c>
      <c r="G236" s="2">
        <f>Raw_Transactions!G236</f>
        <v/>
      </c>
      <c r="H236" s="2">
        <f>XLOOKUP(B236,Raw_Risk_Profiles!$A:$A,Raw_Risk_Profiles!$B:$B,"Not Found")</f>
        <v/>
      </c>
      <c r="I236" s="2">
        <f>XLOOKUP(B236,Raw_Risk_Profiles!$A:$A,Raw_Risk_Profiles!$C:$C,"Missing")</f>
        <v/>
      </c>
      <c r="J236" s="2">
        <f>XLOOKUP(B236,Raw_Risk_Profiles!$A:$A,Raw_Risk_Profiles!$D:$D,"")</f>
        <v/>
      </c>
      <c r="K236" s="2">
        <f>IFERROR(INDEX(Raw_Risk_Profiles!$E:$E,MATCH(B236,Raw_Risk_Profiles!$A:$A,0)),"Unknown")</f>
        <v/>
      </c>
      <c r="L236" s="2">
        <f>IFERROR(XLOOKUP(A236,Raw_Alerts!$B:$B,Raw_Alerts!$A:$A),"No Alert")</f>
        <v/>
      </c>
      <c r="M236" s="2">
        <f>IFERROR(XLOOKUP(A236,Raw_Alerts!$B:$B,Raw_Alerts!$C:$C),"")</f>
        <v/>
      </c>
      <c r="N236" s="2">
        <f>IFERROR(XLOOKUP(A236,Raw_Alerts!$B:$B,Raw_Alerts!$D:$D),"")</f>
        <v/>
      </c>
      <c r="O236" s="2">
        <f>IFERROR(XLOOKUP(A236,Raw_Alerts!$B:$B,Raw_Alerts!$F:$F),"")</f>
        <v/>
      </c>
      <c r="P236" s="2">
        <f>IF(H236="Not Found","CRITICAL: No Risk Profile",IF(I236="Missing","WARN: Missing KYC",IF(I236="Expired","WARN: KYC Expired",IF(I236="Pending","INFO: KYC Pending","OK"))))</f>
        <v/>
      </c>
    </row>
    <row r="237">
      <c r="A237" s="4">
        <f>Raw_Transactions!A237</f>
        <v/>
      </c>
      <c r="B237" s="4">
        <f>Raw_Transactions!B237</f>
        <v/>
      </c>
      <c r="C237" s="4">
        <f>Raw_Transactions!C237</f>
        <v/>
      </c>
      <c r="D237" s="5">
        <f>Raw_Transactions!D237</f>
        <v/>
      </c>
      <c r="E237" s="4">
        <f>Raw_Transactions!E237</f>
        <v/>
      </c>
      <c r="F237" s="4">
        <f>Raw_Transactions!F237</f>
        <v/>
      </c>
      <c r="G237" s="4">
        <f>Raw_Transactions!G237</f>
        <v/>
      </c>
      <c r="H237" s="4">
        <f>XLOOKUP(B237,Raw_Risk_Profiles!$A:$A,Raw_Risk_Profiles!$B:$B,"Not Found")</f>
        <v/>
      </c>
      <c r="I237" s="4">
        <f>XLOOKUP(B237,Raw_Risk_Profiles!$A:$A,Raw_Risk_Profiles!$C:$C,"Missing")</f>
        <v/>
      </c>
      <c r="J237" s="4">
        <f>XLOOKUP(B237,Raw_Risk_Profiles!$A:$A,Raw_Risk_Profiles!$D:$D,"")</f>
        <v/>
      </c>
      <c r="K237" s="4">
        <f>IFERROR(INDEX(Raw_Risk_Profiles!$E:$E,MATCH(B237,Raw_Risk_Profiles!$A:$A,0)),"Unknown")</f>
        <v/>
      </c>
      <c r="L237" s="4">
        <f>IFERROR(XLOOKUP(A237,Raw_Alerts!$B:$B,Raw_Alerts!$A:$A),"No Alert")</f>
        <v/>
      </c>
      <c r="M237" s="4">
        <f>IFERROR(XLOOKUP(A237,Raw_Alerts!$B:$B,Raw_Alerts!$C:$C),"")</f>
        <v/>
      </c>
      <c r="N237" s="4">
        <f>IFERROR(XLOOKUP(A237,Raw_Alerts!$B:$B,Raw_Alerts!$D:$D),"")</f>
        <v/>
      </c>
      <c r="O237" s="4">
        <f>IFERROR(XLOOKUP(A237,Raw_Alerts!$B:$B,Raw_Alerts!$F:$F),"")</f>
        <v/>
      </c>
      <c r="P237" s="4">
        <f>IF(H237="Not Found","CRITICAL: No Risk Profile",IF(I237="Missing","WARN: Missing KYC",IF(I237="Expired","WARN: KYC Expired",IF(I237="Pending","INFO: KYC Pending","OK"))))</f>
        <v/>
      </c>
    </row>
    <row r="238">
      <c r="A238" s="2">
        <f>Raw_Transactions!A238</f>
        <v/>
      </c>
      <c r="B238" s="2">
        <f>Raw_Transactions!B238</f>
        <v/>
      </c>
      <c r="C238" s="2">
        <f>Raw_Transactions!C238</f>
        <v/>
      </c>
      <c r="D238" s="3">
        <f>Raw_Transactions!D238</f>
        <v/>
      </c>
      <c r="E238" s="2">
        <f>Raw_Transactions!E238</f>
        <v/>
      </c>
      <c r="F238" s="2">
        <f>Raw_Transactions!F238</f>
        <v/>
      </c>
      <c r="G238" s="2">
        <f>Raw_Transactions!G238</f>
        <v/>
      </c>
      <c r="H238" s="2">
        <f>XLOOKUP(B238,Raw_Risk_Profiles!$A:$A,Raw_Risk_Profiles!$B:$B,"Not Found")</f>
        <v/>
      </c>
      <c r="I238" s="2">
        <f>XLOOKUP(B238,Raw_Risk_Profiles!$A:$A,Raw_Risk_Profiles!$C:$C,"Missing")</f>
        <v/>
      </c>
      <c r="J238" s="2">
        <f>XLOOKUP(B238,Raw_Risk_Profiles!$A:$A,Raw_Risk_Profiles!$D:$D,"")</f>
        <v/>
      </c>
      <c r="K238" s="2">
        <f>IFERROR(INDEX(Raw_Risk_Profiles!$E:$E,MATCH(B238,Raw_Risk_Profiles!$A:$A,0)),"Unknown")</f>
        <v/>
      </c>
      <c r="L238" s="2">
        <f>IFERROR(XLOOKUP(A238,Raw_Alerts!$B:$B,Raw_Alerts!$A:$A),"No Alert")</f>
        <v/>
      </c>
      <c r="M238" s="2">
        <f>IFERROR(XLOOKUP(A238,Raw_Alerts!$B:$B,Raw_Alerts!$C:$C),"")</f>
        <v/>
      </c>
      <c r="N238" s="2">
        <f>IFERROR(XLOOKUP(A238,Raw_Alerts!$B:$B,Raw_Alerts!$D:$D),"")</f>
        <v/>
      </c>
      <c r="O238" s="2">
        <f>IFERROR(XLOOKUP(A238,Raw_Alerts!$B:$B,Raw_Alerts!$F:$F),"")</f>
        <v/>
      </c>
      <c r="P238" s="2">
        <f>IF(H238="Not Found","CRITICAL: No Risk Profile",IF(I238="Missing","WARN: Missing KYC",IF(I238="Expired","WARN: KYC Expired",IF(I238="Pending","INFO: KYC Pending","OK"))))</f>
        <v/>
      </c>
    </row>
    <row r="239">
      <c r="A239" s="4">
        <f>Raw_Transactions!A239</f>
        <v/>
      </c>
      <c r="B239" s="4">
        <f>Raw_Transactions!B239</f>
        <v/>
      </c>
      <c r="C239" s="4">
        <f>Raw_Transactions!C239</f>
        <v/>
      </c>
      <c r="D239" s="5">
        <f>Raw_Transactions!D239</f>
        <v/>
      </c>
      <c r="E239" s="4">
        <f>Raw_Transactions!E239</f>
        <v/>
      </c>
      <c r="F239" s="4">
        <f>Raw_Transactions!F239</f>
        <v/>
      </c>
      <c r="G239" s="4">
        <f>Raw_Transactions!G239</f>
        <v/>
      </c>
      <c r="H239" s="4">
        <f>XLOOKUP(B239,Raw_Risk_Profiles!$A:$A,Raw_Risk_Profiles!$B:$B,"Not Found")</f>
        <v/>
      </c>
      <c r="I239" s="4">
        <f>XLOOKUP(B239,Raw_Risk_Profiles!$A:$A,Raw_Risk_Profiles!$C:$C,"Missing")</f>
        <v/>
      </c>
      <c r="J239" s="4">
        <f>XLOOKUP(B239,Raw_Risk_Profiles!$A:$A,Raw_Risk_Profiles!$D:$D,"")</f>
        <v/>
      </c>
      <c r="K239" s="4">
        <f>IFERROR(INDEX(Raw_Risk_Profiles!$E:$E,MATCH(B239,Raw_Risk_Profiles!$A:$A,0)),"Unknown")</f>
        <v/>
      </c>
      <c r="L239" s="4">
        <f>IFERROR(XLOOKUP(A239,Raw_Alerts!$B:$B,Raw_Alerts!$A:$A),"No Alert")</f>
        <v/>
      </c>
      <c r="M239" s="4">
        <f>IFERROR(XLOOKUP(A239,Raw_Alerts!$B:$B,Raw_Alerts!$C:$C),"")</f>
        <v/>
      </c>
      <c r="N239" s="4">
        <f>IFERROR(XLOOKUP(A239,Raw_Alerts!$B:$B,Raw_Alerts!$D:$D),"")</f>
        <v/>
      </c>
      <c r="O239" s="4">
        <f>IFERROR(XLOOKUP(A239,Raw_Alerts!$B:$B,Raw_Alerts!$F:$F),"")</f>
        <v/>
      </c>
      <c r="P239" s="4">
        <f>IF(H239="Not Found","CRITICAL: No Risk Profile",IF(I239="Missing","WARN: Missing KYC",IF(I239="Expired","WARN: KYC Expired",IF(I239="Pending","INFO: KYC Pending","OK"))))</f>
        <v/>
      </c>
    </row>
    <row r="240">
      <c r="A240" s="2">
        <f>Raw_Transactions!A240</f>
        <v/>
      </c>
      <c r="B240" s="2">
        <f>Raw_Transactions!B240</f>
        <v/>
      </c>
      <c r="C240" s="2">
        <f>Raw_Transactions!C240</f>
        <v/>
      </c>
      <c r="D240" s="3">
        <f>Raw_Transactions!D240</f>
        <v/>
      </c>
      <c r="E240" s="2">
        <f>Raw_Transactions!E240</f>
        <v/>
      </c>
      <c r="F240" s="2">
        <f>Raw_Transactions!F240</f>
        <v/>
      </c>
      <c r="G240" s="2">
        <f>Raw_Transactions!G240</f>
        <v/>
      </c>
      <c r="H240" s="2">
        <f>XLOOKUP(B240,Raw_Risk_Profiles!$A:$A,Raw_Risk_Profiles!$B:$B,"Not Found")</f>
        <v/>
      </c>
      <c r="I240" s="2">
        <f>XLOOKUP(B240,Raw_Risk_Profiles!$A:$A,Raw_Risk_Profiles!$C:$C,"Missing")</f>
        <v/>
      </c>
      <c r="J240" s="2">
        <f>XLOOKUP(B240,Raw_Risk_Profiles!$A:$A,Raw_Risk_Profiles!$D:$D,"")</f>
        <v/>
      </c>
      <c r="K240" s="2">
        <f>IFERROR(INDEX(Raw_Risk_Profiles!$E:$E,MATCH(B240,Raw_Risk_Profiles!$A:$A,0)),"Unknown")</f>
        <v/>
      </c>
      <c r="L240" s="2">
        <f>IFERROR(XLOOKUP(A240,Raw_Alerts!$B:$B,Raw_Alerts!$A:$A),"No Alert")</f>
        <v/>
      </c>
      <c r="M240" s="2">
        <f>IFERROR(XLOOKUP(A240,Raw_Alerts!$B:$B,Raw_Alerts!$C:$C),"")</f>
        <v/>
      </c>
      <c r="N240" s="2">
        <f>IFERROR(XLOOKUP(A240,Raw_Alerts!$B:$B,Raw_Alerts!$D:$D),"")</f>
        <v/>
      </c>
      <c r="O240" s="2">
        <f>IFERROR(XLOOKUP(A240,Raw_Alerts!$B:$B,Raw_Alerts!$F:$F),"")</f>
        <v/>
      </c>
      <c r="P240" s="2">
        <f>IF(H240="Not Found","CRITICAL: No Risk Profile",IF(I240="Missing","WARN: Missing KYC",IF(I240="Expired","WARN: KYC Expired",IF(I240="Pending","INFO: KYC Pending","OK"))))</f>
        <v/>
      </c>
    </row>
    <row r="241">
      <c r="A241" s="4">
        <f>Raw_Transactions!A241</f>
        <v/>
      </c>
      <c r="B241" s="4">
        <f>Raw_Transactions!B241</f>
        <v/>
      </c>
      <c r="C241" s="4">
        <f>Raw_Transactions!C241</f>
        <v/>
      </c>
      <c r="D241" s="5">
        <f>Raw_Transactions!D241</f>
        <v/>
      </c>
      <c r="E241" s="4">
        <f>Raw_Transactions!E241</f>
        <v/>
      </c>
      <c r="F241" s="4">
        <f>Raw_Transactions!F241</f>
        <v/>
      </c>
      <c r="G241" s="4">
        <f>Raw_Transactions!G241</f>
        <v/>
      </c>
      <c r="H241" s="4">
        <f>XLOOKUP(B241,Raw_Risk_Profiles!$A:$A,Raw_Risk_Profiles!$B:$B,"Not Found")</f>
        <v/>
      </c>
      <c r="I241" s="4">
        <f>XLOOKUP(B241,Raw_Risk_Profiles!$A:$A,Raw_Risk_Profiles!$C:$C,"Missing")</f>
        <v/>
      </c>
      <c r="J241" s="4">
        <f>XLOOKUP(B241,Raw_Risk_Profiles!$A:$A,Raw_Risk_Profiles!$D:$D,"")</f>
        <v/>
      </c>
      <c r="K241" s="4">
        <f>IFERROR(INDEX(Raw_Risk_Profiles!$E:$E,MATCH(B241,Raw_Risk_Profiles!$A:$A,0)),"Unknown")</f>
        <v/>
      </c>
      <c r="L241" s="4">
        <f>IFERROR(XLOOKUP(A241,Raw_Alerts!$B:$B,Raw_Alerts!$A:$A),"No Alert")</f>
        <v/>
      </c>
      <c r="M241" s="4">
        <f>IFERROR(XLOOKUP(A241,Raw_Alerts!$B:$B,Raw_Alerts!$C:$C),"")</f>
        <v/>
      </c>
      <c r="N241" s="4">
        <f>IFERROR(XLOOKUP(A241,Raw_Alerts!$B:$B,Raw_Alerts!$D:$D),"")</f>
        <v/>
      </c>
      <c r="O241" s="4">
        <f>IFERROR(XLOOKUP(A241,Raw_Alerts!$B:$B,Raw_Alerts!$F:$F),"")</f>
        <v/>
      </c>
      <c r="P241" s="4">
        <f>IF(H241="Not Found","CRITICAL: No Risk Profile",IF(I241="Missing","WARN: Missing KYC",IF(I241="Expired","WARN: KYC Expired",IF(I241="Pending","INFO: KYC Pending","OK"))))</f>
        <v/>
      </c>
    </row>
    <row r="242">
      <c r="A242" s="2">
        <f>Raw_Transactions!A242</f>
        <v/>
      </c>
      <c r="B242" s="2">
        <f>Raw_Transactions!B242</f>
        <v/>
      </c>
      <c r="C242" s="2">
        <f>Raw_Transactions!C242</f>
        <v/>
      </c>
      <c r="D242" s="3">
        <f>Raw_Transactions!D242</f>
        <v/>
      </c>
      <c r="E242" s="2">
        <f>Raw_Transactions!E242</f>
        <v/>
      </c>
      <c r="F242" s="2">
        <f>Raw_Transactions!F242</f>
        <v/>
      </c>
      <c r="G242" s="2">
        <f>Raw_Transactions!G242</f>
        <v/>
      </c>
      <c r="H242" s="2">
        <f>XLOOKUP(B242,Raw_Risk_Profiles!$A:$A,Raw_Risk_Profiles!$B:$B,"Not Found")</f>
        <v/>
      </c>
      <c r="I242" s="2">
        <f>XLOOKUP(B242,Raw_Risk_Profiles!$A:$A,Raw_Risk_Profiles!$C:$C,"Missing")</f>
        <v/>
      </c>
      <c r="J242" s="2">
        <f>XLOOKUP(B242,Raw_Risk_Profiles!$A:$A,Raw_Risk_Profiles!$D:$D,"")</f>
        <v/>
      </c>
      <c r="K242" s="2">
        <f>IFERROR(INDEX(Raw_Risk_Profiles!$E:$E,MATCH(B242,Raw_Risk_Profiles!$A:$A,0)),"Unknown")</f>
        <v/>
      </c>
      <c r="L242" s="2">
        <f>IFERROR(XLOOKUP(A242,Raw_Alerts!$B:$B,Raw_Alerts!$A:$A),"No Alert")</f>
        <v/>
      </c>
      <c r="M242" s="2">
        <f>IFERROR(XLOOKUP(A242,Raw_Alerts!$B:$B,Raw_Alerts!$C:$C),"")</f>
        <v/>
      </c>
      <c r="N242" s="2">
        <f>IFERROR(XLOOKUP(A242,Raw_Alerts!$B:$B,Raw_Alerts!$D:$D),"")</f>
        <v/>
      </c>
      <c r="O242" s="2">
        <f>IFERROR(XLOOKUP(A242,Raw_Alerts!$B:$B,Raw_Alerts!$F:$F),"")</f>
        <v/>
      </c>
      <c r="P242" s="2">
        <f>IF(H242="Not Found","CRITICAL: No Risk Profile",IF(I242="Missing","WARN: Missing KYC",IF(I242="Expired","WARN: KYC Expired",IF(I242="Pending","INFO: KYC Pending","OK"))))</f>
        <v/>
      </c>
    </row>
    <row r="243">
      <c r="A243" s="4">
        <f>Raw_Transactions!A243</f>
        <v/>
      </c>
      <c r="B243" s="4">
        <f>Raw_Transactions!B243</f>
        <v/>
      </c>
      <c r="C243" s="4">
        <f>Raw_Transactions!C243</f>
        <v/>
      </c>
      <c r="D243" s="5">
        <f>Raw_Transactions!D243</f>
        <v/>
      </c>
      <c r="E243" s="4">
        <f>Raw_Transactions!E243</f>
        <v/>
      </c>
      <c r="F243" s="4">
        <f>Raw_Transactions!F243</f>
        <v/>
      </c>
      <c r="G243" s="4">
        <f>Raw_Transactions!G243</f>
        <v/>
      </c>
      <c r="H243" s="4">
        <f>XLOOKUP(B243,Raw_Risk_Profiles!$A:$A,Raw_Risk_Profiles!$B:$B,"Not Found")</f>
        <v/>
      </c>
      <c r="I243" s="4">
        <f>XLOOKUP(B243,Raw_Risk_Profiles!$A:$A,Raw_Risk_Profiles!$C:$C,"Missing")</f>
        <v/>
      </c>
      <c r="J243" s="4">
        <f>XLOOKUP(B243,Raw_Risk_Profiles!$A:$A,Raw_Risk_Profiles!$D:$D,"")</f>
        <v/>
      </c>
      <c r="K243" s="4">
        <f>IFERROR(INDEX(Raw_Risk_Profiles!$E:$E,MATCH(B243,Raw_Risk_Profiles!$A:$A,0)),"Unknown")</f>
        <v/>
      </c>
      <c r="L243" s="4">
        <f>IFERROR(XLOOKUP(A243,Raw_Alerts!$B:$B,Raw_Alerts!$A:$A),"No Alert")</f>
        <v/>
      </c>
      <c r="M243" s="4">
        <f>IFERROR(XLOOKUP(A243,Raw_Alerts!$B:$B,Raw_Alerts!$C:$C),"")</f>
        <v/>
      </c>
      <c r="N243" s="4">
        <f>IFERROR(XLOOKUP(A243,Raw_Alerts!$B:$B,Raw_Alerts!$D:$D),"")</f>
        <v/>
      </c>
      <c r="O243" s="4">
        <f>IFERROR(XLOOKUP(A243,Raw_Alerts!$B:$B,Raw_Alerts!$F:$F),"")</f>
        <v/>
      </c>
      <c r="P243" s="4">
        <f>IF(H243="Not Found","CRITICAL: No Risk Profile",IF(I243="Missing","WARN: Missing KYC",IF(I243="Expired","WARN: KYC Expired",IF(I243="Pending","INFO: KYC Pending","OK"))))</f>
        <v/>
      </c>
    </row>
    <row r="244">
      <c r="A244" s="2">
        <f>Raw_Transactions!A244</f>
        <v/>
      </c>
      <c r="B244" s="2">
        <f>Raw_Transactions!B244</f>
        <v/>
      </c>
      <c r="C244" s="2">
        <f>Raw_Transactions!C244</f>
        <v/>
      </c>
      <c r="D244" s="3">
        <f>Raw_Transactions!D244</f>
        <v/>
      </c>
      <c r="E244" s="2">
        <f>Raw_Transactions!E244</f>
        <v/>
      </c>
      <c r="F244" s="2">
        <f>Raw_Transactions!F244</f>
        <v/>
      </c>
      <c r="G244" s="2">
        <f>Raw_Transactions!G244</f>
        <v/>
      </c>
      <c r="H244" s="2">
        <f>XLOOKUP(B244,Raw_Risk_Profiles!$A:$A,Raw_Risk_Profiles!$B:$B,"Not Found")</f>
        <v/>
      </c>
      <c r="I244" s="2">
        <f>XLOOKUP(B244,Raw_Risk_Profiles!$A:$A,Raw_Risk_Profiles!$C:$C,"Missing")</f>
        <v/>
      </c>
      <c r="J244" s="2">
        <f>XLOOKUP(B244,Raw_Risk_Profiles!$A:$A,Raw_Risk_Profiles!$D:$D,"")</f>
        <v/>
      </c>
      <c r="K244" s="2">
        <f>IFERROR(INDEX(Raw_Risk_Profiles!$E:$E,MATCH(B244,Raw_Risk_Profiles!$A:$A,0)),"Unknown")</f>
        <v/>
      </c>
      <c r="L244" s="2">
        <f>IFERROR(XLOOKUP(A244,Raw_Alerts!$B:$B,Raw_Alerts!$A:$A),"No Alert")</f>
        <v/>
      </c>
      <c r="M244" s="2">
        <f>IFERROR(XLOOKUP(A244,Raw_Alerts!$B:$B,Raw_Alerts!$C:$C),"")</f>
        <v/>
      </c>
      <c r="N244" s="2">
        <f>IFERROR(XLOOKUP(A244,Raw_Alerts!$B:$B,Raw_Alerts!$D:$D),"")</f>
        <v/>
      </c>
      <c r="O244" s="2">
        <f>IFERROR(XLOOKUP(A244,Raw_Alerts!$B:$B,Raw_Alerts!$F:$F),"")</f>
        <v/>
      </c>
      <c r="P244" s="2">
        <f>IF(H244="Not Found","CRITICAL: No Risk Profile",IF(I244="Missing","WARN: Missing KYC",IF(I244="Expired","WARN: KYC Expired",IF(I244="Pending","INFO: KYC Pending","OK"))))</f>
        <v/>
      </c>
    </row>
    <row r="245">
      <c r="A245" s="4">
        <f>Raw_Transactions!A245</f>
        <v/>
      </c>
      <c r="B245" s="4">
        <f>Raw_Transactions!B245</f>
        <v/>
      </c>
      <c r="C245" s="4">
        <f>Raw_Transactions!C245</f>
        <v/>
      </c>
      <c r="D245" s="5">
        <f>Raw_Transactions!D245</f>
        <v/>
      </c>
      <c r="E245" s="4">
        <f>Raw_Transactions!E245</f>
        <v/>
      </c>
      <c r="F245" s="4">
        <f>Raw_Transactions!F245</f>
        <v/>
      </c>
      <c r="G245" s="4">
        <f>Raw_Transactions!G245</f>
        <v/>
      </c>
      <c r="H245" s="4">
        <f>XLOOKUP(B245,Raw_Risk_Profiles!$A:$A,Raw_Risk_Profiles!$B:$B,"Not Found")</f>
        <v/>
      </c>
      <c r="I245" s="4">
        <f>XLOOKUP(B245,Raw_Risk_Profiles!$A:$A,Raw_Risk_Profiles!$C:$C,"Missing")</f>
        <v/>
      </c>
      <c r="J245" s="4">
        <f>XLOOKUP(B245,Raw_Risk_Profiles!$A:$A,Raw_Risk_Profiles!$D:$D,"")</f>
        <v/>
      </c>
      <c r="K245" s="4">
        <f>IFERROR(INDEX(Raw_Risk_Profiles!$E:$E,MATCH(B245,Raw_Risk_Profiles!$A:$A,0)),"Unknown")</f>
        <v/>
      </c>
      <c r="L245" s="4">
        <f>IFERROR(XLOOKUP(A245,Raw_Alerts!$B:$B,Raw_Alerts!$A:$A),"No Alert")</f>
        <v/>
      </c>
      <c r="M245" s="4">
        <f>IFERROR(XLOOKUP(A245,Raw_Alerts!$B:$B,Raw_Alerts!$C:$C),"")</f>
        <v/>
      </c>
      <c r="N245" s="4">
        <f>IFERROR(XLOOKUP(A245,Raw_Alerts!$B:$B,Raw_Alerts!$D:$D),"")</f>
        <v/>
      </c>
      <c r="O245" s="4">
        <f>IFERROR(XLOOKUP(A245,Raw_Alerts!$B:$B,Raw_Alerts!$F:$F),"")</f>
        <v/>
      </c>
      <c r="P245" s="4">
        <f>IF(H245="Not Found","CRITICAL: No Risk Profile",IF(I245="Missing","WARN: Missing KYC",IF(I245="Expired","WARN: KYC Expired",IF(I245="Pending","INFO: KYC Pending","OK"))))</f>
        <v/>
      </c>
    </row>
    <row r="246">
      <c r="A246" s="2">
        <f>Raw_Transactions!A246</f>
        <v/>
      </c>
      <c r="B246" s="2">
        <f>Raw_Transactions!B246</f>
        <v/>
      </c>
      <c r="C246" s="2">
        <f>Raw_Transactions!C246</f>
        <v/>
      </c>
      <c r="D246" s="3">
        <f>Raw_Transactions!D246</f>
        <v/>
      </c>
      <c r="E246" s="2">
        <f>Raw_Transactions!E246</f>
        <v/>
      </c>
      <c r="F246" s="2">
        <f>Raw_Transactions!F246</f>
        <v/>
      </c>
      <c r="G246" s="2">
        <f>Raw_Transactions!G246</f>
        <v/>
      </c>
      <c r="H246" s="2">
        <f>XLOOKUP(B246,Raw_Risk_Profiles!$A:$A,Raw_Risk_Profiles!$B:$B,"Not Found")</f>
        <v/>
      </c>
      <c r="I246" s="2">
        <f>XLOOKUP(B246,Raw_Risk_Profiles!$A:$A,Raw_Risk_Profiles!$C:$C,"Missing")</f>
        <v/>
      </c>
      <c r="J246" s="2">
        <f>XLOOKUP(B246,Raw_Risk_Profiles!$A:$A,Raw_Risk_Profiles!$D:$D,"")</f>
        <v/>
      </c>
      <c r="K246" s="2">
        <f>IFERROR(INDEX(Raw_Risk_Profiles!$E:$E,MATCH(B246,Raw_Risk_Profiles!$A:$A,0)),"Unknown")</f>
        <v/>
      </c>
      <c r="L246" s="2">
        <f>IFERROR(XLOOKUP(A246,Raw_Alerts!$B:$B,Raw_Alerts!$A:$A),"No Alert")</f>
        <v/>
      </c>
      <c r="M246" s="2">
        <f>IFERROR(XLOOKUP(A246,Raw_Alerts!$B:$B,Raw_Alerts!$C:$C),"")</f>
        <v/>
      </c>
      <c r="N246" s="2">
        <f>IFERROR(XLOOKUP(A246,Raw_Alerts!$B:$B,Raw_Alerts!$D:$D),"")</f>
        <v/>
      </c>
      <c r="O246" s="2">
        <f>IFERROR(XLOOKUP(A246,Raw_Alerts!$B:$B,Raw_Alerts!$F:$F),"")</f>
        <v/>
      </c>
      <c r="P246" s="2">
        <f>IF(H246="Not Found","CRITICAL: No Risk Profile",IF(I246="Missing","WARN: Missing KYC",IF(I246="Expired","WARN: KYC Expired",IF(I246="Pending","INFO: KYC Pending","OK"))))</f>
        <v/>
      </c>
    </row>
    <row r="247">
      <c r="A247" s="4">
        <f>Raw_Transactions!A247</f>
        <v/>
      </c>
      <c r="B247" s="4">
        <f>Raw_Transactions!B247</f>
        <v/>
      </c>
      <c r="C247" s="4">
        <f>Raw_Transactions!C247</f>
        <v/>
      </c>
      <c r="D247" s="5">
        <f>Raw_Transactions!D247</f>
        <v/>
      </c>
      <c r="E247" s="4">
        <f>Raw_Transactions!E247</f>
        <v/>
      </c>
      <c r="F247" s="4">
        <f>Raw_Transactions!F247</f>
        <v/>
      </c>
      <c r="G247" s="4">
        <f>Raw_Transactions!G247</f>
        <v/>
      </c>
      <c r="H247" s="4">
        <f>XLOOKUP(B247,Raw_Risk_Profiles!$A:$A,Raw_Risk_Profiles!$B:$B,"Not Found")</f>
        <v/>
      </c>
      <c r="I247" s="4">
        <f>XLOOKUP(B247,Raw_Risk_Profiles!$A:$A,Raw_Risk_Profiles!$C:$C,"Missing")</f>
        <v/>
      </c>
      <c r="J247" s="4">
        <f>XLOOKUP(B247,Raw_Risk_Profiles!$A:$A,Raw_Risk_Profiles!$D:$D,"")</f>
        <v/>
      </c>
      <c r="K247" s="4">
        <f>IFERROR(INDEX(Raw_Risk_Profiles!$E:$E,MATCH(B247,Raw_Risk_Profiles!$A:$A,0)),"Unknown")</f>
        <v/>
      </c>
      <c r="L247" s="4">
        <f>IFERROR(XLOOKUP(A247,Raw_Alerts!$B:$B,Raw_Alerts!$A:$A),"No Alert")</f>
        <v/>
      </c>
      <c r="M247" s="4">
        <f>IFERROR(XLOOKUP(A247,Raw_Alerts!$B:$B,Raw_Alerts!$C:$C),"")</f>
        <v/>
      </c>
      <c r="N247" s="4">
        <f>IFERROR(XLOOKUP(A247,Raw_Alerts!$B:$B,Raw_Alerts!$D:$D),"")</f>
        <v/>
      </c>
      <c r="O247" s="4">
        <f>IFERROR(XLOOKUP(A247,Raw_Alerts!$B:$B,Raw_Alerts!$F:$F),"")</f>
        <v/>
      </c>
      <c r="P247" s="4">
        <f>IF(H247="Not Found","CRITICAL: No Risk Profile",IF(I247="Missing","WARN: Missing KYC",IF(I247="Expired","WARN: KYC Expired",IF(I247="Pending","INFO: KYC Pending","OK"))))</f>
        <v/>
      </c>
    </row>
    <row r="248">
      <c r="A248" s="2">
        <f>Raw_Transactions!A248</f>
        <v/>
      </c>
      <c r="B248" s="2">
        <f>Raw_Transactions!B248</f>
        <v/>
      </c>
      <c r="C248" s="2">
        <f>Raw_Transactions!C248</f>
        <v/>
      </c>
      <c r="D248" s="3">
        <f>Raw_Transactions!D248</f>
        <v/>
      </c>
      <c r="E248" s="2">
        <f>Raw_Transactions!E248</f>
        <v/>
      </c>
      <c r="F248" s="2">
        <f>Raw_Transactions!F248</f>
        <v/>
      </c>
      <c r="G248" s="2">
        <f>Raw_Transactions!G248</f>
        <v/>
      </c>
      <c r="H248" s="2">
        <f>XLOOKUP(B248,Raw_Risk_Profiles!$A:$A,Raw_Risk_Profiles!$B:$B,"Not Found")</f>
        <v/>
      </c>
      <c r="I248" s="2">
        <f>XLOOKUP(B248,Raw_Risk_Profiles!$A:$A,Raw_Risk_Profiles!$C:$C,"Missing")</f>
        <v/>
      </c>
      <c r="J248" s="2">
        <f>XLOOKUP(B248,Raw_Risk_Profiles!$A:$A,Raw_Risk_Profiles!$D:$D,"")</f>
        <v/>
      </c>
      <c r="K248" s="2">
        <f>IFERROR(INDEX(Raw_Risk_Profiles!$E:$E,MATCH(B248,Raw_Risk_Profiles!$A:$A,0)),"Unknown")</f>
        <v/>
      </c>
      <c r="L248" s="2">
        <f>IFERROR(XLOOKUP(A248,Raw_Alerts!$B:$B,Raw_Alerts!$A:$A),"No Alert")</f>
        <v/>
      </c>
      <c r="M248" s="2">
        <f>IFERROR(XLOOKUP(A248,Raw_Alerts!$B:$B,Raw_Alerts!$C:$C),"")</f>
        <v/>
      </c>
      <c r="N248" s="2">
        <f>IFERROR(XLOOKUP(A248,Raw_Alerts!$B:$B,Raw_Alerts!$D:$D),"")</f>
        <v/>
      </c>
      <c r="O248" s="2">
        <f>IFERROR(XLOOKUP(A248,Raw_Alerts!$B:$B,Raw_Alerts!$F:$F),"")</f>
        <v/>
      </c>
      <c r="P248" s="2">
        <f>IF(H248="Not Found","CRITICAL: No Risk Profile",IF(I248="Missing","WARN: Missing KYC",IF(I248="Expired","WARN: KYC Expired",IF(I248="Pending","INFO: KYC Pending","OK"))))</f>
        <v/>
      </c>
    </row>
    <row r="249">
      <c r="A249" s="4">
        <f>Raw_Transactions!A249</f>
        <v/>
      </c>
      <c r="B249" s="4">
        <f>Raw_Transactions!B249</f>
        <v/>
      </c>
      <c r="C249" s="4">
        <f>Raw_Transactions!C249</f>
        <v/>
      </c>
      <c r="D249" s="5">
        <f>Raw_Transactions!D249</f>
        <v/>
      </c>
      <c r="E249" s="4">
        <f>Raw_Transactions!E249</f>
        <v/>
      </c>
      <c r="F249" s="4">
        <f>Raw_Transactions!F249</f>
        <v/>
      </c>
      <c r="G249" s="4">
        <f>Raw_Transactions!G249</f>
        <v/>
      </c>
      <c r="H249" s="4">
        <f>XLOOKUP(B249,Raw_Risk_Profiles!$A:$A,Raw_Risk_Profiles!$B:$B,"Not Found")</f>
        <v/>
      </c>
      <c r="I249" s="4">
        <f>XLOOKUP(B249,Raw_Risk_Profiles!$A:$A,Raw_Risk_Profiles!$C:$C,"Missing")</f>
        <v/>
      </c>
      <c r="J249" s="4">
        <f>XLOOKUP(B249,Raw_Risk_Profiles!$A:$A,Raw_Risk_Profiles!$D:$D,"")</f>
        <v/>
      </c>
      <c r="K249" s="4">
        <f>IFERROR(INDEX(Raw_Risk_Profiles!$E:$E,MATCH(B249,Raw_Risk_Profiles!$A:$A,0)),"Unknown")</f>
        <v/>
      </c>
      <c r="L249" s="4">
        <f>IFERROR(XLOOKUP(A249,Raw_Alerts!$B:$B,Raw_Alerts!$A:$A),"No Alert")</f>
        <v/>
      </c>
      <c r="M249" s="4">
        <f>IFERROR(XLOOKUP(A249,Raw_Alerts!$B:$B,Raw_Alerts!$C:$C),"")</f>
        <v/>
      </c>
      <c r="N249" s="4">
        <f>IFERROR(XLOOKUP(A249,Raw_Alerts!$B:$B,Raw_Alerts!$D:$D),"")</f>
        <v/>
      </c>
      <c r="O249" s="4">
        <f>IFERROR(XLOOKUP(A249,Raw_Alerts!$B:$B,Raw_Alerts!$F:$F),"")</f>
        <v/>
      </c>
      <c r="P249" s="4">
        <f>IF(H249="Not Found","CRITICAL: No Risk Profile",IF(I249="Missing","WARN: Missing KYC",IF(I249="Expired","WARN: KYC Expired",IF(I249="Pending","INFO: KYC Pending","OK"))))</f>
        <v/>
      </c>
    </row>
    <row r="250">
      <c r="A250" s="2">
        <f>Raw_Transactions!A250</f>
        <v/>
      </c>
      <c r="B250" s="2">
        <f>Raw_Transactions!B250</f>
        <v/>
      </c>
      <c r="C250" s="2">
        <f>Raw_Transactions!C250</f>
        <v/>
      </c>
      <c r="D250" s="3">
        <f>Raw_Transactions!D250</f>
        <v/>
      </c>
      <c r="E250" s="2">
        <f>Raw_Transactions!E250</f>
        <v/>
      </c>
      <c r="F250" s="2">
        <f>Raw_Transactions!F250</f>
        <v/>
      </c>
      <c r="G250" s="2">
        <f>Raw_Transactions!G250</f>
        <v/>
      </c>
      <c r="H250" s="2">
        <f>XLOOKUP(B250,Raw_Risk_Profiles!$A:$A,Raw_Risk_Profiles!$B:$B,"Not Found")</f>
        <v/>
      </c>
      <c r="I250" s="2">
        <f>XLOOKUP(B250,Raw_Risk_Profiles!$A:$A,Raw_Risk_Profiles!$C:$C,"Missing")</f>
        <v/>
      </c>
      <c r="J250" s="2">
        <f>XLOOKUP(B250,Raw_Risk_Profiles!$A:$A,Raw_Risk_Profiles!$D:$D,"")</f>
        <v/>
      </c>
      <c r="K250" s="2">
        <f>IFERROR(INDEX(Raw_Risk_Profiles!$E:$E,MATCH(B250,Raw_Risk_Profiles!$A:$A,0)),"Unknown")</f>
        <v/>
      </c>
      <c r="L250" s="2">
        <f>IFERROR(XLOOKUP(A250,Raw_Alerts!$B:$B,Raw_Alerts!$A:$A),"No Alert")</f>
        <v/>
      </c>
      <c r="M250" s="2">
        <f>IFERROR(XLOOKUP(A250,Raw_Alerts!$B:$B,Raw_Alerts!$C:$C),"")</f>
        <v/>
      </c>
      <c r="N250" s="2">
        <f>IFERROR(XLOOKUP(A250,Raw_Alerts!$B:$B,Raw_Alerts!$D:$D),"")</f>
        <v/>
      </c>
      <c r="O250" s="2">
        <f>IFERROR(XLOOKUP(A250,Raw_Alerts!$B:$B,Raw_Alerts!$F:$F),"")</f>
        <v/>
      </c>
      <c r="P250" s="2">
        <f>IF(H250="Not Found","CRITICAL: No Risk Profile",IF(I250="Missing","WARN: Missing KYC",IF(I250="Expired","WARN: KYC Expired",IF(I250="Pending","INFO: KYC Pending","OK"))))</f>
        <v/>
      </c>
    </row>
    <row r="251">
      <c r="A251" s="4">
        <f>Raw_Transactions!A251</f>
        <v/>
      </c>
      <c r="B251" s="4">
        <f>Raw_Transactions!B251</f>
        <v/>
      </c>
      <c r="C251" s="4">
        <f>Raw_Transactions!C251</f>
        <v/>
      </c>
      <c r="D251" s="5">
        <f>Raw_Transactions!D251</f>
        <v/>
      </c>
      <c r="E251" s="4">
        <f>Raw_Transactions!E251</f>
        <v/>
      </c>
      <c r="F251" s="4">
        <f>Raw_Transactions!F251</f>
        <v/>
      </c>
      <c r="G251" s="4">
        <f>Raw_Transactions!G251</f>
        <v/>
      </c>
      <c r="H251" s="4">
        <f>XLOOKUP(B251,Raw_Risk_Profiles!$A:$A,Raw_Risk_Profiles!$B:$B,"Not Found")</f>
        <v/>
      </c>
      <c r="I251" s="4">
        <f>XLOOKUP(B251,Raw_Risk_Profiles!$A:$A,Raw_Risk_Profiles!$C:$C,"Missing")</f>
        <v/>
      </c>
      <c r="J251" s="4">
        <f>XLOOKUP(B251,Raw_Risk_Profiles!$A:$A,Raw_Risk_Profiles!$D:$D,"")</f>
        <v/>
      </c>
      <c r="K251" s="4">
        <f>IFERROR(INDEX(Raw_Risk_Profiles!$E:$E,MATCH(B251,Raw_Risk_Profiles!$A:$A,0)),"Unknown")</f>
        <v/>
      </c>
      <c r="L251" s="4">
        <f>IFERROR(XLOOKUP(A251,Raw_Alerts!$B:$B,Raw_Alerts!$A:$A),"No Alert")</f>
        <v/>
      </c>
      <c r="M251" s="4">
        <f>IFERROR(XLOOKUP(A251,Raw_Alerts!$B:$B,Raw_Alerts!$C:$C),"")</f>
        <v/>
      </c>
      <c r="N251" s="4">
        <f>IFERROR(XLOOKUP(A251,Raw_Alerts!$B:$B,Raw_Alerts!$D:$D),"")</f>
        <v/>
      </c>
      <c r="O251" s="4">
        <f>IFERROR(XLOOKUP(A251,Raw_Alerts!$B:$B,Raw_Alerts!$F:$F),"")</f>
        <v/>
      </c>
      <c r="P251" s="4">
        <f>IF(H251="Not Found","CRITICAL: No Risk Profile",IF(I251="Missing","WARN: Missing KYC",IF(I251="Expired","WARN: KYC Expired",IF(I251="Pending","INFO: KYC Pending","OK"))))</f>
        <v/>
      </c>
    </row>
    <row r="252">
      <c r="A252" s="2">
        <f>Raw_Transactions!A252</f>
        <v/>
      </c>
      <c r="B252" s="2">
        <f>Raw_Transactions!B252</f>
        <v/>
      </c>
      <c r="C252" s="2">
        <f>Raw_Transactions!C252</f>
        <v/>
      </c>
      <c r="D252" s="3">
        <f>Raw_Transactions!D252</f>
        <v/>
      </c>
      <c r="E252" s="2">
        <f>Raw_Transactions!E252</f>
        <v/>
      </c>
      <c r="F252" s="2">
        <f>Raw_Transactions!F252</f>
        <v/>
      </c>
      <c r="G252" s="2">
        <f>Raw_Transactions!G252</f>
        <v/>
      </c>
      <c r="H252" s="2">
        <f>XLOOKUP(B252,Raw_Risk_Profiles!$A:$A,Raw_Risk_Profiles!$B:$B,"Not Found")</f>
        <v/>
      </c>
      <c r="I252" s="2">
        <f>XLOOKUP(B252,Raw_Risk_Profiles!$A:$A,Raw_Risk_Profiles!$C:$C,"Missing")</f>
        <v/>
      </c>
      <c r="J252" s="2">
        <f>XLOOKUP(B252,Raw_Risk_Profiles!$A:$A,Raw_Risk_Profiles!$D:$D,"")</f>
        <v/>
      </c>
      <c r="K252" s="2">
        <f>IFERROR(INDEX(Raw_Risk_Profiles!$E:$E,MATCH(B252,Raw_Risk_Profiles!$A:$A,0)),"Unknown")</f>
        <v/>
      </c>
      <c r="L252" s="2">
        <f>IFERROR(XLOOKUP(A252,Raw_Alerts!$B:$B,Raw_Alerts!$A:$A),"No Alert")</f>
        <v/>
      </c>
      <c r="M252" s="2">
        <f>IFERROR(XLOOKUP(A252,Raw_Alerts!$B:$B,Raw_Alerts!$C:$C),"")</f>
        <v/>
      </c>
      <c r="N252" s="2">
        <f>IFERROR(XLOOKUP(A252,Raw_Alerts!$B:$B,Raw_Alerts!$D:$D),"")</f>
        <v/>
      </c>
      <c r="O252" s="2">
        <f>IFERROR(XLOOKUP(A252,Raw_Alerts!$B:$B,Raw_Alerts!$F:$F),"")</f>
        <v/>
      </c>
      <c r="P252" s="2">
        <f>IF(H252="Not Found","CRITICAL: No Risk Profile",IF(I252="Missing","WARN: Missing KYC",IF(I252="Expired","WARN: KYC Expired",IF(I252="Pending","INFO: KYC Pending","OK"))))</f>
        <v/>
      </c>
    </row>
    <row r="253">
      <c r="A253" s="4">
        <f>Raw_Transactions!A253</f>
        <v/>
      </c>
      <c r="B253" s="4">
        <f>Raw_Transactions!B253</f>
        <v/>
      </c>
      <c r="C253" s="4">
        <f>Raw_Transactions!C253</f>
        <v/>
      </c>
      <c r="D253" s="5">
        <f>Raw_Transactions!D253</f>
        <v/>
      </c>
      <c r="E253" s="4">
        <f>Raw_Transactions!E253</f>
        <v/>
      </c>
      <c r="F253" s="4">
        <f>Raw_Transactions!F253</f>
        <v/>
      </c>
      <c r="G253" s="4">
        <f>Raw_Transactions!G253</f>
        <v/>
      </c>
      <c r="H253" s="4">
        <f>XLOOKUP(B253,Raw_Risk_Profiles!$A:$A,Raw_Risk_Profiles!$B:$B,"Not Found")</f>
        <v/>
      </c>
      <c r="I253" s="4">
        <f>XLOOKUP(B253,Raw_Risk_Profiles!$A:$A,Raw_Risk_Profiles!$C:$C,"Missing")</f>
        <v/>
      </c>
      <c r="J253" s="4">
        <f>XLOOKUP(B253,Raw_Risk_Profiles!$A:$A,Raw_Risk_Profiles!$D:$D,"")</f>
        <v/>
      </c>
      <c r="K253" s="4">
        <f>IFERROR(INDEX(Raw_Risk_Profiles!$E:$E,MATCH(B253,Raw_Risk_Profiles!$A:$A,0)),"Unknown")</f>
        <v/>
      </c>
      <c r="L253" s="4">
        <f>IFERROR(XLOOKUP(A253,Raw_Alerts!$B:$B,Raw_Alerts!$A:$A),"No Alert")</f>
        <v/>
      </c>
      <c r="M253" s="4">
        <f>IFERROR(XLOOKUP(A253,Raw_Alerts!$B:$B,Raw_Alerts!$C:$C),"")</f>
        <v/>
      </c>
      <c r="N253" s="4">
        <f>IFERROR(XLOOKUP(A253,Raw_Alerts!$B:$B,Raw_Alerts!$D:$D),"")</f>
        <v/>
      </c>
      <c r="O253" s="4">
        <f>IFERROR(XLOOKUP(A253,Raw_Alerts!$B:$B,Raw_Alerts!$F:$F),"")</f>
        <v/>
      </c>
      <c r="P253" s="4">
        <f>IF(H253="Not Found","CRITICAL: No Risk Profile",IF(I253="Missing","WARN: Missing KYC",IF(I253="Expired","WARN: KYC Expired",IF(I253="Pending","INFO: KYC Pending","OK"))))</f>
        <v/>
      </c>
    </row>
    <row r="254">
      <c r="A254" s="2">
        <f>Raw_Transactions!A254</f>
        <v/>
      </c>
      <c r="B254" s="2">
        <f>Raw_Transactions!B254</f>
        <v/>
      </c>
      <c r="C254" s="2">
        <f>Raw_Transactions!C254</f>
        <v/>
      </c>
      <c r="D254" s="3">
        <f>Raw_Transactions!D254</f>
        <v/>
      </c>
      <c r="E254" s="2">
        <f>Raw_Transactions!E254</f>
        <v/>
      </c>
      <c r="F254" s="2">
        <f>Raw_Transactions!F254</f>
        <v/>
      </c>
      <c r="G254" s="2">
        <f>Raw_Transactions!G254</f>
        <v/>
      </c>
      <c r="H254" s="2">
        <f>XLOOKUP(B254,Raw_Risk_Profiles!$A:$A,Raw_Risk_Profiles!$B:$B,"Not Found")</f>
        <v/>
      </c>
      <c r="I254" s="2">
        <f>XLOOKUP(B254,Raw_Risk_Profiles!$A:$A,Raw_Risk_Profiles!$C:$C,"Missing")</f>
        <v/>
      </c>
      <c r="J254" s="2">
        <f>XLOOKUP(B254,Raw_Risk_Profiles!$A:$A,Raw_Risk_Profiles!$D:$D,"")</f>
        <v/>
      </c>
      <c r="K254" s="2">
        <f>IFERROR(INDEX(Raw_Risk_Profiles!$E:$E,MATCH(B254,Raw_Risk_Profiles!$A:$A,0)),"Unknown")</f>
        <v/>
      </c>
      <c r="L254" s="2">
        <f>IFERROR(XLOOKUP(A254,Raw_Alerts!$B:$B,Raw_Alerts!$A:$A),"No Alert")</f>
        <v/>
      </c>
      <c r="M254" s="2">
        <f>IFERROR(XLOOKUP(A254,Raw_Alerts!$B:$B,Raw_Alerts!$C:$C),"")</f>
        <v/>
      </c>
      <c r="N254" s="2">
        <f>IFERROR(XLOOKUP(A254,Raw_Alerts!$B:$B,Raw_Alerts!$D:$D),"")</f>
        <v/>
      </c>
      <c r="O254" s="2">
        <f>IFERROR(XLOOKUP(A254,Raw_Alerts!$B:$B,Raw_Alerts!$F:$F),"")</f>
        <v/>
      </c>
      <c r="P254" s="2">
        <f>IF(H254="Not Found","CRITICAL: No Risk Profile",IF(I254="Missing","WARN: Missing KYC",IF(I254="Expired","WARN: KYC Expired",IF(I254="Pending","INFO: KYC Pending","OK"))))</f>
        <v/>
      </c>
    </row>
    <row r="255">
      <c r="A255" s="4">
        <f>Raw_Transactions!A255</f>
        <v/>
      </c>
      <c r="B255" s="4">
        <f>Raw_Transactions!B255</f>
        <v/>
      </c>
      <c r="C255" s="4">
        <f>Raw_Transactions!C255</f>
        <v/>
      </c>
      <c r="D255" s="5">
        <f>Raw_Transactions!D255</f>
        <v/>
      </c>
      <c r="E255" s="4">
        <f>Raw_Transactions!E255</f>
        <v/>
      </c>
      <c r="F255" s="4">
        <f>Raw_Transactions!F255</f>
        <v/>
      </c>
      <c r="G255" s="4">
        <f>Raw_Transactions!G255</f>
        <v/>
      </c>
      <c r="H255" s="4">
        <f>XLOOKUP(B255,Raw_Risk_Profiles!$A:$A,Raw_Risk_Profiles!$B:$B,"Not Found")</f>
        <v/>
      </c>
      <c r="I255" s="4">
        <f>XLOOKUP(B255,Raw_Risk_Profiles!$A:$A,Raw_Risk_Profiles!$C:$C,"Missing")</f>
        <v/>
      </c>
      <c r="J255" s="4">
        <f>XLOOKUP(B255,Raw_Risk_Profiles!$A:$A,Raw_Risk_Profiles!$D:$D,"")</f>
        <v/>
      </c>
      <c r="K255" s="4">
        <f>IFERROR(INDEX(Raw_Risk_Profiles!$E:$E,MATCH(B255,Raw_Risk_Profiles!$A:$A,0)),"Unknown")</f>
        <v/>
      </c>
      <c r="L255" s="4">
        <f>IFERROR(XLOOKUP(A255,Raw_Alerts!$B:$B,Raw_Alerts!$A:$A),"No Alert")</f>
        <v/>
      </c>
      <c r="M255" s="4">
        <f>IFERROR(XLOOKUP(A255,Raw_Alerts!$B:$B,Raw_Alerts!$C:$C),"")</f>
        <v/>
      </c>
      <c r="N255" s="4">
        <f>IFERROR(XLOOKUP(A255,Raw_Alerts!$B:$B,Raw_Alerts!$D:$D),"")</f>
        <v/>
      </c>
      <c r="O255" s="4">
        <f>IFERROR(XLOOKUP(A255,Raw_Alerts!$B:$B,Raw_Alerts!$F:$F),"")</f>
        <v/>
      </c>
      <c r="P255" s="4">
        <f>IF(H255="Not Found","CRITICAL: No Risk Profile",IF(I255="Missing","WARN: Missing KYC",IF(I255="Expired","WARN: KYC Expired",IF(I255="Pending","INFO: KYC Pending","OK"))))</f>
        <v/>
      </c>
    </row>
    <row r="256">
      <c r="A256" s="2">
        <f>Raw_Transactions!A256</f>
        <v/>
      </c>
      <c r="B256" s="2">
        <f>Raw_Transactions!B256</f>
        <v/>
      </c>
      <c r="C256" s="2">
        <f>Raw_Transactions!C256</f>
        <v/>
      </c>
      <c r="D256" s="3">
        <f>Raw_Transactions!D256</f>
        <v/>
      </c>
      <c r="E256" s="2">
        <f>Raw_Transactions!E256</f>
        <v/>
      </c>
      <c r="F256" s="2">
        <f>Raw_Transactions!F256</f>
        <v/>
      </c>
      <c r="G256" s="2">
        <f>Raw_Transactions!G256</f>
        <v/>
      </c>
      <c r="H256" s="2">
        <f>XLOOKUP(B256,Raw_Risk_Profiles!$A:$A,Raw_Risk_Profiles!$B:$B,"Not Found")</f>
        <v/>
      </c>
      <c r="I256" s="2">
        <f>XLOOKUP(B256,Raw_Risk_Profiles!$A:$A,Raw_Risk_Profiles!$C:$C,"Missing")</f>
        <v/>
      </c>
      <c r="J256" s="2">
        <f>XLOOKUP(B256,Raw_Risk_Profiles!$A:$A,Raw_Risk_Profiles!$D:$D,"")</f>
        <v/>
      </c>
      <c r="K256" s="2">
        <f>IFERROR(INDEX(Raw_Risk_Profiles!$E:$E,MATCH(B256,Raw_Risk_Profiles!$A:$A,0)),"Unknown")</f>
        <v/>
      </c>
      <c r="L256" s="2">
        <f>IFERROR(XLOOKUP(A256,Raw_Alerts!$B:$B,Raw_Alerts!$A:$A),"No Alert")</f>
        <v/>
      </c>
      <c r="M256" s="2">
        <f>IFERROR(XLOOKUP(A256,Raw_Alerts!$B:$B,Raw_Alerts!$C:$C),"")</f>
        <v/>
      </c>
      <c r="N256" s="2">
        <f>IFERROR(XLOOKUP(A256,Raw_Alerts!$B:$B,Raw_Alerts!$D:$D),"")</f>
        <v/>
      </c>
      <c r="O256" s="2">
        <f>IFERROR(XLOOKUP(A256,Raw_Alerts!$B:$B,Raw_Alerts!$F:$F),"")</f>
        <v/>
      </c>
      <c r="P256" s="2">
        <f>IF(H256="Not Found","CRITICAL: No Risk Profile",IF(I256="Missing","WARN: Missing KYC",IF(I256="Expired","WARN: KYC Expired",IF(I256="Pending","INFO: KYC Pending","OK"))))</f>
        <v/>
      </c>
    </row>
    <row r="257">
      <c r="A257" s="4">
        <f>Raw_Transactions!A257</f>
        <v/>
      </c>
      <c r="B257" s="4">
        <f>Raw_Transactions!B257</f>
        <v/>
      </c>
      <c r="C257" s="4">
        <f>Raw_Transactions!C257</f>
        <v/>
      </c>
      <c r="D257" s="5">
        <f>Raw_Transactions!D257</f>
        <v/>
      </c>
      <c r="E257" s="4">
        <f>Raw_Transactions!E257</f>
        <v/>
      </c>
      <c r="F257" s="4">
        <f>Raw_Transactions!F257</f>
        <v/>
      </c>
      <c r="G257" s="4">
        <f>Raw_Transactions!G257</f>
        <v/>
      </c>
      <c r="H257" s="4">
        <f>XLOOKUP(B257,Raw_Risk_Profiles!$A:$A,Raw_Risk_Profiles!$B:$B,"Not Found")</f>
        <v/>
      </c>
      <c r="I257" s="4">
        <f>XLOOKUP(B257,Raw_Risk_Profiles!$A:$A,Raw_Risk_Profiles!$C:$C,"Missing")</f>
        <v/>
      </c>
      <c r="J257" s="4">
        <f>XLOOKUP(B257,Raw_Risk_Profiles!$A:$A,Raw_Risk_Profiles!$D:$D,"")</f>
        <v/>
      </c>
      <c r="K257" s="4">
        <f>IFERROR(INDEX(Raw_Risk_Profiles!$E:$E,MATCH(B257,Raw_Risk_Profiles!$A:$A,0)),"Unknown")</f>
        <v/>
      </c>
      <c r="L257" s="4">
        <f>IFERROR(XLOOKUP(A257,Raw_Alerts!$B:$B,Raw_Alerts!$A:$A),"No Alert")</f>
        <v/>
      </c>
      <c r="M257" s="4">
        <f>IFERROR(XLOOKUP(A257,Raw_Alerts!$B:$B,Raw_Alerts!$C:$C),"")</f>
        <v/>
      </c>
      <c r="N257" s="4">
        <f>IFERROR(XLOOKUP(A257,Raw_Alerts!$B:$B,Raw_Alerts!$D:$D),"")</f>
        <v/>
      </c>
      <c r="O257" s="4">
        <f>IFERROR(XLOOKUP(A257,Raw_Alerts!$B:$B,Raw_Alerts!$F:$F),"")</f>
        <v/>
      </c>
      <c r="P257" s="4">
        <f>IF(H257="Not Found","CRITICAL: No Risk Profile",IF(I257="Missing","WARN: Missing KYC",IF(I257="Expired","WARN: KYC Expired",IF(I257="Pending","INFO: KYC Pending","OK"))))</f>
        <v/>
      </c>
    </row>
    <row r="258">
      <c r="A258" s="2">
        <f>Raw_Transactions!A258</f>
        <v/>
      </c>
      <c r="B258" s="2">
        <f>Raw_Transactions!B258</f>
        <v/>
      </c>
      <c r="C258" s="2">
        <f>Raw_Transactions!C258</f>
        <v/>
      </c>
      <c r="D258" s="3">
        <f>Raw_Transactions!D258</f>
        <v/>
      </c>
      <c r="E258" s="2">
        <f>Raw_Transactions!E258</f>
        <v/>
      </c>
      <c r="F258" s="2">
        <f>Raw_Transactions!F258</f>
        <v/>
      </c>
      <c r="G258" s="2">
        <f>Raw_Transactions!G258</f>
        <v/>
      </c>
      <c r="H258" s="2">
        <f>XLOOKUP(B258,Raw_Risk_Profiles!$A:$A,Raw_Risk_Profiles!$B:$B,"Not Found")</f>
        <v/>
      </c>
      <c r="I258" s="2">
        <f>XLOOKUP(B258,Raw_Risk_Profiles!$A:$A,Raw_Risk_Profiles!$C:$C,"Missing")</f>
        <v/>
      </c>
      <c r="J258" s="2">
        <f>XLOOKUP(B258,Raw_Risk_Profiles!$A:$A,Raw_Risk_Profiles!$D:$D,"")</f>
        <v/>
      </c>
      <c r="K258" s="2">
        <f>IFERROR(INDEX(Raw_Risk_Profiles!$E:$E,MATCH(B258,Raw_Risk_Profiles!$A:$A,0)),"Unknown")</f>
        <v/>
      </c>
      <c r="L258" s="2">
        <f>IFERROR(XLOOKUP(A258,Raw_Alerts!$B:$B,Raw_Alerts!$A:$A),"No Alert")</f>
        <v/>
      </c>
      <c r="M258" s="2">
        <f>IFERROR(XLOOKUP(A258,Raw_Alerts!$B:$B,Raw_Alerts!$C:$C),"")</f>
        <v/>
      </c>
      <c r="N258" s="2">
        <f>IFERROR(XLOOKUP(A258,Raw_Alerts!$B:$B,Raw_Alerts!$D:$D),"")</f>
        <v/>
      </c>
      <c r="O258" s="2">
        <f>IFERROR(XLOOKUP(A258,Raw_Alerts!$B:$B,Raw_Alerts!$F:$F),"")</f>
        <v/>
      </c>
      <c r="P258" s="2">
        <f>IF(H258="Not Found","CRITICAL: No Risk Profile",IF(I258="Missing","WARN: Missing KYC",IF(I258="Expired","WARN: KYC Expired",IF(I258="Pending","INFO: KYC Pending","OK"))))</f>
        <v/>
      </c>
    </row>
    <row r="259">
      <c r="A259" s="4">
        <f>Raw_Transactions!A259</f>
        <v/>
      </c>
      <c r="B259" s="4">
        <f>Raw_Transactions!B259</f>
        <v/>
      </c>
      <c r="C259" s="4">
        <f>Raw_Transactions!C259</f>
        <v/>
      </c>
      <c r="D259" s="5">
        <f>Raw_Transactions!D259</f>
        <v/>
      </c>
      <c r="E259" s="4">
        <f>Raw_Transactions!E259</f>
        <v/>
      </c>
      <c r="F259" s="4">
        <f>Raw_Transactions!F259</f>
        <v/>
      </c>
      <c r="G259" s="4">
        <f>Raw_Transactions!G259</f>
        <v/>
      </c>
      <c r="H259" s="4">
        <f>XLOOKUP(B259,Raw_Risk_Profiles!$A:$A,Raw_Risk_Profiles!$B:$B,"Not Found")</f>
        <v/>
      </c>
      <c r="I259" s="4">
        <f>XLOOKUP(B259,Raw_Risk_Profiles!$A:$A,Raw_Risk_Profiles!$C:$C,"Missing")</f>
        <v/>
      </c>
      <c r="J259" s="4">
        <f>XLOOKUP(B259,Raw_Risk_Profiles!$A:$A,Raw_Risk_Profiles!$D:$D,"")</f>
        <v/>
      </c>
      <c r="K259" s="4">
        <f>IFERROR(INDEX(Raw_Risk_Profiles!$E:$E,MATCH(B259,Raw_Risk_Profiles!$A:$A,0)),"Unknown")</f>
        <v/>
      </c>
      <c r="L259" s="4">
        <f>IFERROR(XLOOKUP(A259,Raw_Alerts!$B:$B,Raw_Alerts!$A:$A),"No Alert")</f>
        <v/>
      </c>
      <c r="M259" s="4">
        <f>IFERROR(XLOOKUP(A259,Raw_Alerts!$B:$B,Raw_Alerts!$C:$C),"")</f>
        <v/>
      </c>
      <c r="N259" s="4">
        <f>IFERROR(XLOOKUP(A259,Raw_Alerts!$B:$B,Raw_Alerts!$D:$D),"")</f>
        <v/>
      </c>
      <c r="O259" s="4">
        <f>IFERROR(XLOOKUP(A259,Raw_Alerts!$B:$B,Raw_Alerts!$F:$F),"")</f>
        <v/>
      </c>
      <c r="P259" s="4">
        <f>IF(H259="Not Found","CRITICAL: No Risk Profile",IF(I259="Missing","WARN: Missing KYC",IF(I259="Expired","WARN: KYC Expired",IF(I259="Pending","INFO: KYC Pending","OK"))))</f>
        <v/>
      </c>
    </row>
    <row r="260">
      <c r="A260" s="2">
        <f>Raw_Transactions!A260</f>
        <v/>
      </c>
      <c r="B260" s="2">
        <f>Raw_Transactions!B260</f>
        <v/>
      </c>
      <c r="C260" s="2">
        <f>Raw_Transactions!C260</f>
        <v/>
      </c>
      <c r="D260" s="3">
        <f>Raw_Transactions!D260</f>
        <v/>
      </c>
      <c r="E260" s="2">
        <f>Raw_Transactions!E260</f>
        <v/>
      </c>
      <c r="F260" s="2">
        <f>Raw_Transactions!F260</f>
        <v/>
      </c>
      <c r="G260" s="2">
        <f>Raw_Transactions!G260</f>
        <v/>
      </c>
      <c r="H260" s="2">
        <f>XLOOKUP(B260,Raw_Risk_Profiles!$A:$A,Raw_Risk_Profiles!$B:$B,"Not Found")</f>
        <v/>
      </c>
      <c r="I260" s="2">
        <f>XLOOKUP(B260,Raw_Risk_Profiles!$A:$A,Raw_Risk_Profiles!$C:$C,"Missing")</f>
        <v/>
      </c>
      <c r="J260" s="2">
        <f>XLOOKUP(B260,Raw_Risk_Profiles!$A:$A,Raw_Risk_Profiles!$D:$D,"")</f>
        <v/>
      </c>
      <c r="K260" s="2">
        <f>IFERROR(INDEX(Raw_Risk_Profiles!$E:$E,MATCH(B260,Raw_Risk_Profiles!$A:$A,0)),"Unknown")</f>
        <v/>
      </c>
      <c r="L260" s="2">
        <f>IFERROR(XLOOKUP(A260,Raw_Alerts!$B:$B,Raw_Alerts!$A:$A),"No Alert")</f>
        <v/>
      </c>
      <c r="M260" s="2">
        <f>IFERROR(XLOOKUP(A260,Raw_Alerts!$B:$B,Raw_Alerts!$C:$C),"")</f>
        <v/>
      </c>
      <c r="N260" s="2">
        <f>IFERROR(XLOOKUP(A260,Raw_Alerts!$B:$B,Raw_Alerts!$D:$D),"")</f>
        <v/>
      </c>
      <c r="O260" s="2">
        <f>IFERROR(XLOOKUP(A260,Raw_Alerts!$B:$B,Raw_Alerts!$F:$F),"")</f>
        <v/>
      </c>
      <c r="P260" s="2">
        <f>IF(H260="Not Found","CRITICAL: No Risk Profile",IF(I260="Missing","WARN: Missing KYC",IF(I260="Expired","WARN: KYC Expired",IF(I260="Pending","INFO: KYC Pending","OK"))))</f>
        <v/>
      </c>
    </row>
    <row r="261">
      <c r="A261" s="4">
        <f>Raw_Transactions!A261</f>
        <v/>
      </c>
      <c r="B261" s="4">
        <f>Raw_Transactions!B261</f>
        <v/>
      </c>
      <c r="C261" s="4">
        <f>Raw_Transactions!C261</f>
        <v/>
      </c>
      <c r="D261" s="5">
        <f>Raw_Transactions!D261</f>
        <v/>
      </c>
      <c r="E261" s="4">
        <f>Raw_Transactions!E261</f>
        <v/>
      </c>
      <c r="F261" s="4">
        <f>Raw_Transactions!F261</f>
        <v/>
      </c>
      <c r="G261" s="4">
        <f>Raw_Transactions!G261</f>
        <v/>
      </c>
      <c r="H261" s="4">
        <f>XLOOKUP(B261,Raw_Risk_Profiles!$A:$A,Raw_Risk_Profiles!$B:$B,"Not Found")</f>
        <v/>
      </c>
      <c r="I261" s="4">
        <f>XLOOKUP(B261,Raw_Risk_Profiles!$A:$A,Raw_Risk_Profiles!$C:$C,"Missing")</f>
        <v/>
      </c>
      <c r="J261" s="4">
        <f>XLOOKUP(B261,Raw_Risk_Profiles!$A:$A,Raw_Risk_Profiles!$D:$D,"")</f>
        <v/>
      </c>
      <c r="K261" s="4">
        <f>IFERROR(INDEX(Raw_Risk_Profiles!$E:$E,MATCH(B261,Raw_Risk_Profiles!$A:$A,0)),"Unknown")</f>
        <v/>
      </c>
      <c r="L261" s="4">
        <f>IFERROR(XLOOKUP(A261,Raw_Alerts!$B:$B,Raw_Alerts!$A:$A),"No Alert")</f>
        <v/>
      </c>
      <c r="M261" s="4">
        <f>IFERROR(XLOOKUP(A261,Raw_Alerts!$B:$B,Raw_Alerts!$C:$C),"")</f>
        <v/>
      </c>
      <c r="N261" s="4">
        <f>IFERROR(XLOOKUP(A261,Raw_Alerts!$B:$B,Raw_Alerts!$D:$D),"")</f>
        <v/>
      </c>
      <c r="O261" s="4">
        <f>IFERROR(XLOOKUP(A261,Raw_Alerts!$B:$B,Raw_Alerts!$F:$F),"")</f>
        <v/>
      </c>
      <c r="P261" s="4">
        <f>IF(H261="Not Found","CRITICAL: No Risk Profile",IF(I261="Missing","WARN: Missing KYC",IF(I261="Expired","WARN: KYC Expired",IF(I261="Pending","INFO: KYC Pending","OK"))))</f>
        <v/>
      </c>
    </row>
    <row r="262">
      <c r="A262" s="2">
        <f>Raw_Transactions!A262</f>
        <v/>
      </c>
      <c r="B262" s="2">
        <f>Raw_Transactions!B262</f>
        <v/>
      </c>
      <c r="C262" s="2">
        <f>Raw_Transactions!C262</f>
        <v/>
      </c>
      <c r="D262" s="3">
        <f>Raw_Transactions!D262</f>
        <v/>
      </c>
      <c r="E262" s="2">
        <f>Raw_Transactions!E262</f>
        <v/>
      </c>
      <c r="F262" s="2">
        <f>Raw_Transactions!F262</f>
        <v/>
      </c>
      <c r="G262" s="2">
        <f>Raw_Transactions!G262</f>
        <v/>
      </c>
      <c r="H262" s="2">
        <f>XLOOKUP(B262,Raw_Risk_Profiles!$A:$A,Raw_Risk_Profiles!$B:$B,"Not Found")</f>
        <v/>
      </c>
      <c r="I262" s="2">
        <f>XLOOKUP(B262,Raw_Risk_Profiles!$A:$A,Raw_Risk_Profiles!$C:$C,"Missing")</f>
        <v/>
      </c>
      <c r="J262" s="2">
        <f>XLOOKUP(B262,Raw_Risk_Profiles!$A:$A,Raw_Risk_Profiles!$D:$D,"")</f>
        <v/>
      </c>
      <c r="K262" s="2">
        <f>IFERROR(INDEX(Raw_Risk_Profiles!$E:$E,MATCH(B262,Raw_Risk_Profiles!$A:$A,0)),"Unknown")</f>
        <v/>
      </c>
      <c r="L262" s="2">
        <f>IFERROR(XLOOKUP(A262,Raw_Alerts!$B:$B,Raw_Alerts!$A:$A),"No Alert")</f>
        <v/>
      </c>
      <c r="M262" s="2">
        <f>IFERROR(XLOOKUP(A262,Raw_Alerts!$B:$B,Raw_Alerts!$C:$C),"")</f>
        <v/>
      </c>
      <c r="N262" s="2">
        <f>IFERROR(XLOOKUP(A262,Raw_Alerts!$B:$B,Raw_Alerts!$D:$D),"")</f>
        <v/>
      </c>
      <c r="O262" s="2">
        <f>IFERROR(XLOOKUP(A262,Raw_Alerts!$B:$B,Raw_Alerts!$F:$F),"")</f>
        <v/>
      </c>
      <c r="P262" s="2">
        <f>IF(H262="Not Found","CRITICAL: No Risk Profile",IF(I262="Missing","WARN: Missing KYC",IF(I262="Expired","WARN: KYC Expired",IF(I262="Pending","INFO: KYC Pending","OK"))))</f>
        <v/>
      </c>
    </row>
    <row r="263">
      <c r="A263" s="4">
        <f>Raw_Transactions!A263</f>
        <v/>
      </c>
      <c r="B263" s="4">
        <f>Raw_Transactions!B263</f>
        <v/>
      </c>
      <c r="C263" s="4">
        <f>Raw_Transactions!C263</f>
        <v/>
      </c>
      <c r="D263" s="5">
        <f>Raw_Transactions!D263</f>
        <v/>
      </c>
      <c r="E263" s="4">
        <f>Raw_Transactions!E263</f>
        <v/>
      </c>
      <c r="F263" s="4">
        <f>Raw_Transactions!F263</f>
        <v/>
      </c>
      <c r="G263" s="4">
        <f>Raw_Transactions!G263</f>
        <v/>
      </c>
      <c r="H263" s="4">
        <f>XLOOKUP(B263,Raw_Risk_Profiles!$A:$A,Raw_Risk_Profiles!$B:$B,"Not Found")</f>
        <v/>
      </c>
      <c r="I263" s="4">
        <f>XLOOKUP(B263,Raw_Risk_Profiles!$A:$A,Raw_Risk_Profiles!$C:$C,"Missing")</f>
        <v/>
      </c>
      <c r="J263" s="4">
        <f>XLOOKUP(B263,Raw_Risk_Profiles!$A:$A,Raw_Risk_Profiles!$D:$D,"")</f>
        <v/>
      </c>
      <c r="K263" s="4">
        <f>IFERROR(INDEX(Raw_Risk_Profiles!$E:$E,MATCH(B263,Raw_Risk_Profiles!$A:$A,0)),"Unknown")</f>
        <v/>
      </c>
      <c r="L263" s="4">
        <f>IFERROR(XLOOKUP(A263,Raw_Alerts!$B:$B,Raw_Alerts!$A:$A),"No Alert")</f>
        <v/>
      </c>
      <c r="M263" s="4">
        <f>IFERROR(XLOOKUP(A263,Raw_Alerts!$B:$B,Raw_Alerts!$C:$C),"")</f>
        <v/>
      </c>
      <c r="N263" s="4">
        <f>IFERROR(XLOOKUP(A263,Raw_Alerts!$B:$B,Raw_Alerts!$D:$D),"")</f>
        <v/>
      </c>
      <c r="O263" s="4">
        <f>IFERROR(XLOOKUP(A263,Raw_Alerts!$B:$B,Raw_Alerts!$F:$F),"")</f>
        <v/>
      </c>
      <c r="P263" s="4">
        <f>IF(H263="Not Found","CRITICAL: No Risk Profile",IF(I263="Missing","WARN: Missing KYC",IF(I263="Expired","WARN: KYC Expired",IF(I263="Pending","INFO: KYC Pending","OK"))))</f>
        <v/>
      </c>
    </row>
    <row r="264">
      <c r="A264" s="2">
        <f>Raw_Transactions!A264</f>
        <v/>
      </c>
      <c r="B264" s="2">
        <f>Raw_Transactions!B264</f>
        <v/>
      </c>
      <c r="C264" s="2">
        <f>Raw_Transactions!C264</f>
        <v/>
      </c>
      <c r="D264" s="3">
        <f>Raw_Transactions!D264</f>
        <v/>
      </c>
      <c r="E264" s="2">
        <f>Raw_Transactions!E264</f>
        <v/>
      </c>
      <c r="F264" s="2">
        <f>Raw_Transactions!F264</f>
        <v/>
      </c>
      <c r="G264" s="2">
        <f>Raw_Transactions!G264</f>
        <v/>
      </c>
      <c r="H264" s="2">
        <f>XLOOKUP(B264,Raw_Risk_Profiles!$A:$A,Raw_Risk_Profiles!$B:$B,"Not Found")</f>
        <v/>
      </c>
      <c r="I264" s="2">
        <f>XLOOKUP(B264,Raw_Risk_Profiles!$A:$A,Raw_Risk_Profiles!$C:$C,"Missing")</f>
        <v/>
      </c>
      <c r="J264" s="2">
        <f>XLOOKUP(B264,Raw_Risk_Profiles!$A:$A,Raw_Risk_Profiles!$D:$D,"")</f>
        <v/>
      </c>
      <c r="K264" s="2">
        <f>IFERROR(INDEX(Raw_Risk_Profiles!$E:$E,MATCH(B264,Raw_Risk_Profiles!$A:$A,0)),"Unknown")</f>
        <v/>
      </c>
      <c r="L264" s="2">
        <f>IFERROR(XLOOKUP(A264,Raw_Alerts!$B:$B,Raw_Alerts!$A:$A),"No Alert")</f>
        <v/>
      </c>
      <c r="M264" s="2">
        <f>IFERROR(XLOOKUP(A264,Raw_Alerts!$B:$B,Raw_Alerts!$C:$C),"")</f>
        <v/>
      </c>
      <c r="N264" s="2">
        <f>IFERROR(XLOOKUP(A264,Raw_Alerts!$B:$B,Raw_Alerts!$D:$D),"")</f>
        <v/>
      </c>
      <c r="O264" s="2">
        <f>IFERROR(XLOOKUP(A264,Raw_Alerts!$B:$B,Raw_Alerts!$F:$F),"")</f>
        <v/>
      </c>
      <c r="P264" s="2">
        <f>IF(H264="Not Found","CRITICAL: No Risk Profile",IF(I264="Missing","WARN: Missing KYC",IF(I264="Expired","WARN: KYC Expired",IF(I264="Pending","INFO: KYC Pending","OK"))))</f>
        <v/>
      </c>
    </row>
    <row r="265">
      <c r="A265" s="4">
        <f>Raw_Transactions!A265</f>
        <v/>
      </c>
      <c r="B265" s="4">
        <f>Raw_Transactions!B265</f>
        <v/>
      </c>
      <c r="C265" s="4">
        <f>Raw_Transactions!C265</f>
        <v/>
      </c>
      <c r="D265" s="5">
        <f>Raw_Transactions!D265</f>
        <v/>
      </c>
      <c r="E265" s="4">
        <f>Raw_Transactions!E265</f>
        <v/>
      </c>
      <c r="F265" s="4">
        <f>Raw_Transactions!F265</f>
        <v/>
      </c>
      <c r="G265" s="4">
        <f>Raw_Transactions!G265</f>
        <v/>
      </c>
      <c r="H265" s="4">
        <f>XLOOKUP(B265,Raw_Risk_Profiles!$A:$A,Raw_Risk_Profiles!$B:$B,"Not Found")</f>
        <v/>
      </c>
      <c r="I265" s="4">
        <f>XLOOKUP(B265,Raw_Risk_Profiles!$A:$A,Raw_Risk_Profiles!$C:$C,"Missing")</f>
        <v/>
      </c>
      <c r="J265" s="4">
        <f>XLOOKUP(B265,Raw_Risk_Profiles!$A:$A,Raw_Risk_Profiles!$D:$D,"")</f>
        <v/>
      </c>
      <c r="K265" s="4">
        <f>IFERROR(INDEX(Raw_Risk_Profiles!$E:$E,MATCH(B265,Raw_Risk_Profiles!$A:$A,0)),"Unknown")</f>
        <v/>
      </c>
      <c r="L265" s="4">
        <f>IFERROR(XLOOKUP(A265,Raw_Alerts!$B:$B,Raw_Alerts!$A:$A),"No Alert")</f>
        <v/>
      </c>
      <c r="M265" s="4">
        <f>IFERROR(XLOOKUP(A265,Raw_Alerts!$B:$B,Raw_Alerts!$C:$C),"")</f>
        <v/>
      </c>
      <c r="N265" s="4">
        <f>IFERROR(XLOOKUP(A265,Raw_Alerts!$B:$B,Raw_Alerts!$D:$D),"")</f>
        <v/>
      </c>
      <c r="O265" s="4">
        <f>IFERROR(XLOOKUP(A265,Raw_Alerts!$B:$B,Raw_Alerts!$F:$F),"")</f>
        <v/>
      </c>
      <c r="P265" s="4">
        <f>IF(H265="Not Found","CRITICAL: No Risk Profile",IF(I265="Missing","WARN: Missing KYC",IF(I265="Expired","WARN: KYC Expired",IF(I265="Pending","INFO: KYC Pending","OK"))))</f>
        <v/>
      </c>
    </row>
    <row r="266">
      <c r="A266" s="2">
        <f>Raw_Transactions!A266</f>
        <v/>
      </c>
      <c r="B266" s="2">
        <f>Raw_Transactions!B266</f>
        <v/>
      </c>
      <c r="C266" s="2">
        <f>Raw_Transactions!C266</f>
        <v/>
      </c>
      <c r="D266" s="3">
        <f>Raw_Transactions!D266</f>
        <v/>
      </c>
      <c r="E266" s="2">
        <f>Raw_Transactions!E266</f>
        <v/>
      </c>
      <c r="F266" s="2">
        <f>Raw_Transactions!F266</f>
        <v/>
      </c>
      <c r="G266" s="2">
        <f>Raw_Transactions!G266</f>
        <v/>
      </c>
      <c r="H266" s="2">
        <f>XLOOKUP(B266,Raw_Risk_Profiles!$A:$A,Raw_Risk_Profiles!$B:$B,"Not Found")</f>
        <v/>
      </c>
      <c r="I266" s="2">
        <f>XLOOKUP(B266,Raw_Risk_Profiles!$A:$A,Raw_Risk_Profiles!$C:$C,"Missing")</f>
        <v/>
      </c>
      <c r="J266" s="2">
        <f>XLOOKUP(B266,Raw_Risk_Profiles!$A:$A,Raw_Risk_Profiles!$D:$D,"")</f>
        <v/>
      </c>
      <c r="K266" s="2">
        <f>IFERROR(INDEX(Raw_Risk_Profiles!$E:$E,MATCH(B266,Raw_Risk_Profiles!$A:$A,0)),"Unknown")</f>
        <v/>
      </c>
      <c r="L266" s="2">
        <f>IFERROR(XLOOKUP(A266,Raw_Alerts!$B:$B,Raw_Alerts!$A:$A),"No Alert")</f>
        <v/>
      </c>
      <c r="M266" s="2">
        <f>IFERROR(XLOOKUP(A266,Raw_Alerts!$B:$B,Raw_Alerts!$C:$C),"")</f>
        <v/>
      </c>
      <c r="N266" s="2">
        <f>IFERROR(XLOOKUP(A266,Raw_Alerts!$B:$B,Raw_Alerts!$D:$D),"")</f>
        <v/>
      </c>
      <c r="O266" s="2">
        <f>IFERROR(XLOOKUP(A266,Raw_Alerts!$B:$B,Raw_Alerts!$F:$F),"")</f>
        <v/>
      </c>
      <c r="P266" s="2">
        <f>IF(H266="Not Found","CRITICAL: No Risk Profile",IF(I266="Missing","WARN: Missing KYC",IF(I266="Expired","WARN: KYC Expired",IF(I266="Pending","INFO: KYC Pending","OK"))))</f>
        <v/>
      </c>
    </row>
    <row r="267">
      <c r="A267" s="4">
        <f>Raw_Transactions!A267</f>
        <v/>
      </c>
      <c r="B267" s="4">
        <f>Raw_Transactions!B267</f>
        <v/>
      </c>
      <c r="C267" s="4">
        <f>Raw_Transactions!C267</f>
        <v/>
      </c>
      <c r="D267" s="5">
        <f>Raw_Transactions!D267</f>
        <v/>
      </c>
      <c r="E267" s="4">
        <f>Raw_Transactions!E267</f>
        <v/>
      </c>
      <c r="F267" s="4">
        <f>Raw_Transactions!F267</f>
        <v/>
      </c>
      <c r="G267" s="4">
        <f>Raw_Transactions!G267</f>
        <v/>
      </c>
      <c r="H267" s="4">
        <f>XLOOKUP(B267,Raw_Risk_Profiles!$A:$A,Raw_Risk_Profiles!$B:$B,"Not Found")</f>
        <v/>
      </c>
      <c r="I267" s="4">
        <f>XLOOKUP(B267,Raw_Risk_Profiles!$A:$A,Raw_Risk_Profiles!$C:$C,"Missing")</f>
        <v/>
      </c>
      <c r="J267" s="4">
        <f>XLOOKUP(B267,Raw_Risk_Profiles!$A:$A,Raw_Risk_Profiles!$D:$D,"")</f>
        <v/>
      </c>
      <c r="K267" s="4">
        <f>IFERROR(INDEX(Raw_Risk_Profiles!$E:$E,MATCH(B267,Raw_Risk_Profiles!$A:$A,0)),"Unknown")</f>
        <v/>
      </c>
      <c r="L267" s="4">
        <f>IFERROR(XLOOKUP(A267,Raw_Alerts!$B:$B,Raw_Alerts!$A:$A),"No Alert")</f>
        <v/>
      </c>
      <c r="M267" s="4">
        <f>IFERROR(XLOOKUP(A267,Raw_Alerts!$B:$B,Raw_Alerts!$C:$C),"")</f>
        <v/>
      </c>
      <c r="N267" s="4">
        <f>IFERROR(XLOOKUP(A267,Raw_Alerts!$B:$B,Raw_Alerts!$D:$D),"")</f>
        <v/>
      </c>
      <c r="O267" s="4">
        <f>IFERROR(XLOOKUP(A267,Raw_Alerts!$B:$B,Raw_Alerts!$F:$F),"")</f>
        <v/>
      </c>
      <c r="P267" s="4">
        <f>IF(H267="Not Found","CRITICAL: No Risk Profile",IF(I267="Missing","WARN: Missing KYC",IF(I267="Expired","WARN: KYC Expired",IF(I267="Pending","INFO: KYC Pending","OK"))))</f>
        <v/>
      </c>
    </row>
    <row r="268">
      <c r="A268" s="2">
        <f>Raw_Transactions!A268</f>
        <v/>
      </c>
      <c r="B268" s="2">
        <f>Raw_Transactions!B268</f>
        <v/>
      </c>
      <c r="C268" s="2">
        <f>Raw_Transactions!C268</f>
        <v/>
      </c>
      <c r="D268" s="3">
        <f>Raw_Transactions!D268</f>
        <v/>
      </c>
      <c r="E268" s="2">
        <f>Raw_Transactions!E268</f>
        <v/>
      </c>
      <c r="F268" s="2">
        <f>Raw_Transactions!F268</f>
        <v/>
      </c>
      <c r="G268" s="2">
        <f>Raw_Transactions!G268</f>
        <v/>
      </c>
      <c r="H268" s="2">
        <f>XLOOKUP(B268,Raw_Risk_Profiles!$A:$A,Raw_Risk_Profiles!$B:$B,"Not Found")</f>
        <v/>
      </c>
      <c r="I268" s="2">
        <f>XLOOKUP(B268,Raw_Risk_Profiles!$A:$A,Raw_Risk_Profiles!$C:$C,"Missing")</f>
        <v/>
      </c>
      <c r="J268" s="2">
        <f>XLOOKUP(B268,Raw_Risk_Profiles!$A:$A,Raw_Risk_Profiles!$D:$D,"")</f>
        <v/>
      </c>
      <c r="K268" s="2">
        <f>IFERROR(INDEX(Raw_Risk_Profiles!$E:$E,MATCH(B268,Raw_Risk_Profiles!$A:$A,0)),"Unknown")</f>
        <v/>
      </c>
      <c r="L268" s="2">
        <f>IFERROR(XLOOKUP(A268,Raw_Alerts!$B:$B,Raw_Alerts!$A:$A),"No Alert")</f>
        <v/>
      </c>
      <c r="M268" s="2">
        <f>IFERROR(XLOOKUP(A268,Raw_Alerts!$B:$B,Raw_Alerts!$C:$C),"")</f>
        <v/>
      </c>
      <c r="N268" s="2">
        <f>IFERROR(XLOOKUP(A268,Raw_Alerts!$B:$B,Raw_Alerts!$D:$D),"")</f>
        <v/>
      </c>
      <c r="O268" s="2">
        <f>IFERROR(XLOOKUP(A268,Raw_Alerts!$B:$B,Raw_Alerts!$F:$F),"")</f>
        <v/>
      </c>
      <c r="P268" s="2">
        <f>IF(H268="Not Found","CRITICAL: No Risk Profile",IF(I268="Missing","WARN: Missing KYC",IF(I268="Expired","WARN: KYC Expired",IF(I268="Pending","INFO: KYC Pending","OK"))))</f>
        <v/>
      </c>
    </row>
    <row r="269">
      <c r="A269" s="4">
        <f>Raw_Transactions!A269</f>
        <v/>
      </c>
      <c r="B269" s="4">
        <f>Raw_Transactions!B269</f>
        <v/>
      </c>
      <c r="C269" s="4">
        <f>Raw_Transactions!C269</f>
        <v/>
      </c>
      <c r="D269" s="5">
        <f>Raw_Transactions!D269</f>
        <v/>
      </c>
      <c r="E269" s="4">
        <f>Raw_Transactions!E269</f>
        <v/>
      </c>
      <c r="F269" s="4">
        <f>Raw_Transactions!F269</f>
        <v/>
      </c>
      <c r="G269" s="4">
        <f>Raw_Transactions!G269</f>
        <v/>
      </c>
      <c r="H269" s="4">
        <f>XLOOKUP(B269,Raw_Risk_Profiles!$A:$A,Raw_Risk_Profiles!$B:$B,"Not Found")</f>
        <v/>
      </c>
      <c r="I269" s="4">
        <f>XLOOKUP(B269,Raw_Risk_Profiles!$A:$A,Raw_Risk_Profiles!$C:$C,"Missing")</f>
        <v/>
      </c>
      <c r="J269" s="4">
        <f>XLOOKUP(B269,Raw_Risk_Profiles!$A:$A,Raw_Risk_Profiles!$D:$D,"")</f>
        <v/>
      </c>
      <c r="K269" s="4">
        <f>IFERROR(INDEX(Raw_Risk_Profiles!$E:$E,MATCH(B269,Raw_Risk_Profiles!$A:$A,0)),"Unknown")</f>
        <v/>
      </c>
      <c r="L269" s="4">
        <f>IFERROR(XLOOKUP(A269,Raw_Alerts!$B:$B,Raw_Alerts!$A:$A),"No Alert")</f>
        <v/>
      </c>
      <c r="M269" s="4">
        <f>IFERROR(XLOOKUP(A269,Raw_Alerts!$B:$B,Raw_Alerts!$C:$C),"")</f>
        <v/>
      </c>
      <c r="N269" s="4">
        <f>IFERROR(XLOOKUP(A269,Raw_Alerts!$B:$B,Raw_Alerts!$D:$D),"")</f>
        <v/>
      </c>
      <c r="O269" s="4">
        <f>IFERROR(XLOOKUP(A269,Raw_Alerts!$B:$B,Raw_Alerts!$F:$F),"")</f>
        <v/>
      </c>
      <c r="P269" s="4">
        <f>IF(H269="Not Found","CRITICAL: No Risk Profile",IF(I269="Missing","WARN: Missing KYC",IF(I269="Expired","WARN: KYC Expired",IF(I269="Pending","INFO: KYC Pending","OK"))))</f>
        <v/>
      </c>
    </row>
    <row r="270">
      <c r="A270" s="2">
        <f>Raw_Transactions!A270</f>
        <v/>
      </c>
      <c r="B270" s="2">
        <f>Raw_Transactions!B270</f>
        <v/>
      </c>
      <c r="C270" s="2">
        <f>Raw_Transactions!C270</f>
        <v/>
      </c>
      <c r="D270" s="3">
        <f>Raw_Transactions!D270</f>
        <v/>
      </c>
      <c r="E270" s="2">
        <f>Raw_Transactions!E270</f>
        <v/>
      </c>
      <c r="F270" s="2">
        <f>Raw_Transactions!F270</f>
        <v/>
      </c>
      <c r="G270" s="2">
        <f>Raw_Transactions!G270</f>
        <v/>
      </c>
      <c r="H270" s="2">
        <f>XLOOKUP(B270,Raw_Risk_Profiles!$A:$A,Raw_Risk_Profiles!$B:$B,"Not Found")</f>
        <v/>
      </c>
      <c r="I270" s="2">
        <f>XLOOKUP(B270,Raw_Risk_Profiles!$A:$A,Raw_Risk_Profiles!$C:$C,"Missing")</f>
        <v/>
      </c>
      <c r="J270" s="2">
        <f>XLOOKUP(B270,Raw_Risk_Profiles!$A:$A,Raw_Risk_Profiles!$D:$D,"")</f>
        <v/>
      </c>
      <c r="K270" s="2">
        <f>IFERROR(INDEX(Raw_Risk_Profiles!$E:$E,MATCH(B270,Raw_Risk_Profiles!$A:$A,0)),"Unknown")</f>
        <v/>
      </c>
      <c r="L270" s="2">
        <f>IFERROR(XLOOKUP(A270,Raw_Alerts!$B:$B,Raw_Alerts!$A:$A),"No Alert")</f>
        <v/>
      </c>
      <c r="M270" s="2">
        <f>IFERROR(XLOOKUP(A270,Raw_Alerts!$B:$B,Raw_Alerts!$C:$C),"")</f>
        <v/>
      </c>
      <c r="N270" s="2">
        <f>IFERROR(XLOOKUP(A270,Raw_Alerts!$B:$B,Raw_Alerts!$D:$D),"")</f>
        <v/>
      </c>
      <c r="O270" s="2">
        <f>IFERROR(XLOOKUP(A270,Raw_Alerts!$B:$B,Raw_Alerts!$F:$F),"")</f>
        <v/>
      </c>
      <c r="P270" s="2">
        <f>IF(H270="Not Found","CRITICAL: No Risk Profile",IF(I270="Missing","WARN: Missing KYC",IF(I270="Expired","WARN: KYC Expired",IF(I270="Pending","INFO: KYC Pending","OK"))))</f>
        <v/>
      </c>
    </row>
    <row r="271">
      <c r="A271" s="4">
        <f>Raw_Transactions!A271</f>
        <v/>
      </c>
      <c r="B271" s="4">
        <f>Raw_Transactions!B271</f>
        <v/>
      </c>
      <c r="C271" s="4">
        <f>Raw_Transactions!C271</f>
        <v/>
      </c>
      <c r="D271" s="5">
        <f>Raw_Transactions!D271</f>
        <v/>
      </c>
      <c r="E271" s="4">
        <f>Raw_Transactions!E271</f>
        <v/>
      </c>
      <c r="F271" s="4">
        <f>Raw_Transactions!F271</f>
        <v/>
      </c>
      <c r="G271" s="4">
        <f>Raw_Transactions!G271</f>
        <v/>
      </c>
      <c r="H271" s="4">
        <f>XLOOKUP(B271,Raw_Risk_Profiles!$A:$A,Raw_Risk_Profiles!$B:$B,"Not Found")</f>
        <v/>
      </c>
      <c r="I271" s="4">
        <f>XLOOKUP(B271,Raw_Risk_Profiles!$A:$A,Raw_Risk_Profiles!$C:$C,"Missing")</f>
        <v/>
      </c>
      <c r="J271" s="4">
        <f>XLOOKUP(B271,Raw_Risk_Profiles!$A:$A,Raw_Risk_Profiles!$D:$D,"")</f>
        <v/>
      </c>
      <c r="K271" s="4">
        <f>IFERROR(INDEX(Raw_Risk_Profiles!$E:$E,MATCH(B271,Raw_Risk_Profiles!$A:$A,0)),"Unknown")</f>
        <v/>
      </c>
      <c r="L271" s="4">
        <f>IFERROR(XLOOKUP(A271,Raw_Alerts!$B:$B,Raw_Alerts!$A:$A),"No Alert")</f>
        <v/>
      </c>
      <c r="M271" s="4">
        <f>IFERROR(XLOOKUP(A271,Raw_Alerts!$B:$B,Raw_Alerts!$C:$C),"")</f>
        <v/>
      </c>
      <c r="N271" s="4">
        <f>IFERROR(XLOOKUP(A271,Raw_Alerts!$B:$B,Raw_Alerts!$D:$D),"")</f>
        <v/>
      </c>
      <c r="O271" s="4">
        <f>IFERROR(XLOOKUP(A271,Raw_Alerts!$B:$B,Raw_Alerts!$F:$F),"")</f>
        <v/>
      </c>
      <c r="P271" s="4">
        <f>IF(H271="Not Found","CRITICAL: No Risk Profile",IF(I271="Missing","WARN: Missing KYC",IF(I271="Expired","WARN: KYC Expired",IF(I271="Pending","INFO: KYC Pending","OK"))))</f>
        <v/>
      </c>
    </row>
    <row r="272">
      <c r="A272" s="2">
        <f>Raw_Transactions!A272</f>
        <v/>
      </c>
      <c r="B272" s="2">
        <f>Raw_Transactions!B272</f>
        <v/>
      </c>
      <c r="C272" s="2">
        <f>Raw_Transactions!C272</f>
        <v/>
      </c>
      <c r="D272" s="3">
        <f>Raw_Transactions!D272</f>
        <v/>
      </c>
      <c r="E272" s="2">
        <f>Raw_Transactions!E272</f>
        <v/>
      </c>
      <c r="F272" s="2">
        <f>Raw_Transactions!F272</f>
        <v/>
      </c>
      <c r="G272" s="2">
        <f>Raw_Transactions!G272</f>
        <v/>
      </c>
      <c r="H272" s="2">
        <f>XLOOKUP(B272,Raw_Risk_Profiles!$A:$A,Raw_Risk_Profiles!$B:$B,"Not Found")</f>
        <v/>
      </c>
      <c r="I272" s="2">
        <f>XLOOKUP(B272,Raw_Risk_Profiles!$A:$A,Raw_Risk_Profiles!$C:$C,"Missing")</f>
        <v/>
      </c>
      <c r="J272" s="2">
        <f>XLOOKUP(B272,Raw_Risk_Profiles!$A:$A,Raw_Risk_Profiles!$D:$D,"")</f>
        <v/>
      </c>
      <c r="K272" s="2">
        <f>IFERROR(INDEX(Raw_Risk_Profiles!$E:$E,MATCH(B272,Raw_Risk_Profiles!$A:$A,0)),"Unknown")</f>
        <v/>
      </c>
      <c r="L272" s="2">
        <f>IFERROR(XLOOKUP(A272,Raw_Alerts!$B:$B,Raw_Alerts!$A:$A),"No Alert")</f>
        <v/>
      </c>
      <c r="M272" s="2">
        <f>IFERROR(XLOOKUP(A272,Raw_Alerts!$B:$B,Raw_Alerts!$C:$C),"")</f>
        <v/>
      </c>
      <c r="N272" s="2">
        <f>IFERROR(XLOOKUP(A272,Raw_Alerts!$B:$B,Raw_Alerts!$D:$D),"")</f>
        <v/>
      </c>
      <c r="O272" s="2">
        <f>IFERROR(XLOOKUP(A272,Raw_Alerts!$B:$B,Raw_Alerts!$F:$F),"")</f>
        <v/>
      </c>
      <c r="P272" s="2">
        <f>IF(H272="Not Found","CRITICAL: No Risk Profile",IF(I272="Missing","WARN: Missing KYC",IF(I272="Expired","WARN: KYC Expired",IF(I272="Pending","INFO: KYC Pending","OK"))))</f>
        <v/>
      </c>
    </row>
    <row r="273">
      <c r="A273" s="4">
        <f>Raw_Transactions!A273</f>
        <v/>
      </c>
      <c r="B273" s="4">
        <f>Raw_Transactions!B273</f>
        <v/>
      </c>
      <c r="C273" s="4">
        <f>Raw_Transactions!C273</f>
        <v/>
      </c>
      <c r="D273" s="5">
        <f>Raw_Transactions!D273</f>
        <v/>
      </c>
      <c r="E273" s="4">
        <f>Raw_Transactions!E273</f>
        <v/>
      </c>
      <c r="F273" s="4">
        <f>Raw_Transactions!F273</f>
        <v/>
      </c>
      <c r="G273" s="4">
        <f>Raw_Transactions!G273</f>
        <v/>
      </c>
      <c r="H273" s="4">
        <f>XLOOKUP(B273,Raw_Risk_Profiles!$A:$A,Raw_Risk_Profiles!$B:$B,"Not Found")</f>
        <v/>
      </c>
      <c r="I273" s="4">
        <f>XLOOKUP(B273,Raw_Risk_Profiles!$A:$A,Raw_Risk_Profiles!$C:$C,"Missing")</f>
        <v/>
      </c>
      <c r="J273" s="4">
        <f>XLOOKUP(B273,Raw_Risk_Profiles!$A:$A,Raw_Risk_Profiles!$D:$D,"")</f>
        <v/>
      </c>
      <c r="K273" s="4">
        <f>IFERROR(INDEX(Raw_Risk_Profiles!$E:$E,MATCH(B273,Raw_Risk_Profiles!$A:$A,0)),"Unknown")</f>
        <v/>
      </c>
      <c r="L273" s="4">
        <f>IFERROR(XLOOKUP(A273,Raw_Alerts!$B:$B,Raw_Alerts!$A:$A),"No Alert")</f>
        <v/>
      </c>
      <c r="M273" s="4">
        <f>IFERROR(XLOOKUP(A273,Raw_Alerts!$B:$B,Raw_Alerts!$C:$C),"")</f>
        <v/>
      </c>
      <c r="N273" s="4">
        <f>IFERROR(XLOOKUP(A273,Raw_Alerts!$B:$B,Raw_Alerts!$D:$D),"")</f>
        <v/>
      </c>
      <c r="O273" s="4">
        <f>IFERROR(XLOOKUP(A273,Raw_Alerts!$B:$B,Raw_Alerts!$F:$F),"")</f>
        <v/>
      </c>
      <c r="P273" s="4">
        <f>IF(H273="Not Found","CRITICAL: No Risk Profile",IF(I273="Missing","WARN: Missing KYC",IF(I273="Expired","WARN: KYC Expired",IF(I273="Pending","INFO: KYC Pending","OK"))))</f>
        <v/>
      </c>
    </row>
    <row r="274">
      <c r="A274" s="2">
        <f>Raw_Transactions!A274</f>
        <v/>
      </c>
      <c r="B274" s="2">
        <f>Raw_Transactions!B274</f>
        <v/>
      </c>
      <c r="C274" s="2">
        <f>Raw_Transactions!C274</f>
        <v/>
      </c>
      <c r="D274" s="3">
        <f>Raw_Transactions!D274</f>
        <v/>
      </c>
      <c r="E274" s="2">
        <f>Raw_Transactions!E274</f>
        <v/>
      </c>
      <c r="F274" s="2">
        <f>Raw_Transactions!F274</f>
        <v/>
      </c>
      <c r="G274" s="2">
        <f>Raw_Transactions!G274</f>
        <v/>
      </c>
      <c r="H274" s="2">
        <f>XLOOKUP(B274,Raw_Risk_Profiles!$A:$A,Raw_Risk_Profiles!$B:$B,"Not Found")</f>
        <v/>
      </c>
      <c r="I274" s="2">
        <f>XLOOKUP(B274,Raw_Risk_Profiles!$A:$A,Raw_Risk_Profiles!$C:$C,"Missing")</f>
        <v/>
      </c>
      <c r="J274" s="2">
        <f>XLOOKUP(B274,Raw_Risk_Profiles!$A:$A,Raw_Risk_Profiles!$D:$D,"")</f>
        <v/>
      </c>
      <c r="K274" s="2">
        <f>IFERROR(INDEX(Raw_Risk_Profiles!$E:$E,MATCH(B274,Raw_Risk_Profiles!$A:$A,0)),"Unknown")</f>
        <v/>
      </c>
      <c r="L274" s="2">
        <f>IFERROR(XLOOKUP(A274,Raw_Alerts!$B:$B,Raw_Alerts!$A:$A),"No Alert")</f>
        <v/>
      </c>
      <c r="M274" s="2">
        <f>IFERROR(XLOOKUP(A274,Raw_Alerts!$B:$B,Raw_Alerts!$C:$C),"")</f>
        <v/>
      </c>
      <c r="N274" s="2">
        <f>IFERROR(XLOOKUP(A274,Raw_Alerts!$B:$B,Raw_Alerts!$D:$D),"")</f>
        <v/>
      </c>
      <c r="O274" s="2">
        <f>IFERROR(XLOOKUP(A274,Raw_Alerts!$B:$B,Raw_Alerts!$F:$F),"")</f>
        <v/>
      </c>
      <c r="P274" s="2">
        <f>IF(H274="Not Found","CRITICAL: No Risk Profile",IF(I274="Missing","WARN: Missing KYC",IF(I274="Expired","WARN: KYC Expired",IF(I274="Pending","INFO: KYC Pending","OK"))))</f>
        <v/>
      </c>
    </row>
    <row r="275">
      <c r="A275" s="4">
        <f>Raw_Transactions!A275</f>
        <v/>
      </c>
      <c r="B275" s="4">
        <f>Raw_Transactions!B275</f>
        <v/>
      </c>
      <c r="C275" s="4">
        <f>Raw_Transactions!C275</f>
        <v/>
      </c>
      <c r="D275" s="5">
        <f>Raw_Transactions!D275</f>
        <v/>
      </c>
      <c r="E275" s="4">
        <f>Raw_Transactions!E275</f>
        <v/>
      </c>
      <c r="F275" s="4">
        <f>Raw_Transactions!F275</f>
        <v/>
      </c>
      <c r="G275" s="4">
        <f>Raw_Transactions!G275</f>
        <v/>
      </c>
      <c r="H275" s="4">
        <f>XLOOKUP(B275,Raw_Risk_Profiles!$A:$A,Raw_Risk_Profiles!$B:$B,"Not Found")</f>
        <v/>
      </c>
      <c r="I275" s="4">
        <f>XLOOKUP(B275,Raw_Risk_Profiles!$A:$A,Raw_Risk_Profiles!$C:$C,"Missing")</f>
        <v/>
      </c>
      <c r="J275" s="4">
        <f>XLOOKUP(B275,Raw_Risk_Profiles!$A:$A,Raw_Risk_Profiles!$D:$D,"")</f>
        <v/>
      </c>
      <c r="K275" s="4">
        <f>IFERROR(INDEX(Raw_Risk_Profiles!$E:$E,MATCH(B275,Raw_Risk_Profiles!$A:$A,0)),"Unknown")</f>
        <v/>
      </c>
      <c r="L275" s="4">
        <f>IFERROR(XLOOKUP(A275,Raw_Alerts!$B:$B,Raw_Alerts!$A:$A),"No Alert")</f>
        <v/>
      </c>
      <c r="M275" s="4">
        <f>IFERROR(XLOOKUP(A275,Raw_Alerts!$B:$B,Raw_Alerts!$C:$C),"")</f>
        <v/>
      </c>
      <c r="N275" s="4">
        <f>IFERROR(XLOOKUP(A275,Raw_Alerts!$B:$B,Raw_Alerts!$D:$D),"")</f>
        <v/>
      </c>
      <c r="O275" s="4">
        <f>IFERROR(XLOOKUP(A275,Raw_Alerts!$B:$B,Raw_Alerts!$F:$F),"")</f>
        <v/>
      </c>
      <c r="P275" s="4">
        <f>IF(H275="Not Found","CRITICAL: No Risk Profile",IF(I275="Missing","WARN: Missing KYC",IF(I275="Expired","WARN: KYC Expired",IF(I275="Pending","INFO: KYC Pending","OK"))))</f>
        <v/>
      </c>
    </row>
    <row r="276">
      <c r="A276" s="2">
        <f>Raw_Transactions!A276</f>
        <v/>
      </c>
      <c r="B276" s="2">
        <f>Raw_Transactions!B276</f>
        <v/>
      </c>
      <c r="C276" s="2">
        <f>Raw_Transactions!C276</f>
        <v/>
      </c>
      <c r="D276" s="3">
        <f>Raw_Transactions!D276</f>
        <v/>
      </c>
      <c r="E276" s="2">
        <f>Raw_Transactions!E276</f>
        <v/>
      </c>
      <c r="F276" s="2">
        <f>Raw_Transactions!F276</f>
        <v/>
      </c>
      <c r="G276" s="2">
        <f>Raw_Transactions!G276</f>
        <v/>
      </c>
      <c r="H276" s="2">
        <f>XLOOKUP(B276,Raw_Risk_Profiles!$A:$A,Raw_Risk_Profiles!$B:$B,"Not Found")</f>
        <v/>
      </c>
      <c r="I276" s="2">
        <f>XLOOKUP(B276,Raw_Risk_Profiles!$A:$A,Raw_Risk_Profiles!$C:$C,"Missing")</f>
        <v/>
      </c>
      <c r="J276" s="2">
        <f>XLOOKUP(B276,Raw_Risk_Profiles!$A:$A,Raw_Risk_Profiles!$D:$D,"")</f>
        <v/>
      </c>
      <c r="K276" s="2">
        <f>IFERROR(INDEX(Raw_Risk_Profiles!$E:$E,MATCH(B276,Raw_Risk_Profiles!$A:$A,0)),"Unknown")</f>
        <v/>
      </c>
      <c r="L276" s="2">
        <f>IFERROR(XLOOKUP(A276,Raw_Alerts!$B:$B,Raw_Alerts!$A:$A),"No Alert")</f>
        <v/>
      </c>
      <c r="M276" s="2">
        <f>IFERROR(XLOOKUP(A276,Raw_Alerts!$B:$B,Raw_Alerts!$C:$C),"")</f>
        <v/>
      </c>
      <c r="N276" s="2">
        <f>IFERROR(XLOOKUP(A276,Raw_Alerts!$B:$B,Raw_Alerts!$D:$D),"")</f>
        <v/>
      </c>
      <c r="O276" s="2">
        <f>IFERROR(XLOOKUP(A276,Raw_Alerts!$B:$B,Raw_Alerts!$F:$F),"")</f>
        <v/>
      </c>
      <c r="P276" s="2">
        <f>IF(H276="Not Found","CRITICAL: No Risk Profile",IF(I276="Missing","WARN: Missing KYC",IF(I276="Expired","WARN: KYC Expired",IF(I276="Pending","INFO: KYC Pending","OK"))))</f>
        <v/>
      </c>
    </row>
    <row r="277">
      <c r="A277" s="4">
        <f>Raw_Transactions!A277</f>
        <v/>
      </c>
      <c r="B277" s="4">
        <f>Raw_Transactions!B277</f>
        <v/>
      </c>
      <c r="C277" s="4">
        <f>Raw_Transactions!C277</f>
        <v/>
      </c>
      <c r="D277" s="5">
        <f>Raw_Transactions!D277</f>
        <v/>
      </c>
      <c r="E277" s="4">
        <f>Raw_Transactions!E277</f>
        <v/>
      </c>
      <c r="F277" s="4">
        <f>Raw_Transactions!F277</f>
        <v/>
      </c>
      <c r="G277" s="4">
        <f>Raw_Transactions!G277</f>
        <v/>
      </c>
      <c r="H277" s="4">
        <f>XLOOKUP(B277,Raw_Risk_Profiles!$A:$A,Raw_Risk_Profiles!$B:$B,"Not Found")</f>
        <v/>
      </c>
      <c r="I277" s="4">
        <f>XLOOKUP(B277,Raw_Risk_Profiles!$A:$A,Raw_Risk_Profiles!$C:$C,"Missing")</f>
        <v/>
      </c>
      <c r="J277" s="4">
        <f>XLOOKUP(B277,Raw_Risk_Profiles!$A:$A,Raw_Risk_Profiles!$D:$D,"")</f>
        <v/>
      </c>
      <c r="K277" s="4">
        <f>IFERROR(INDEX(Raw_Risk_Profiles!$E:$E,MATCH(B277,Raw_Risk_Profiles!$A:$A,0)),"Unknown")</f>
        <v/>
      </c>
      <c r="L277" s="4">
        <f>IFERROR(XLOOKUP(A277,Raw_Alerts!$B:$B,Raw_Alerts!$A:$A),"No Alert")</f>
        <v/>
      </c>
      <c r="M277" s="4">
        <f>IFERROR(XLOOKUP(A277,Raw_Alerts!$B:$B,Raw_Alerts!$C:$C),"")</f>
        <v/>
      </c>
      <c r="N277" s="4">
        <f>IFERROR(XLOOKUP(A277,Raw_Alerts!$B:$B,Raw_Alerts!$D:$D),"")</f>
        <v/>
      </c>
      <c r="O277" s="4">
        <f>IFERROR(XLOOKUP(A277,Raw_Alerts!$B:$B,Raw_Alerts!$F:$F),"")</f>
        <v/>
      </c>
      <c r="P277" s="4">
        <f>IF(H277="Not Found","CRITICAL: No Risk Profile",IF(I277="Missing","WARN: Missing KYC",IF(I277="Expired","WARN: KYC Expired",IF(I277="Pending","INFO: KYC Pending","OK"))))</f>
        <v/>
      </c>
    </row>
    <row r="278">
      <c r="A278" s="2">
        <f>Raw_Transactions!A278</f>
        <v/>
      </c>
      <c r="B278" s="2">
        <f>Raw_Transactions!B278</f>
        <v/>
      </c>
      <c r="C278" s="2">
        <f>Raw_Transactions!C278</f>
        <v/>
      </c>
      <c r="D278" s="3">
        <f>Raw_Transactions!D278</f>
        <v/>
      </c>
      <c r="E278" s="2">
        <f>Raw_Transactions!E278</f>
        <v/>
      </c>
      <c r="F278" s="2">
        <f>Raw_Transactions!F278</f>
        <v/>
      </c>
      <c r="G278" s="2">
        <f>Raw_Transactions!G278</f>
        <v/>
      </c>
      <c r="H278" s="2">
        <f>XLOOKUP(B278,Raw_Risk_Profiles!$A:$A,Raw_Risk_Profiles!$B:$B,"Not Found")</f>
        <v/>
      </c>
      <c r="I278" s="2">
        <f>XLOOKUP(B278,Raw_Risk_Profiles!$A:$A,Raw_Risk_Profiles!$C:$C,"Missing")</f>
        <v/>
      </c>
      <c r="J278" s="2">
        <f>XLOOKUP(B278,Raw_Risk_Profiles!$A:$A,Raw_Risk_Profiles!$D:$D,"")</f>
        <v/>
      </c>
      <c r="K278" s="2">
        <f>IFERROR(INDEX(Raw_Risk_Profiles!$E:$E,MATCH(B278,Raw_Risk_Profiles!$A:$A,0)),"Unknown")</f>
        <v/>
      </c>
      <c r="L278" s="2">
        <f>IFERROR(XLOOKUP(A278,Raw_Alerts!$B:$B,Raw_Alerts!$A:$A),"No Alert")</f>
        <v/>
      </c>
      <c r="M278" s="2">
        <f>IFERROR(XLOOKUP(A278,Raw_Alerts!$B:$B,Raw_Alerts!$C:$C),"")</f>
        <v/>
      </c>
      <c r="N278" s="2">
        <f>IFERROR(XLOOKUP(A278,Raw_Alerts!$B:$B,Raw_Alerts!$D:$D),"")</f>
        <v/>
      </c>
      <c r="O278" s="2">
        <f>IFERROR(XLOOKUP(A278,Raw_Alerts!$B:$B,Raw_Alerts!$F:$F),"")</f>
        <v/>
      </c>
      <c r="P278" s="2">
        <f>IF(H278="Not Found","CRITICAL: No Risk Profile",IF(I278="Missing","WARN: Missing KYC",IF(I278="Expired","WARN: KYC Expired",IF(I278="Pending","INFO: KYC Pending","OK"))))</f>
        <v/>
      </c>
    </row>
    <row r="279">
      <c r="A279" s="4">
        <f>Raw_Transactions!A279</f>
        <v/>
      </c>
      <c r="B279" s="4">
        <f>Raw_Transactions!B279</f>
        <v/>
      </c>
      <c r="C279" s="4">
        <f>Raw_Transactions!C279</f>
        <v/>
      </c>
      <c r="D279" s="5">
        <f>Raw_Transactions!D279</f>
        <v/>
      </c>
      <c r="E279" s="4">
        <f>Raw_Transactions!E279</f>
        <v/>
      </c>
      <c r="F279" s="4">
        <f>Raw_Transactions!F279</f>
        <v/>
      </c>
      <c r="G279" s="4">
        <f>Raw_Transactions!G279</f>
        <v/>
      </c>
      <c r="H279" s="4">
        <f>XLOOKUP(B279,Raw_Risk_Profiles!$A:$A,Raw_Risk_Profiles!$B:$B,"Not Found")</f>
        <v/>
      </c>
      <c r="I279" s="4">
        <f>XLOOKUP(B279,Raw_Risk_Profiles!$A:$A,Raw_Risk_Profiles!$C:$C,"Missing")</f>
        <v/>
      </c>
      <c r="J279" s="4">
        <f>XLOOKUP(B279,Raw_Risk_Profiles!$A:$A,Raw_Risk_Profiles!$D:$D,"")</f>
        <v/>
      </c>
      <c r="K279" s="4">
        <f>IFERROR(INDEX(Raw_Risk_Profiles!$E:$E,MATCH(B279,Raw_Risk_Profiles!$A:$A,0)),"Unknown")</f>
        <v/>
      </c>
      <c r="L279" s="4">
        <f>IFERROR(XLOOKUP(A279,Raw_Alerts!$B:$B,Raw_Alerts!$A:$A),"No Alert")</f>
        <v/>
      </c>
      <c r="M279" s="4">
        <f>IFERROR(XLOOKUP(A279,Raw_Alerts!$B:$B,Raw_Alerts!$C:$C),"")</f>
        <v/>
      </c>
      <c r="N279" s="4">
        <f>IFERROR(XLOOKUP(A279,Raw_Alerts!$B:$B,Raw_Alerts!$D:$D),"")</f>
        <v/>
      </c>
      <c r="O279" s="4">
        <f>IFERROR(XLOOKUP(A279,Raw_Alerts!$B:$B,Raw_Alerts!$F:$F),"")</f>
        <v/>
      </c>
      <c r="P279" s="4">
        <f>IF(H279="Not Found","CRITICAL: No Risk Profile",IF(I279="Missing","WARN: Missing KYC",IF(I279="Expired","WARN: KYC Expired",IF(I279="Pending","INFO: KYC Pending","OK"))))</f>
        <v/>
      </c>
    </row>
    <row r="280">
      <c r="A280" s="2">
        <f>Raw_Transactions!A280</f>
        <v/>
      </c>
      <c r="B280" s="2">
        <f>Raw_Transactions!B280</f>
        <v/>
      </c>
      <c r="C280" s="2">
        <f>Raw_Transactions!C280</f>
        <v/>
      </c>
      <c r="D280" s="3">
        <f>Raw_Transactions!D280</f>
        <v/>
      </c>
      <c r="E280" s="2">
        <f>Raw_Transactions!E280</f>
        <v/>
      </c>
      <c r="F280" s="2">
        <f>Raw_Transactions!F280</f>
        <v/>
      </c>
      <c r="G280" s="2">
        <f>Raw_Transactions!G280</f>
        <v/>
      </c>
      <c r="H280" s="2">
        <f>XLOOKUP(B280,Raw_Risk_Profiles!$A:$A,Raw_Risk_Profiles!$B:$B,"Not Found")</f>
        <v/>
      </c>
      <c r="I280" s="2">
        <f>XLOOKUP(B280,Raw_Risk_Profiles!$A:$A,Raw_Risk_Profiles!$C:$C,"Missing")</f>
        <v/>
      </c>
      <c r="J280" s="2">
        <f>XLOOKUP(B280,Raw_Risk_Profiles!$A:$A,Raw_Risk_Profiles!$D:$D,"")</f>
        <v/>
      </c>
      <c r="K280" s="2">
        <f>IFERROR(INDEX(Raw_Risk_Profiles!$E:$E,MATCH(B280,Raw_Risk_Profiles!$A:$A,0)),"Unknown")</f>
        <v/>
      </c>
      <c r="L280" s="2">
        <f>IFERROR(XLOOKUP(A280,Raw_Alerts!$B:$B,Raw_Alerts!$A:$A),"No Alert")</f>
        <v/>
      </c>
      <c r="M280" s="2">
        <f>IFERROR(XLOOKUP(A280,Raw_Alerts!$B:$B,Raw_Alerts!$C:$C),"")</f>
        <v/>
      </c>
      <c r="N280" s="2">
        <f>IFERROR(XLOOKUP(A280,Raw_Alerts!$B:$B,Raw_Alerts!$D:$D),"")</f>
        <v/>
      </c>
      <c r="O280" s="2">
        <f>IFERROR(XLOOKUP(A280,Raw_Alerts!$B:$B,Raw_Alerts!$F:$F),"")</f>
        <v/>
      </c>
      <c r="P280" s="2">
        <f>IF(H280="Not Found","CRITICAL: No Risk Profile",IF(I280="Missing","WARN: Missing KYC",IF(I280="Expired","WARN: KYC Expired",IF(I280="Pending","INFO: KYC Pending","OK"))))</f>
        <v/>
      </c>
    </row>
    <row r="281">
      <c r="A281" s="4">
        <f>Raw_Transactions!A281</f>
        <v/>
      </c>
      <c r="B281" s="4">
        <f>Raw_Transactions!B281</f>
        <v/>
      </c>
      <c r="C281" s="4">
        <f>Raw_Transactions!C281</f>
        <v/>
      </c>
      <c r="D281" s="5">
        <f>Raw_Transactions!D281</f>
        <v/>
      </c>
      <c r="E281" s="4">
        <f>Raw_Transactions!E281</f>
        <v/>
      </c>
      <c r="F281" s="4">
        <f>Raw_Transactions!F281</f>
        <v/>
      </c>
      <c r="G281" s="4">
        <f>Raw_Transactions!G281</f>
        <v/>
      </c>
      <c r="H281" s="4">
        <f>XLOOKUP(B281,Raw_Risk_Profiles!$A:$A,Raw_Risk_Profiles!$B:$B,"Not Found")</f>
        <v/>
      </c>
      <c r="I281" s="4">
        <f>XLOOKUP(B281,Raw_Risk_Profiles!$A:$A,Raw_Risk_Profiles!$C:$C,"Missing")</f>
        <v/>
      </c>
      <c r="J281" s="4">
        <f>XLOOKUP(B281,Raw_Risk_Profiles!$A:$A,Raw_Risk_Profiles!$D:$D,"")</f>
        <v/>
      </c>
      <c r="K281" s="4">
        <f>IFERROR(INDEX(Raw_Risk_Profiles!$E:$E,MATCH(B281,Raw_Risk_Profiles!$A:$A,0)),"Unknown")</f>
        <v/>
      </c>
      <c r="L281" s="4">
        <f>IFERROR(XLOOKUP(A281,Raw_Alerts!$B:$B,Raw_Alerts!$A:$A),"No Alert")</f>
        <v/>
      </c>
      <c r="M281" s="4">
        <f>IFERROR(XLOOKUP(A281,Raw_Alerts!$B:$B,Raw_Alerts!$C:$C),"")</f>
        <v/>
      </c>
      <c r="N281" s="4">
        <f>IFERROR(XLOOKUP(A281,Raw_Alerts!$B:$B,Raw_Alerts!$D:$D),"")</f>
        <v/>
      </c>
      <c r="O281" s="4">
        <f>IFERROR(XLOOKUP(A281,Raw_Alerts!$B:$B,Raw_Alerts!$F:$F),"")</f>
        <v/>
      </c>
      <c r="P281" s="4">
        <f>IF(H281="Not Found","CRITICAL: No Risk Profile",IF(I281="Missing","WARN: Missing KYC",IF(I281="Expired","WARN: KYC Expired",IF(I281="Pending","INFO: KYC Pending","OK"))))</f>
        <v/>
      </c>
    </row>
    <row r="282">
      <c r="A282" s="2">
        <f>Raw_Transactions!A282</f>
        <v/>
      </c>
      <c r="B282" s="2">
        <f>Raw_Transactions!B282</f>
        <v/>
      </c>
      <c r="C282" s="2">
        <f>Raw_Transactions!C282</f>
        <v/>
      </c>
      <c r="D282" s="3">
        <f>Raw_Transactions!D282</f>
        <v/>
      </c>
      <c r="E282" s="2">
        <f>Raw_Transactions!E282</f>
        <v/>
      </c>
      <c r="F282" s="2">
        <f>Raw_Transactions!F282</f>
        <v/>
      </c>
      <c r="G282" s="2">
        <f>Raw_Transactions!G282</f>
        <v/>
      </c>
      <c r="H282" s="2">
        <f>XLOOKUP(B282,Raw_Risk_Profiles!$A:$A,Raw_Risk_Profiles!$B:$B,"Not Found")</f>
        <v/>
      </c>
      <c r="I282" s="2">
        <f>XLOOKUP(B282,Raw_Risk_Profiles!$A:$A,Raw_Risk_Profiles!$C:$C,"Missing")</f>
        <v/>
      </c>
      <c r="J282" s="2">
        <f>XLOOKUP(B282,Raw_Risk_Profiles!$A:$A,Raw_Risk_Profiles!$D:$D,"")</f>
        <v/>
      </c>
      <c r="K282" s="2">
        <f>IFERROR(INDEX(Raw_Risk_Profiles!$E:$E,MATCH(B282,Raw_Risk_Profiles!$A:$A,0)),"Unknown")</f>
        <v/>
      </c>
      <c r="L282" s="2">
        <f>IFERROR(XLOOKUP(A282,Raw_Alerts!$B:$B,Raw_Alerts!$A:$A),"No Alert")</f>
        <v/>
      </c>
      <c r="M282" s="2">
        <f>IFERROR(XLOOKUP(A282,Raw_Alerts!$B:$B,Raw_Alerts!$C:$C),"")</f>
        <v/>
      </c>
      <c r="N282" s="2">
        <f>IFERROR(XLOOKUP(A282,Raw_Alerts!$B:$B,Raw_Alerts!$D:$D),"")</f>
        <v/>
      </c>
      <c r="O282" s="2">
        <f>IFERROR(XLOOKUP(A282,Raw_Alerts!$B:$B,Raw_Alerts!$F:$F),"")</f>
        <v/>
      </c>
      <c r="P282" s="2">
        <f>IF(H282="Not Found","CRITICAL: No Risk Profile",IF(I282="Missing","WARN: Missing KYC",IF(I282="Expired","WARN: KYC Expired",IF(I282="Pending","INFO: KYC Pending","OK"))))</f>
        <v/>
      </c>
    </row>
    <row r="283">
      <c r="A283" s="4">
        <f>Raw_Transactions!A283</f>
        <v/>
      </c>
      <c r="B283" s="4">
        <f>Raw_Transactions!B283</f>
        <v/>
      </c>
      <c r="C283" s="4">
        <f>Raw_Transactions!C283</f>
        <v/>
      </c>
      <c r="D283" s="5">
        <f>Raw_Transactions!D283</f>
        <v/>
      </c>
      <c r="E283" s="4">
        <f>Raw_Transactions!E283</f>
        <v/>
      </c>
      <c r="F283" s="4">
        <f>Raw_Transactions!F283</f>
        <v/>
      </c>
      <c r="G283" s="4">
        <f>Raw_Transactions!G283</f>
        <v/>
      </c>
      <c r="H283" s="4">
        <f>XLOOKUP(B283,Raw_Risk_Profiles!$A:$A,Raw_Risk_Profiles!$B:$B,"Not Found")</f>
        <v/>
      </c>
      <c r="I283" s="4">
        <f>XLOOKUP(B283,Raw_Risk_Profiles!$A:$A,Raw_Risk_Profiles!$C:$C,"Missing")</f>
        <v/>
      </c>
      <c r="J283" s="4">
        <f>XLOOKUP(B283,Raw_Risk_Profiles!$A:$A,Raw_Risk_Profiles!$D:$D,"")</f>
        <v/>
      </c>
      <c r="K283" s="4">
        <f>IFERROR(INDEX(Raw_Risk_Profiles!$E:$E,MATCH(B283,Raw_Risk_Profiles!$A:$A,0)),"Unknown")</f>
        <v/>
      </c>
      <c r="L283" s="4">
        <f>IFERROR(XLOOKUP(A283,Raw_Alerts!$B:$B,Raw_Alerts!$A:$A),"No Alert")</f>
        <v/>
      </c>
      <c r="M283" s="4">
        <f>IFERROR(XLOOKUP(A283,Raw_Alerts!$B:$B,Raw_Alerts!$C:$C),"")</f>
        <v/>
      </c>
      <c r="N283" s="4">
        <f>IFERROR(XLOOKUP(A283,Raw_Alerts!$B:$B,Raw_Alerts!$D:$D),"")</f>
        <v/>
      </c>
      <c r="O283" s="4">
        <f>IFERROR(XLOOKUP(A283,Raw_Alerts!$B:$B,Raw_Alerts!$F:$F),"")</f>
        <v/>
      </c>
      <c r="P283" s="4">
        <f>IF(H283="Not Found","CRITICAL: No Risk Profile",IF(I283="Missing","WARN: Missing KYC",IF(I283="Expired","WARN: KYC Expired",IF(I283="Pending","INFO: KYC Pending","OK"))))</f>
        <v/>
      </c>
    </row>
    <row r="284">
      <c r="A284" s="2">
        <f>Raw_Transactions!A284</f>
        <v/>
      </c>
      <c r="B284" s="2">
        <f>Raw_Transactions!B284</f>
        <v/>
      </c>
      <c r="C284" s="2">
        <f>Raw_Transactions!C284</f>
        <v/>
      </c>
      <c r="D284" s="3">
        <f>Raw_Transactions!D284</f>
        <v/>
      </c>
      <c r="E284" s="2">
        <f>Raw_Transactions!E284</f>
        <v/>
      </c>
      <c r="F284" s="2">
        <f>Raw_Transactions!F284</f>
        <v/>
      </c>
      <c r="G284" s="2">
        <f>Raw_Transactions!G284</f>
        <v/>
      </c>
      <c r="H284" s="2">
        <f>XLOOKUP(B284,Raw_Risk_Profiles!$A:$A,Raw_Risk_Profiles!$B:$B,"Not Found")</f>
        <v/>
      </c>
      <c r="I284" s="2">
        <f>XLOOKUP(B284,Raw_Risk_Profiles!$A:$A,Raw_Risk_Profiles!$C:$C,"Missing")</f>
        <v/>
      </c>
      <c r="J284" s="2">
        <f>XLOOKUP(B284,Raw_Risk_Profiles!$A:$A,Raw_Risk_Profiles!$D:$D,"")</f>
        <v/>
      </c>
      <c r="K284" s="2">
        <f>IFERROR(INDEX(Raw_Risk_Profiles!$E:$E,MATCH(B284,Raw_Risk_Profiles!$A:$A,0)),"Unknown")</f>
        <v/>
      </c>
      <c r="L284" s="2">
        <f>IFERROR(XLOOKUP(A284,Raw_Alerts!$B:$B,Raw_Alerts!$A:$A),"No Alert")</f>
        <v/>
      </c>
      <c r="M284" s="2">
        <f>IFERROR(XLOOKUP(A284,Raw_Alerts!$B:$B,Raw_Alerts!$C:$C),"")</f>
        <v/>
      </c>
      <c r="N284" s="2">
        <f>IFERROR(XLOOKUP(A284,Raw_Alerts!$B:$B,Raw_Alerts!$D:$D),"")</f>
        <v/>
      </c>
      <c r="O284" s="2">
        <f>IFERROR(XLOOKUP(A284,Raw_Alerts!$B:$B,Raw_Alerts!$F:$F),"")</f>
        <v/>
      </c>
      <c r="P284" s="2">
        <f>IF(H284="Not Found","CRITICAL: No Risk Profile",IF(I284="Missing","WARN: Missing KYC",IF(I284="Expired","WARN: KYC Expired",IF(I284="Pending","INFO: KYC Pending","OK"))))</f>
        <v/>
      </c>
    </row>
    <row r="285">
      <c r="A285" s="4">
        <f>Raw_Transactions!A285</f>
        <v/>
      </c>
      <c r="B285" s="4">
        <f>Raw_Transactions!B285</f>
        <v/>
      </c>
      <c r="C285" s="4">
        <f>Raw_Transactions!C285</f>
        <v/>
      </c>
      <c r="D285" s="5">
        <f>Raw_Transactions!D285</f>
        <v/>
      </c>
      <c r="E285" s="4">
        <f>Raw_Transactions!E285</f>
        <v/>
      </c>
      <c r="F285" s="4">
        <f>Raw_Transactions!F285</f>
        <v/>
      </c>
      <c r="G285" s="4">
        <f>Raw_Transactions!G285</f>
        <v/>
      </c>
      <c r="H285" s="4">
        <f>XLOOKUP(B285,Raw_Risk_Profiles!$A:$A,Raw_Risk_Profiles!$B:$B,"Not Found")</f>
        <v/>
      </c>
      <c r="I285" s="4">
        <f>XLOOKUP(B285,Raw_Risk_Profiles!$A:$A,Raw_Risk_Profiles!$C:$C,"Missing")</f>
        <v/>
      </c>
      <c r="J285" s="4">
        <f>XLOOKUP(B285,Raw_Risk_Profiles!$A:$A,Raw_Risk_Profiles!$D:$D,"")</f>
        <v/>
      </c>
      <c r="K285" s="4">
        <f>IFERROR(INDEX(Raw_Risk_Profiles!$E:$E,MATCH(B285,Raw_Risk_Profiles!$A:$A,0)),"Unknown")</f>
        <v/>
      </c>
      <c r="L285" s="4">
        <f>IFERROR(XLOOKUP(A285,Raw_Alerts!$B:$B,Raw_Alerts!$A:$A),"No Alert")</f>
        <v/>
      </c>
      <c r="M285" s="4">
        <f>IFERROR(XLOOKUP(A285,Raw_Alerts!$B:$B,Raw_Alerts!$C:$C),"")</f>
        <v/>
      </c>
      <c r="N285" s="4">
        <f>IFERROR(XLOOKUP(A285,Raw_Alerts!$B:$B,Raw_Alerts!$D:$D),"")</f>
        <v/>
      </c>
      <c r="O285" s="4">
        <f>IFERROR(XLOOKUP(A285,Raw_Alerts!$B:$B,Raw_Alerts!$F:$F),"")</f>
        <v/>
      </c>
      <c r="P285" s="4">
        <f>IF(H285="Not Found","CRITICAL: No Risk Profile",IF(I285="Missing","WARN: Missing KYC",IF(I285="Expired","WARN: KYC Expired",IF(I285="Pending","INFO: KYC Pending","OK"))))</f>
        <v/>
      </c>
    </row>
    <row r="286">
      <c r="A286" s="2">
        <f>Raw_Transactions!A286</f>
        <v/>
      </c>
      <c r="B286" s="2">
        <f>Raw_Transactions!B286</f>
        <v/>
      </c>
      <c r="C286" s="2">
        <f>Raw_Transactions!C286</f>
        <v/>
      </c>
      <c r="D286" s="3">
        <f>Raw_Transactions!D286</f>
        <v/>
      </c>
      <c r="E286" s="2">
        <f>Raw_Transactions!E286</f>
        <v/>
      </c>
      <c r="F286" s="2">
        <f>Raw_Transactions!F286</f>
        <v/>
      </c>
      <c r="G286" s="2">
        <f>Raw_Transactions!G286</f>
        <v/>
      </c>
      <c r="H286" s="2">
        <f>XLOOKUP(B286,Raw_Risk_Profiles!$A:$A,Raw_Risk_Profiles!$B:$B,"Not Found")</f>
        <v/>
      </c>
      <c r="I286" s="2">
        <f>XLOOKUP(B286,Raw_Risk_Profiles!$A:$A,Raw_Risk_Profiles!$C:$C,"Missing")</f>
        <v/>
      </c>
      <c r="J286" s="2">
        <f>XLOOKUP(B286,Raw_Risk_Profiles!$A:$A,Raw_Risk_Profiles!$D:$D,"")</f>
        <v/>
      </c>
      <c r="K286" s="2">
        <f>IFERROR(INDEX(Raw_Risk_Profiles!$E:$E,MATCH(B286,Raw_Risk_Profiles!$A:$A,0)),"Unknown")</f>
        <v/>
      </c>
      <c r="L286" s="2">
        <f>IFERROR(XLOOKUP(A286,Raw_Alerts!$B:$B,Raw_Alerts!$A:$A),"No Alert")</f>
        <v/>
      </c>
      <c r="M286" s="2">
        <f>IFERROR(XLOOKUP(A286,Raw_Alerts!$B:$B,Raw_Alerts!$C:$C),"")</f>
        <v/>
      </c>
      <c r="N286" s="2">
        <f>IFERROR(XLOOKUP(A286,Raw_Alerts!$B:$B,Raw_Alerts!$D:$D),"")</f>
        <v/>
      </c>
      <c r="O286" s="2">
        <f>IFERROR(XLOOKUP(A286,Raw_Alerts!$B:$B,Raw_Alerts!$F:$F),"")</f>
        <v/>
      </c>
      <c r="P286" s="2">
        <f>IF(H286="Not Found","CRITICAL: No Risk Profile",IF(I286="Missing","WARN: Missing KYC",IF(I286="Expired","WARN: KYC Expired",IF(I286="Pending","INFO: KYC Pending","OK"))))</f>
        <v/>
      </c>
    </row>
    <row r="287">
      <c r="A287" s="4">
        <f>Raw_Transactions!A287</f>
        <v/>
      </c>
      <c r="B287" s="4">
        <f>Raw_Transactions!B287</f>
        <v/>
      </c>
      <c r="C287" s="4">
        <f>Raw_Transactions!C287</f>
        <v/>
      </c>
      <c r="D287" s="5">
        <f>Raw_Transactions!D287</f>
        <v/>
      </c>
      <c r="E287" s="4">
        <f>Raw_Transactions!E287</f>
        <v/>
      </c>
      <c r="F287" s="4">
        <f>Raw_Transactions!F287</f>
        <v/>
      </c>
      <c r="G287" s="4">
        <f>Raw_Transactions!G287</f>
        <v/>
      </c>
      <c r="H287" s="4">
        <f>XLOOKUP(B287,Raw_Risk_Profiles!$A:$A,Raw_Risk_Profiles!$B:$B,"Not Found")</f>
        <v/>
      </c>
      <c r="I287" s="4">
        <f>XLOOKUP(B287,Raw_Risk_Profiles!$A:$A,Raw_Risk_Profiles!$C:$C,"Missing")</f>
        <v/>
      </c>
      <c r="J287" s="4">
        <f>XLOOKUP(B287,Raw_Risk_Profiles!$A:$A,Raw_Risk_Profiles!$D:$D,"")</f>
        <v/>
      </c>
      <c r="K287" s="4">
        <f>IFERROR(INDEX(Raw_Risk_Profiles!$E:$E,MATCH(B287,Raw_Risk_Profiles!$A:$A,0)),"Unknown")</f>
        <v/>
      </c>
      <c r="L287" s="4">
        <f>IFERROR(XLOOKUP(A287,Raw_Alerts!$B:$B,Raw_Alerts!$A:$A),"No Alert")</f>
        <v/>
      </c>
      <c r="M287" s="4">
        <f>IFERROR(XLOOKUP(A287,Raw_Alerts!$B:$B,Raw_Alerts!$C:$C),"")</f>
        <v/>
      </c>
      <c r="N287" s="4">
        <f>IFERROR(XLOOKUP(A287,Raw_Alerts!$B:$B,Raw_Alerts!$D:$D),"")</f>
        <v/>
      </c>
      <c r="O287" s="4">
        <f>IFERROR(XLOOKUP(A287,Raw_Alerts!$B:$B,Raw_Alerts!$F:$F),"")</f>
        <v/>
      </c>
      <c r="P287" s="4">
        <f>IF(H287="Not Found","CRITICAL: No Risk Profile",IF(I287="Missing","WARN: Missing KYC",IF(I287="Expired","WARN: KYC Expired",IF(I287="Pending","INFO: KYC Pending","OK"))))</f>
        <v/>
      </c>
    </row>
    <row r="288">
      <c r="A288" s="2">
        <f>Raw_Transactions!A288</f>
        <v/>
      </c>
      <c r="B288" s="2">
        <f>Raw_Transactions!B288</f>
        <v/>
      </c>
      <c r="C288" s="2">
        <f>Raw_Transactions!C288</f>
        <v/>
      </c>
      <c r="D288" s="3">
        <f>Raw_Transactions!D288</f>
        <v/>
      </c>
      <c r="E288" s="2">
        <f>Raw_Transactions!E288</f>
        <v/>
      </c>
      <c r="F288" s="2">
        <f>Raw_Transactions!F288</f>
        <v/>
      </c>
      <c r="G288" s="2">
        <f>Raw_Transactions!G288</f>
        <v/>
      </c>
      <c r="H288" s="2">
        <f>XLOOKUP(B288,Raw_Risk_Profiles!$A:$A,Raw_Risk_Profiles!$B:$B,"Not Found")</f>
        <v/>
      </c>
      <c r="I288" s="2">
        <f>XLOOKUP(B288,Raw_Risk_Profiles!$A:$A,Raw_Risk_Profiles!$C:$C,"Missing")</f>
        <v/>
      </c>
      <c r="J288" s="2">
        <f>XLOOKUP(B288,Raw_Risk_Profiles!$A:$A,Raw_Risk_Profiles!$D:$D,"")</f>
        <v/>
      </c>
      <c r="K288" s="2">
        <f>IFERROR(INDEX(Raw_Risk_Profiles!$E:$E,MATCH(B288,Raw_Risk_Profiles!$A:$A,0)),"Unknown")</f>
        <v/>
      </c>
      <c r="L288" s="2">
        <f>IFERROR(XLOOKUP(A288,Raw_Alerts!$B:$B,Raw_Alerts!$A:$A),"No Alert")</f>
        <v/>
      </c>
      <c r="M288" s="2">
        <f>IFERROR(XLOOKUP(A288,Raw_Alerts!$B:$B,Raw_Alerts!$C:$C),"")</f>
        <v/>
      </c>
      <c r="N288" s="2">
        <f>IFERROR(XLOOKUP(A288,Raw_Alerts!$B:$B,Raw_Alerts!$D:$D),"")</f>
        <v/>
      </c>
      <c r="O288" s="2">
        <f>IFERROR(XLOOKUP(A288,Raw_Alerts!$B:$B,Raw_Alerts!$F:$F),"")</f>
        <v/>
      </c>
      <c r="P288" s="2">
        <f>IF(H288="Not Found","CRITICAL: No Risk Profile",IF(I288="Missing","WARN: Missing KYC",IF(I288="Expired","WARN: KYC Expired",IF(I288="Pending","INFO: KYC Pending","OK"))))</f>
        <v/>
      </c>
    </row>
    <row r="289">
      <c r="A289" s="4">
        <f>Raw_Transactions!A289</f>
        <v/>
      </c>
      <c r="B289" s="4">
        <f>Raw_Transactions!B289</f>
        <v/>
      </c>
      <c r="C289" s="4">
        <f>Raw_Transactions!C289</f>
        <v/>
      </c>
      <c r="D289" s="5">
        <f>Raw_Transactions!D289</f>
        <v/>
      </c>
      <c r="E289" s="4">
        <f>Raw_Transactions!E289</f>
        <v/>
      </c>
      <c r="F289" s="4">
        <f>Raw_Transactions!F289</f>
        <v/>
      </c>
      <c r="G289" s="4">
        <f>Raw_Transactions!G289</f>
        <v/>
      </c>
      <c r="H289" s="4">
        <f>XLOOKUP(B289,Raw_Risk_Profiles!$A:$A,Raw_Risk_Profiles!$B:$B,"Not Found")</f>
        <v/>
      </c>
      <c r="I289" s="4">
        <f>XLOOKUP(B289,Raw_Risk_Profiles!$A:$A,Raw_Risk_Profiles!$C:$C,"Missing")</f>
        <v/>
      </c>
      <c r="J289" s="4">
        <f>XLOOKUP(B289,Raw_Risk_Profiles!$A:$A,Raw_Risk_Profiles!$D:$D,"")</f>
        <v/>
      </c>
      <c r="K289" s="4">
        <f>IFERROR(INDEX(Raw_Risk_Profiles!$E:$E,MATCH(B289,Raw_Risk_Profiles!$A:$A,0)),"Unknown")</f>
        <v/>
      </c>
      <c r="L289" s="4">
        <f>IFERROR(XLOOKUP(A289,Raw_Alerts!$B:$B,Raw_Alerts!$A:$A),"No Alert")</f>
        <v/>
      </c>
      <c r="M289" s="4">
        <f>IFERROR(XLOOKUP(A289,Raw_Alerts!$B:$B,Raw_Alerts!$C:$C),"")</f>
        <v/>
      </c>
      <c r="N289" s="4">
        <f>IFERROR(XLOOKUP(A289,Raw_Alerts!$B:$B,Raw_Alerts!$D:$D),"")</f>
        <v/>
      </c>
      <c r="O289" s="4">
        <f>IFERROR(XLOOKUP(A289,Raw_Alerts!$B:$B,Raw_Alerts!$F:$F),"")</f>
        <v/>
      </c>
      <c r="P289" s="4">
        <f>IF(H289="Not Found","CRITICAL: No Risk Profile",IF(I289="Missing","WARN: Missing KYC",IF(I289="Expired","WARN: KYC Expired",IF(I289="Pending","INFO: KYC Pending","OK"))))</f>
        <v/>
      </c>
    </row>
    <row r="290">
      <c r="A290" s="2">
        <f>Raw_Transactions!A290</f>
        <v/>
      </c>
      <c r="B290" s="2">
        <f>Raw_Transactions!B290</f>
        <v/>
      </c>
      <c r="C290" s="2">
        <f>Raw_Transactions!C290</f>
        <v/>
      </c>
      <c r="D290" s="3">
        <f>Raw_Transactions!D290</f>
        <v/>
      </c>
      <c r="E290" s="2">
        <f>Raw_Transactions!E290</f>
        <v/>
      </c>
      <c r="F290" s="2">
        <f>Raw_Transactions!F290</f>
        <v/>
      </c>
      <c r="G290" s="2">
        <f>Raw_Transactions!G290</f>
        <v/>
      </c>
      <c r="H290" s="2">
        <f>XLOOKUP(B290,Raw_Risk_Profiles!$A:$A,Raw_Risk_Profiles!$B:$B,"Not Found")</f>
        <v/>
      </c>
      <c r="I290" s="2">
        <f>XLOOKUP(B290,Raw_Risk_Profiles!$A:$A,Raw_Risk_Profiles!$C:$C,"Missing")</f>
        <v/>
      </c>
      <c r="J290" s="2">
        <f>XLOOKUP(B290,Raw_Risk_Profiles!$A:$A,Raw_Risk_Profiles!$D:$D,"")</f>
        <v/>
      </c>
      <c r="K290" s="2">
        <f>IFERROR(INDEX(Raw_Risk_Profiles!$E:$E,MATCH(B290,Raw_Risk_Profiles!$A:$A,0)),"Unknown")</f>
        <v/>
      </c>
      <c r="L290" s="2">
        <f>IFERROR(XLOOKUP(A290,Raw_Alerts!$B:$B,Raw_Alerts!$A:$A),"No Alert")</f>
        <v/>
      </c>
      <c r="M290" s="2">
        <f>IFERROR(XLOOKUP(A290,Raw_Alerts!$B:$B,Raw_Alerts!$C:$C),"")</f>
        <v/>
      </c>
      <c r="N290" s="2">
        <f>IFERROR(XLOOKUP(A290,Raw_Alerts!$B:$B,Raw_Alerts!$D:$D),"")</f>
        <v/>
      </c>
      <c r="O290" s="2">
        <f>IFERROR(XLOOKUP(A290,Raw_Alerts!$B:$B,Raw_Alerts!$F:$F),"")</f>
        <v/>
      </c>
      <c r="P290" s="2">
        <f>IF(H290="Not Found","CRITICAL: No Risk Profile",IF(I290="Missing","WARN: Missing KYC",IF(I290="Expired","WARN: KYC Expired",IF(I290="Pending","INFO: KYC Pending","OK"))))</f>
        <v/>
      </c>
    </row>
    <row r="291">
      <c r="A291" s="4">
        <f>Raw_Transactions!A291</f>
        <v/>
      </c>
      <c r="B291" s="4">
        <f>Raw_Transactions!B291</f>
        <v/>
      </c>
      <c r="C291" s="4">
        <f>Raw_Transactions!C291</f>
        <v/>
      </c>
      <c r="D291" s="5">
        <f>Raw_Transactions!D291</f>
        <v/>
      </c>
      <c r="E291" s="4">
        <f>Raw_Transactions!E291</f>
        <v/>
      </c>
      <c r="F291" s="4">
        <f>Raw_Transactions!F291</f>
        <v/>
      </c>
      <c r="G291" s="4">
        <f>Raw_Transactions!G291</f>
        <v/>
      </c>
      <c r="H291" s="4">
        <f>XLOOKUP(B291,Raw_Risk_Profiles!$A:$A,Raw_Risk_Profiles!$B:$B,"Not Found")</f>
        <v/>
      </c>
      <c r="I291" s="4">
        <f>XLOOKUP(B291,Raw_Risk_Profiles!$A:$A,Raw_Risk_Profiles!$C:$C,"Missing")</f>
        <v/>
      </c>
      <c r="J291" s="4">
        <f>XLOOKUP(B291,Raw_Risk_Profiles!$A:$A,Raw_Risk_Profiles!$D:$D,"")</f>
        <v/>
      </c>
      <c r="K291" s="4">
        <f>IFERROR(INDEX(Raw_Risk_Profiles!$E:$E,MATCH(B291,Raw_Risk_Profiles!$A:$A,0)),"Unknown")</f>
        <v/>
      </c>
      <c r="L291" s="4">
        <f>IFERROR(XLOOKUP(A291,Raw_Alerts!$B:$B,Raw_Alerts!$A:$A),"No Alert")</f>
        <v/>
      </c>
      <c r="M291" s="4">
        <f>IFERROR(XLOOKUP(A291,Raw_Alerts!$B:$B,Raw_Alerts!$C:$C),"")</f>
        <v/>
      </c>
      <c r="N291" s="4">
        <f>IFERROR(XLOOKUP(A291,Raw_Alerts!$B:$B,Raw_Alerts!$D:$D),"")</f>
        <v/>
      </c>
      <c r="O291" s="4">
        <f>IFERROR(XLOOKUP(A291,Raw_Alerts!$B:$B,Raw_Alerts!$F:$F),"")</f>
        <v/>
      </c>
      <c r="P291" s="4">
        <f>IF(H291="Not Found","CRITICAL: No Risk Profile",IF(I291="Missing","WARN: Missing KYC",IF(I291="Expired","WARN: KYC Expired",IF(I291="Pending","INFO: KYC Pending","OK"))))</f>
        <v/>
      </c>
    </row>
    <row r="292">
      <c r="A292" s="2">
        <f>Raw_Transactions!A292</f>
        <v/>
      </c>
      <c r="B292" s="2">
        <f>Raw_Transactions!B292</f>
        <v/>
      </c>
      <c r="C292" s="2">
        <f>Raw_Transactions!C292</f>
        <v/>
      </c>
      <c r="D292" s="3">
        <f>Raw_Transactions!D292</f>
        <v/>
      </c>
      <c r="E292" s="2">
        <f>Raw_Transactions!E292</f>
        <v/>
      </c>
      <c r="F292" s="2">
        <f>Raw_Transactions!F292</f>
        <v/>
      </c>
      <c r="G292" s="2">
        <f>Raw_Transactions!G292</f>
        <v/>
      </c>
      <c r="H292" s="2">
        <f>XLOOKUP(B292,Raw_Risk_Profiles!$A:$A,Raw_Risk_Profiles!$B:$B,"Not Found")</f>
        <v/>
      </c>
      <c r="I292" s="2">
        <f>XLOOKUP(B292,Raw_Risk_Profiles!$A:$A,Raw_Risk_Profiles!$C:$C,"Missing")</f>
        <v/>
      </c>
      <c r="J292" s="2">
        <f>XLOOKUP(B292,Raw_Risk_Profiles!$A:$A,Raw_Risk_Profiles!$D:$D,"")</f>
        <v/>
      </c>
      <c r="K292" s="2">
        <f>IFERROR(INDEX(Raw_Risk_Profiles!$E:$E,MATCH(B292,Raw_Risk_Profiles!$A:$A,0)),"Unknown")</f>
        <v/>
      </c>
      <c r="L292" s="2">
        <f>IFERROR(XLOOKUP(A292,Raw_Alerts!$B:$B,Raw_Alerts!$A:$A),"No Alert")</f>
        <v/>
      </c>
      <c r="M292" s="2">
        <f>IFERROR(XLOOKUP(A292,Raw_Alerts!$B:$B,Raw_Alerts!$C:$C),"")</f>
        <v/>
      </c>
      <c r="N292" s="2">
        <f>IFERROR(XLOOKUP(A292,Raw_Alerts!$B:$B,Raw_Alerts!$D:$D),"")</f>
        <v/>
      </c>
      <c r="O292" s="2">
        <f>IFERROR(XLOOKUP(A292,Raw_Alerts!$B:$B,Raw_Alerts!$F:$F),"")</f>
        <v/>
      </c>
      <c r="P292" s="2">
        <f>IF(H292="Not Found","CRITICAL: No Risk Profile",IF(I292="Missing","WARN: Missing KYC",IF(I292="Expired","WARN: KYC Expired",IF(I292="Pending","INFO: KYC Pending","OK"))))</f>
        <v/>
      </c>
    </row>
    <row r="293">
      <c r="A293" s="4">
        <f>Raw_Transactions!A293</f>
        <v/>
      </c>
      <c r="B293" s="4">
        <f>Raw_Transactions!B293</f>
        <v/>
      </c>
      <c r="C293" s="4">
        <f>Raw_Transactions!C293</f>
        <v/>
      </c>
      <c r="D293" s="5">
        <f>Raw_Transactions!D293</f>
        <v/>
      </c>
      <c r="E293" s="4">
        <f>Raw_Transactions!E293</f>
        <v/>
      </c>
      <c r="F293" s="4">
        <f>Raw_Transactions!F293</f>
        <v/>
      </c>
      <c r="G293" s="4">
        <f>Raw_Transactions!G293</f>
        <v/>
      </c>
      <c r="H293" s="4">
        <f>XLOOKUP(B293,Raw_Risk_Profiles!$A:$A,Raw_Risk_Profiles!$B:$B,"Not Found")</f>
        <v/>
      </c>
      <c r="I293" s="4">
        <f>XLOOKUP(B293,Raw_Risk_Profiles!$A:$A,Raw_Risk_Profiles!$C:$C,"Missing")</f>
        <v/>
      </c>
      <c r="J293" s="4">
        <f>XLOOKUP(B293,Raw_Risk_Profiles!$A:$A,Raw_Risk_Profiles!$D:$D,"")</f>
        <v/>
      </c>
      <c r="K293" s="4">
        <f>IFERROR(INDEX(Raw_Risk_Profiles!$E:$E,MATCH(B293,Raw_Risk_Profiles!$A:$A,0)),"Unknown")</f>
        <v/>
      </c>
      <c r="L293" s="4">
        <f>IFERROR(XLOOKUP(A293,Raw_Alerts!$B:$B,Raw_Alerts!$A:$A),"No Alert")</f>
        <v/>
      </c>
      <c r="M293" s="4">
        <f>IFERROR(XLOOKUP(A293,Raw_Alerts!$B:$B,Raw_Alerts!$C:$C),"")</f>
        <v/>
      </c>
      <c r="N293" s="4">
        <f>IFERROR(XLOOKUP(A293,Raw_Alerts!$B:$B,Raw_Alerts!$D:$D),"")</f>
        <v/>
      </c>
      <c r="O293" s="4">
        <f>IFERROR(XLOOKUP(A293,Raw_Alerts!$B:$B,Raw_Alerts!$F:$F),"")</f>
        <v/>
      </c>
      <c r="P293" s="4">
        <f>IF(H293="Not Found","CRITICAL: No Risk Profile",IF(I293="Missing","WARN: Missing KYC",IF(I293="Expired","WARN: KYC Expired",IF(I293="Pending","INFO: KYC Pending","OK"))))</f>
        <v/>
      </c>
    </row>
    <row r="294">
      <c r="A294" s="2">
        <f>Raw_Transactions!A294</f>
        <v/>
      </c>
      <c r="B294" s="2">
        <f>Raw_Transactions!B294</f>
        <v/>
      </c>
      <c r="C294" s="2">
        <f>Raw_Transactions!C294</f>
        <v/>
      </c>
      <c r="D294" s="3">
        <f>Raw_Transactions!D294</f>
        <v/>
      </c>
      <c r="E294" s="2">
        <f>Raw_Transactions!E294</f>
        <v/>
      </c>
      <c r="F294" s="2">
        <f>Raw_Transactions!F294</f>
        <v/>
      </c>
      <c r="G294" s="2">
        <f>Raw_Transactions!G294</f>
        <v/>
      </c>
      <c r="H294" s="2">
        <f>XLOOKUP(B294,Raw_Risk_Profiles!$A:$A,Raw_Risk_Profiles!$B:$B,"Not Found")</f>
        <v/>
      </c>
      <c r="I294" s="2">
        <f>XLOOKUP(B294,Raw_Risk_Profiles!$A:$A,Raw_Risk_Profiles!$C:$C,"Missing")</f>
        <v/>
      </c>
      <c r="J294" s="2">
        <f>XLOOKUP(B294,Raw_Risk_Profiles!$A:$A,Raw_Risk_Profiles!$D:$D,"")</f>
        <v/>
      </c>
      <c r="K294" s="2">
        <f>IFERROR(INDEX(Raw_Risk_Profiles!$E:$E,MATCH(B294,Raw_Risk_Profiles!$A:$A,0)),"Unknown")</f>
        <v/>
      </c>
      <c r="L294" s="2">
        <f>IFERROR(XLOOKUP(A294,Raw_Alerts!$B:$B,Raw_Alerts!$A:$A),"No Alert")</f>
        <v/>
      </c>
      <c r="M294" s="2">
        <f>IFERROR(XLOOKUP(A294,Raw_Alerts!$B:$B,Raw_Alerts!$C:$C),"")</f>
        <v/>
      </c>
      <c r="N294" s="2">
        <f>IFERROR(XLOOKUP(A294,Raw_Alerts!$B:$B,Raw_Alerts!$D:$D),"")</f>
        <v/>
      </c>
      <c r="O294" s="2">
        <f>IFERROR(XLOOKUP(A294,Raw_Alerts!$B:$B,Raw_Alerts!$F:$F),"")</f>
        <v/>
      </c>
      <c r="P294" s="2">
        <f>IF(H294="Not Found","CRITICAL: No Risk Profile",IF(I294="Missing","WARN: Missing KYC",IF(I294="Expired","WARN: KYC Expired",IF(I294="Pending","INFO: KYC Pending","OK"))))</f>
        <v/>
      </c>
    </row>
    <row r="295">
      <c r="A295" s="4">
        <f>Raw_Transactions!A295</f>
        <v/>
      </c>
      <c r="B295" s="4">
        <f>Raw_Transactions!B295</f>
        <v/>
      </c>
      <c r="C295" s="4">
        <f>Raw_Transactions!C295</f>
        <v/>
      </c>
      <c r="D295" s="5">
        <f>Raw_Transactions!D295</f>
        <v/>
      </c>
      <c r="E295" s="4">
        <f>Raw_Transactions!E295</f>
        <v/>
      </c>
      <c r="F295" s="4">
        <f>Raw_Transactions!F295</f>
        <v/>
      </c>
      <c r="G295" s="4">
        <f>Raw_Transactions!G295</f>
        <v/>
      </c>
      <c r="H295" s="4">
        <f>XLOOKUP(B295,Raw_Risk_Profiles!$A:$A,Raw_Risk_Profiles!$B:$B,"Not Found")</f>
        <v/>
      </c>
      <c r="I295" s="4">
        <f>XLOOKUP(B295,Raw_Risk_Profiles!$A:$A,Raw_Risk_Profiles!$C:$C,"Missing")</f>
        <v/>
      </c>
      <c r="J295" s="4">
        <f>XLOOKUP(B295,Raw_Risk_Profiles!$A:$A,Raw_Risk_Profiles!$D:$D,"")</f>
        <v/>
      </c>
      <c r="K295" s="4">
        <f>IFERROR(INDEX(Raw_Risk_Profiles!$E:$E,MATCH(B295,Raw_Risk_Profiles!$A:$A,0)),"Unknown")</f>
        <v/>
      </c>
      <c r="L295" s="4">
        <f>IFERROR(XLOOKUP(A295,Raw_Alerts!$B:$B,Raw_Alerts!$A:$A),"No Alert")</f>
        <v/>
      </c>
      <c r="M295" s="4">
        <f>IFERROR(XLOOKUP(A295,Raw_Alerts!$B:$B,Raw_Alerts!$C:$C),"")</f>
        <v/>
      </c>
      <c r="N295" s="4">
        <f>IFERROR(XLOOKUP(A295,Raw_Alerts!$B:$B,Raw_Alerts!$D:$D),"")</f>
        <v/>
      </c>
      <c r="O295" s="4">
        <f>IFERROR(XLOOKUP(A295,Raw_Alerts!$B:$B,Raw_Alerts!$F:$F),"")</f>
        <v/>
      </c>
      <c r="P295" s="4">
        <f>IF(H295="Not Found","CRITICAL: No Risk Profile",IF(I295="Missing","WARN: Missing KYC",IF(I295="Expired","WARN: KYC Expired",IF(I295="Pending","INFO: KYC Pending","OK"))))</f>
        <v/>
      </c>
    </row>
    <row r="296">
      <c r="A296" s="2">
        <f>Raw_Transactions!A296</f>
        <v/>
      </c>
      <c r="B296" s="2">
        <f>Raw_Transactions!B296</f>
        <v/>
      </c>
      <c r="C296" s="2">
        <f>Raw_Transactions!C296</f>
        <v/>
      </c>
      <c r="D296" s="3">
        <f>Raw_Transactions!D296</f>
        <v/>
      </c>
      <c r="E296" s="2">
        <f>Raw_Transactions!E296</f>
        <v/>
      </c>
      <c r="F296" s="2">
        <f>Raw_Transactions!F296</f>
        <v/>
      </c>
      <c r="G296" s="2">
        <f>Raw_Transactions!G296</f>
        <v/>
      </c>
      <c r="H296" s="2">
        <f>XLOOKUP(B296,Raw_Risk_Profiles!$A:$A,Raw_Risk_Profiles!$B:$B,"Not Found")</f>
        <v/>
      </c>
      <c r="I296" s="2">
        <f>XLOOKUP(B296,Raw_Risk_Profiles!$A:$A,Raw_Risk_Profiles!$C:$C,"Missing")</f>
        <v/>
      </c>
      <c r="J296" s="2">
        <f>XLOOKUP(B296,Raw_Risk_Profiles!$A:$A,Raw_Risk_Profiles!$D:$D,"")</f>
        <v/>
      </c>
      <c r="K296" s="2">
        <f>IFERROR(INDEX(Raw_Risk_Profiles!$E:$E,MATCH(B296,Raw_Risk_Profiles!$A:$A,0)),"Unknown")</f>
        <v/>
      </c>
      <c r="L296" s="2">
        <f>IFERROR(XLOOKUP(A296,Raw_Alerts!$B:$B,Raw_Alerts!$A:$A),"No Alert")</f>
        <v/>
      </c>
      <c r="M296" s="2">
        <f>IFERROR(XLOOKUP(A296,Raw_Alerts!$B:$B,Raw_Alerts!$C:$C),"")</f>
        <v/>
      </c>
      <c r="N296" s="2">
        <f>IFERROR(XLOOKUP(A296,Raw_Alerts!$B:$B,Raw_Alerts!$D:$D),"")</f>
        <v/>
      </c>
      <c r="O296" s="2">
        <f>IFERROR(XLOOKUP(A296,Raw_Alerts!$B:$B,Raw_Alerts!$F:$F),"")</f>
        <v/>
      </c>
      <c r="P296" s="2">
        <f>IF(H296="Not Found","CRITICAL: No Risk Profile",IF(I296="Missing","WARN: Missing KYC",IF(I296="Expired","WARN: KYC Expired",IF(I296="Pending","INFO: KYC Pending","OK"))))</f>
        <v/>
      </c>
    </row>
    <row r="297">
      <c r="A297" s="4">
        <f>Raw_Transactions!A297</f>
        <v/>
      </c>
      <c r="B297" s="4">
        <f>Raw_Transactions!B297</f>
        <v/>
      </c>
      <c r="C297" s="4">
        <f>Raw_Transactions!C297</f>
        <v/>
      </c>
      <c r="D297" s="5">
        <f>Raw_Transactions!D297</f>
        <v/>
      </c>
      <c r="E297" s="4">
        <f>Raw_Transactions!E297</f>
        <v/>
      </c>
      <c r="F297" s="4">
        <f>Raw_Transactions!F297</f>
        <v/>
      </c>
      <c r="G297" s="4">
        <f>Raw_Transactions!G297</f>
        <v/>
      </c>
      <c r="H297" s="4">
        <f>XLOOKUP(B297,Raw_Risk_Profiles!$A:$A,Raw_Risk_Profiles!$B:$B,"Not Found")</f>
        <v/>
      </c>
      <c r="I297" s="4">
        <f>XLOOKUP(B297,Raw_Risk_Profiles!$A:$A,Raw_Risk_Profiles!$C:$C,"Missing")</f>
        <v/>
      </c>
      <c r="J297" s="4">
        <f>XLOOKUP(B297,Raw_Risk_Profiles!$A:$A,Raw_Risk_Profiles!$D:$D,"")</f>
        <v/>
      </c>
      <c r="K297" s="4">
        <f>IFERROR(INDEX(Raw_Risk_Profiles!$E:$E,MATCH(B297,Raw_Risk_Profiles!$A:$A,0)),"Unknown")</f>
        <v/>
      </c>
      <c r="L297" s="4">
        <f>IFERROR(XLOOKUP(A297,Raw_Alerts!$B:$B,Raw_Alerts!$A:$A),"No Alert")</f>
        <v/>
      </c>
      <c r="M297" s="4">
        <f>IFERROR(XLOOKUP(A297,Raw_Alerts!$B:$B,Raw_Alerts!$C:$C),"")</f>
        <v/>
      </c>
      <c r="N297" s="4">
        <f>IFERROR(XLOOKUP(A297,Raw_Alerts!$B:$B,Raw_Alerts!$D:$D),"")</f>
        <v/>
      </c>
      <c r="O297" s="4">
        <f>IFERROR(XLOOKUP(A297,Raw_Alerts!$B:$B,Raw_Alerts!$F:$F),"")</f>
        <v/>
      </c>
      <c r="P297" s="4">
        <f>IF(H297="Not Found","CRITICAL: No Risk Profile",IF(I297="Missing","WARN: Missing KYC",IF(I297="Expired","WARN: KYC Expired",IF(I297="Pending","INFO: KYC Pending","OK"))))</f>
        <v/>
      </c>
    </row>
    <row r="298">
      <c r="A298" s="2">
        <f>Raw_Transactions!A298</f>
        <v/>
      </c>
      <c r="B298" s="2">
        <f>Raw_Transactions!B298</f>
        <v/>
      </c>
      <c r="C298" s="2">
        <f>Raw_Transactions!C298</f>
        <v/>
      </c>
      <c r="D298" s="3">
        <f>Raw_Transactions!D298</f>
        <v/>
      </c>
      <c r="E298" s="2">
        <f>Raw_Transactions!E298</f>
        <v/>
      </c>
      <c r="F298" s="2">
        <f>Raw_Transactions!F298</f>
        <v/>
      </c>
      <c r="G298" s="2">
        <f>Raw_Transactions!G298</f>
        <v/>
      </c>
      <c r="H298" s="2">
        <f>XLOOKUP(B298,Raw_Risk_Profiles!$A:$A,Raw_Risk_Profiles!$B:$B,"Not Found")</f>
        <v/>
      </c>
      <c r="I298" s="2">
        <f>XLOOKUP(B298,Raw_Risk_Profiles!$A:$A,Raw_Risk_Profiles!$C:$C,"Missing")</f>
        <v/>
      </c>
      <c r="J298" s="2">
        <f>XLOOKUP(B298,Raw_Risk_Profiles!$A:$A,Raw_Risk_Profiles!$D:$D,"")</f>
        <v/>
      </c>
      <c r="K298" s="2">
        <f>IFERROR(INDEX(Raw_Risk_Profiles!$E:$E,MATCH(B298,Raw_Risk_Profiles!$A:$A,0)),"Unknown")</f>
        <v/>
      </c>
      <c r="L298" s="2">
        <f>IFERROR(XLOOKUP(A298,Raw_Alerts!$B:$B,Raw_Alerts!$A:$A),"No Alert")</f>
        <v/>
      </c>
      <c r="M298" s="2">
        <f>IFERROR(XLOOKUP(A298,Raw_Alerts!$B:$B,Raw_Alerts!$C:$C),"")</f>
        <v/>
      </c>
      <c r="N298" s="2">
        <f>IFERROR(XLOOKUP(A298,Raw_Alerts!$B:$B,Raw_Alerts!$D:$D),"")</f>
        <v/>
      </c>
      <c r="O298" s="2">
        <f>IFERROR(XLOOKUP(A298,Raw_Alerts!$B:$B,Raw_Alerts!$F:$F),"")</f>
        <v/>
      </c>
      <c r="P298" s="2">
        <f>IF(H298="Not Found","CRITICAL: No Risk Profile",IF(I298="Missing","WARN: Missing KYC",IF(I298="Expired","WARN: KYC Expired",IF(I298="Pending","INFO: KYC Pending","OK"))))</f>
        <v/>
      </c>
    </row>
    <row r="299">
      <c r="A299" s="4">
        <f>Raw_Transactions!A299</f>
        <v/>
      </c>
      <c r="B299" s="4">
        <f>Raw_Transactions!B299</f>
        <v/>
      </c>
      <c r="C299" s="4">
        <f>Raw_Transactions!C299</f>
        <v/>
      </c>
      <c r="D299" s="5">
        <f>Raw_Transactions!D299</f>
        <v/>
      </c>
      <c r="E299" s="4">
        <f>Raw_Transactions!E299</f>
        <v/>
      </c>
      <c r="F299" s="4">
        <f>Raw_Transactions!F299</f>
        <v/>
      </c>
      <c r="G299" s="4">
        <f>Raw_Transactions!G299</f>
        <v/>
      </c>
      <c r="H299" s="4">
        <f>XLOOKUP(B299,Raw_Risk_Profiles!$A:$A,Raw_Risk_Profiles!$B:$B,"Not Found")</f>
        <v/>
      </c>
      <c r="I299" s="4">
        <f>XLOOKUP(B299,Raw_Risk_Profiles!$A:$A,Raw_Risk_Profiles!$C:$C,"Missing")</f>
        <v/>
      </c>
      <c r="J299" s="4">
        <f>XLOOKUP(B299,Raw_Risk_Profiles!$A:$A,Raw_Risk_Profiles!$D:$D,"")</f>
        <v/>
      </c>
      <c r="K299" s="4">
        <f>IFERROR(INDEX(Raw_Risk_Profiles!$E:$E,MATCH(B299,Raw_Risk_Profiles!$A:$A,0)),"Unknown")</f>
        <v/>
      </c>
      <c r="L299" s="4">
        <f>IFERROR(XLOOKUP(A299,Raw_Alerts!$B:$B,Raw_Alerts!$A:$A),"No Alert")</f>
        <v/>
      </c>
      <c r="M299" s="4">
        <f>IFERROR(XLOOKUP(A299,Raw_Alerts!$B:$B,Raw_Alerts!$C:$C),"")</f>
        <v/>
      </c>
      <c r="N299" s="4">
        <f>IFERROR(XLOOKUP(A299,Raw_Alerts!$B:$B,Raw_Alerts!$D:$D),"")</f>
        <v/>
      </c>
      <c r="O299" s="4">
        <f>IFERROR(XLOOKUP(A299,Raw_Alerts!$B:$B,Raw_Alerts!$F:$F),"")</f>
        <v/>
      </c>
      <c r="P299" s="4">
        <f>IF(H299="Not Found","CRITICAL: No Risk Profile",IF(I299="Missing","WARN: Missing KYC",IF(I299="Expired","WARN: KYC Expired",IF(I299="Pending","INFO: KYC Pending","OK"))))</f>
        <v/>
      </c>
    </row>
    <row r="300">
      <c r="A300" s="2">
        <f>Raw_Transactions!A300</f>
        <v/>
      </c>
      <c r="B300" s="2">
        <f>Raw_Transactions!B300</f>
        <v/>
      </c>
      <c r="C300" s="2">
        <f>Raw_Transactions!C300</f>
        <v/>
      </c>
      <c r="D300" s="3">
        <f>Raw_Transactions!D300</f>
        <v/>
      </c>
      <c r="E300" s="2">
        <f>Raw_Transactions!E300</f>
        <v/>
      </c>
      <c r="F300" s="2">
        <f>Raw_Transactions!F300</f>
        <v/>
      </c>
      <c r="G300" s="2">
        <f>Raw_Transactions!G300</f>
        <v/>
      </c>
      <c r="H300" s="2">
        <f>XLOOKUP(B300,Raw_Risk_Profiles!$A:$A,Raw_Risk_Profiles!$B:$B,"Not Found")</f>
        <v/>
      </c>
      <c r="I300" s="2">
        <f>XLOOKUP(B300,Raw_Risk_Profiles!$A:$A,Raw_Risk_Profiles!$C:$C,"Missing")</f>
        <v/>
      </c>
      <c r="J300" s="2">
        <f>XLOOKUP(B300,Raw_Risk_Profiles!$A:$A,Raw_Risk_Profiles!$D:$D,"")</f>
        <v/>
      </c>
      <c r="K300" s="2">
        <f>IFERROR(INDEX(Raw_Risk_Profiles!$E:$E,MATCH(B300,Raw_Risk_Profiles!$A:$A,0)),"Unknown")</f>
        <v/>
      </c>
      <c r="L300" s="2">
        <f>IFERROR(XLOOKUP(A300,Raw_Alerts!$B:$B,Raw_Alerts!$A:$A),"No Alert")</f>
        <v/>
      </c>
      <c r="M300" s="2">
        <f>IFERROR(XLOOKUP(A300,Raw_Alerts!$B:$B,Raw_Alerts!$C:$C),"")</f>
        <v/>
      </c>
      <c r="N300" s="2">
        <f>IFERROR(XLOOKUP(A300,Raw_Alerts!$B:$B,Raw_Alerts!$D:$D),"")</f>
        <v/>
      </c>
      <c r="O300" s="2">
        <f>IFERROR(XLOOKUP(A300,Raw_Alerts!$B:$B,Raw_Alerts!$F:$F),"")</f>
        <v/>
      </c>
      <c r="P300" s="2">
        <f>IF(H300="Not Found","CRITICAL: No Risk Profile",IF(I300="Missing","WARN: Missing KYC",IF(I300="Expired","WARN: KYC Expired",IF(I300="Pending","INFO: KYC Pending","OK"))))</f>
        <v/>
      </c>
    </row>
    <row r="301">
      <c r="A301" s="4">
        <f>Raw_Transactions!A301</f>
        <v/>
      </c>
      <c r="B301" s="4">
        <f>Raw_Transactions!B301</f>
        <v/>
      </c>
      <c r="C301" s="4">
        <f>Raw_Transactions!C301</f>
        <v/>
      </c>
      <c r="D301" s="5">
        <f>Raw_Transactions!D301</f>
        <v/>
      </c>
      <c r="E301" s="4">
        <f>Raw_Transactions!E301</f>
        <v/>
      </c>
      <c r="F301" s="4">
        <f>Raw_Transactions!F301</f>
        <v/>
      </c>
      <c r="G301" s="4">
        <f>Raw_Transactions!G301</f>
        <v/>
      </c>
      <c r="H301" s="4">
        <f>XLOOKUP(B301,Raw_Risk_Profiles!$A:$A,Raw_Risk_Profiles!$B:$B,"Not Found")</f>
        <v/>
      </c>
      <c r="I301" s="4">
        <f>XLOOKUP(B301,Raw_Risk_Profiles!$A:$A,Raw_Risk_Profiles!$C:$C,"Missing")</f>
        <v/>
      </c>
      <c r="J301" s="4">
        <f>XLOOKUP(B301,Raw_Risk_Profiles!$A:$A,Raw_Risk_Profiles!$D:$D,"")</f>
        <v/>
      </c>
      <c r="K301" s="4">
        <f>IFERROR(INDEX(Raw_Risk_Profiles!$E:$E,MATCH(B301,Raw_Risk_Profiles!$A:$A,0)),"Unknown")</f>
        <v/>
      </c>
      <c r="L301" s="4">
        <f>IFERROR(XLOOKUP(A301,Raw_Alerts!$B:$B,Raw_Alerts!$A:$A),"No Alert")</f>
        <v/>
      </c>
      <c r="M301" s="4">
        <f>IFERROR(XLOOKUP(A301,Raw_Alerts!$B:$B,Raw_Alerts!$C:$C),"")</f>
        <v/>
      </c>
      <c r="N301" s="4">
        <f>IFERROR(XLOOKUP(A301,Raw_Alerts!$B:$B,Raw_Alerts!$D:$D),"")</f>
        <v/>
      </c>
      <c r="O301" s="4">
        <f>IFERROR(XLOOKUP(A301,Raw_Alerts!$B:$B,Raw_Alerts!$F:$F),"")</f>
        <v/>
      </c>
      <c r="P301" s="4">
        <f>IF(H301="Not Found","CRITICAL: No Risk Profile",IF(I301="Missing","WARN: Missing KYC",IF(I301="Expired","WARN: KYC Expired",IF(I301="Pending","INFO: KYC Pending","OK"))))</f>
        <v/>
      </c>
    </row>
    <row r="302">
      <c r="A302" s="2">
        <f>Raw_Transactions!A302</f>
        <v/>
      </c>
      <c r="B302" s="2">
        <f>Raw_Transactions!B302</f>
        <v/>
      </c>
      <c r="C302" s="2">
        <f>Raw_Transactions!C302</f>
        <v/>
      </c>
      <c r="D302" s="3">
        <f>Raw_Transactions!D302</f>
        <v/>
      </c>
      <c r="E302" s="2">
        <f>Raw_Transactions!E302</f>
        <v/>
      </c>
      <c r="F302" s="2">
        <f>Raw_Transactions!F302</f>
        <v/>
      </c>
      <c r="G302" s="2">
        <f>Raw_Transactions!G302</f>
        <v/>
      </c>
      <c r="H302" s="2">
        <f>XLOOKUP(B302,Raw_Risk_Profiles!$A:$A,Raw_Risk_Profiles!$B:$B,"Not Found")</f>
        <v/>
      </c>
      <c r="I302" s="2">
        <f>XLOOKUP(B302,Raw_Risk_Profiles!$A:$A,Raw_Risk_Profiles!$C:$C,"Missing")</f>
        <v/>
      </c>
      <c r="J302" s="2">
        <f>XLOOKUP(B302,Raw_Risk_Profiles!$A:$A,Raw_Risk_Profiles!$D:$D,"")</f>
        <v/>
      </c>
      <c r="K302" s="2">
        <f>IFERROR(INDEX(Raw_Risk_Profiles!$E:$E,MATCH(B302,Raw_Risk_Profiles!$A:$A,0)),"Unknown")</f>
        <v/>
      </c>
      <c r="L302" s="2">
        <f>IFERROR(XLOOKUP(A302,Raw_Alerts!$B:$B,Raw_Alerts!$A:$A),"No Alert")</f>
        <v/>
      </c>
      <c r="M302" s="2">
        <f>IFERROR(XLOOKUP(A302,Raw_Alerts!$B:$B,Raw_Alerts!$C:$C),"")</f>
        <v/>
      </c>
      <c r="N302" s="2">
        <f>IFERROR(XLOOKUP(A302,Raw_Alerts!$B:$B,Raw_Alerts!$D:$D),"")</f>
        <v/>
      </c>
      <c r="O302" s="2">
        <f>IFERROR(XLOOKUP(A302,Raw_Alerts!$B:$B,Raw_Alerts!$F:$F),"")</f>
        <v/>
      </c>
      <c r="P302" s="2">
        <f>IF(H302="Not Found","CRITICAL: No Risk Profile",IF(I302="Missing","WARN: Missing KYC",IF(I302="Expired","WARN: KYC Expired",IF(I302="Pending","INFO: KYC Pending","OK"))))</f>
        <v/>
      </c>
    </row>
    <row r="303">
      <c r="A303" s="4">
        <f>Raw_Transactions!A303</f>
        <v/>
      </c>
      <c r="B303" s="4">
        <f>Raw_Transactions!B303</f>
        <v/>
      </c>
      <c r="C303" s="4">
        <f>Raw_Transactions!C303</f>
        <v/>
      </c>
      <c r="D303" s="5">
        <f>Raw_Transactions!D303</f>
        <v/>
      </c>
      <c r="E303" s="4">
        <f>Raw_Transactions!E303</f>
        <v/>
      </c>
      <c r="F303" s="4">
        <f>Raw_Transactions!F303</f>
        <v/>
      </c>
      <c r="G303" s="4">
        <f>Raw_Transactions!G303</f>
        <v/>
      </c>
      <c r="H303" s="4">
        <f>XLOOKUP(B303,Raw_Risk_Profiles!$A:$A,Raw_Risk_Profiles!$B:$B,"Not Found")</f>
        <v/>
      </c>
      <c r="I303" s="4">
        <f>XLOOKUP(B303,Raw_Risk_Profiles!$A:$A,Raw_Risk_Profiles!$C:$C,"Missing")</f>
        <v/>
      </c>
      <c r="J303" s="4">
        <f>XLOOKUP(B303,Raw_Risk_Profiles!$A:$A,Raw_Risk_Profiles!$D:$D,"")</f>
        <v/>
      </c>
      <c r="K303" s="4">
        <f>IFERROR(INDEX(Raw_Risk_Profiles!$E:$E,MATCH(B303,Raw_Risk_Profiles!$A:$A,0)),"Unknown")</f>
        <v/>
      </c>
      <c r="L303" s="4">
        <f>IFERROR(XLOOKUP(A303,Raw_Alerts!$B:$B,Raw_Alerts!$A:$A),"No Alert")</f>
        <v/>
      </c>
      <c r="M303" s="4">
        <f>IFERROR(XLOOKUP(A303,Raw_Alerts!$B:$B,Raw_Alerts!$C:$C),"")</f>
        <v/>
      </c>
      <c r="N303" s="4">
        <f>IFERROR(XLOOKUP(A303,Raw_Alerts!$B:$B,Raw_Alerts!$D:$D),"")</f>
        <v/>
      </c>
      <c r="O303" s="4">
        <f>IFERROR(XLOOKUP(A303,Raw_Alerts!$B:$B,Raw_Alerts!$F:$F),"")</f>
        <v/>
      </c>
      <c r="P303" s="4">
        <f>IF(H303="Not Found","CRITICAL: No Risk Profile",IF(I303="Missing","WARN: Missing KYC",IF(I303="Expired","WARN: KYC Expired",IF(I303="Pending","INFO: KYC Pending","OK"))))</f>
        <v/>
      </c>
    </row>
    <row r="304">
      <c r="A304" s="2">
        <f>Raw_Transactions!A304</f>
        <v/>
      </c>
      <c r="B304" s="2">
        <f>Raw_Transactions!B304</f>
        <v/>
      </c>
      <c r="C304" s="2">
        <f>Raw_Transactions!C304</f>
        <v/>
      </c>
      <c r="D304" s="3">
        <f>Raw_Transactions!D304</f>
        <v/>
      </c>
      <c r="E304" s="2">
        <f>Raw_Transactions!E304</f>
        <v/>
      </c>
      <c r="F304" s="2">
        <f>Raw_Transactions!F304</f>
        <v/>
      </c>
      <c r="G304" s="2">
        <f>Raw_Transactions!G304</f>
        <v/>
      </c>
      <c r="H304" s="2">
        <f>XLOOKUP(B304,Raw_Risk_Profiles!$A:$A,Raw_Risk_Profiles!$B:$B,"Not Found")</f>
        <v/>
      </c>
      <c r="I304" s="2">
        <f>XLOOKUP(B304,Raw_Risk_Profiles!$A:$A,Raw_Risk_Profiles!$C:$C,"Missing")</f>
        <v/>
      </c>
      <c r="J304" s="2">
        <f>XLOOKUP(B304,Raw_Risk_Profiles!$A:$A,Raw_Risk_Profiles!$D:$D,"")</f>
        <v/>
      </c>
      <c r="K304" s="2">
        <f>IFERROR(INDEX(Raw_Risk_Profiles!$E:$E,MATCH(B304,Raw_Risk_Profiles!$A:$A,0)),"Unknown")</f>
        <v/>
      </c>
      <c r="L304" s="2">
        <f>IFERROR(XLOOKUP(A304,Raw_Alerts!$B:$B,Raw_Alerts!$A:$A),"No Alert")</f>
        <v/>
      </c>
      <c r="M304" s="2">
        <f>IFERROR(XLOOKUP(A304,Raw_Alerts!$B:$B,Raw_Alerts!$C:$C),"")</f>
        <v/>
      </c>
      <c r="N304" s="2">
        <f>IFERROR(XLOOKUP(A304,Raw_Alerts!$B:$B,Raw_Alerts!$D:$D),"")</f>
        <v/>
      </c>
      <c r="O304" s="2">
        <f>IFERROR(XLOOKUP(A304,Raw_Alerts!$B:$B,Raw_Alerts!$F:$F),"")</f>
        <v/>
      </c>
      <c r="P304" s="2">
        <f>IF(H304="Not Found","CRITICAL: No Risk Profile",IF(I304="Missing","WARN: Missing KYC",IF(I304="Expired","WARN: KYC Expired",IF(I304="Pending","INFO: KYC Pending","OK"))))</f>
        <v/>
      </c>
    </row>
    <row r="305">
      <c r="A305" s="4">
        <f>Raw_Transactions!A305</f>
        <v/>
      </c>
      <c r="B305" s="4">
        <f>Raw_Transactions!B305</f>
        <v/>
      </c>
      <c r="C305" s="4">
        <f>Raw_Transactions!C305</f>
        <v/>
      </c>
      <c r="D305" s="5">
        <f>Raw_Transactions!D305</f>
        <v/>
      </c>
      <c r="E305" s="4">
        <f>Raw_Transactions!E305</f>
        <v/>
      </c>
      <c r="F305" s="4">
        <f>Raw_Transactions!F305</f>
        <v/>
      </c>
      <c r="G305" s="4">
        <f>Raw_Transactions!G305</f>
        <v/>
      </c>
      <c r="H305" s="4">
        <f>XLOOKUP(B305,Raw_Risk_Profiles!$A:$A,Raw_Risk_Profiles!$B:$B,"Not Found")</f>
        <v/>
      </c>
      <c r="I305" s="4">
        <f>XLOOKUP(B305,Raw_Risk_Profiles!$A:$A,Raw_Risk_Profiles!$C:$C,"Missing")</f>
        <v/>
      </c>
      <c r="J305" s="4">
        <f>XLOOKUP(B305,Raw_Risk_Profiles!$A:$A,Raw_Risk_Profiles!$D:$D,"")</f>
        <v/>
      </c>
      <c r="K305" s="4">
        <f>IFERROR(INDEX(Raw_Risk_Profiles!$E:$E,MATCH(B305,Raw_Risk_Profiles!$A:$A,0)),"Unknown")</f>
        <v/>
      </c>
      <c r="L305" s="4">
        <f>IFERROR(XLOOKUP(A305,Raw_Alerts!$B:$B,Raw_Alerts!$A:$A),"No Alert")</f>
        <v/>
      </c>
      <c r="M305" s="4">
        <f>IFERROR(XLOOKUP(A305,Raw_Alerts!$B:$B,Raw_Alerts!$C:$C),"")</f>
        <v/>
      </c>
      <c r="N305" s="4">
        <f>IFERROR(XLOOKUP(A305,Raw_Alerts!$B:$B,Raw_Alerts!$D:$D),"")</f>
        <v/>
      </c>
      <c r="O305" s="4">
        <f>IFERROR(XLOOKUP(A305,Raw_Alerts!$B:$B,Raw_Alerts!$F:$F),"")</f>
        <v/>
      </c>
      <c r="P305" s="4">
        <f>IF(H305="Not Found","CRITICAL: No Risk Profile",IF(I305="Missing","WARN: Missing KYC",IF(I305="Expired","WARN: KYC Expired",IF(I305="Pending","INFO: KYC Pending","OK"))))</f>
        <v/>
      </c>
    </row>
    <row r="306">
      <c r="A306" s="2">
        <f>Raw_Transactions!A306</f>
        <v/>
      </c>
      <c r="B306" s="2">
        <f>Raw_Transactions!B306</f>
        <v/>
      </c>
      <c r="C306" s="2">
        <f>Raw_Transactions!C306</f>
        <v/>
      </c>
      <c r="D306" s="3">
        <f>Raw_Transactions!D306</f>
        <v/>
      </c>
      <c r="E306" s="2">
        <f>Raw_Transactions!E306</f>
        <v/>
      </c>
      <c r="F306" s="2">
        <f>Raw_Transactions!F306</f>
        <v/>
      </c>
      <c r="G306" s="2">
        <f>Raw_Transactions!G306</f>
        <v/>
      </c>
      <c r="H306" s="2">
        <f>XLOOKUP(B306,Raw_Risk_Profiles!$A:$A,Raw_Risk_Profiles!$B:$B,"Not Found")</f>
        <v/>
      </c>
      <c r="I306" s="2">
        <f>XLOOKUP(B306,Raw_Risk_Profiles!$A:$A,Raw_Risk_Profiles!$C:$C,"Missing")</f>
        <v/>
      </c>
      <c r="J306" s="2">
        <f>XLOOKUP(B306,Raw_Risk_Profiles!$A:$A,Raw_Risk_Profiles!$D:$D,"")</f>
        <v/>
      </c>
      <c r="K306" s="2">
        <f>IFERROR(INDEX(Raw_Risk_Profiles!$E:$E,MATCH(B306,Raw_Risk_Profiles!$A:$A,0)),"Unknown")</f>
        <v/>
      </c>
      <c r="L306" s="2">
        <f>IFERROR(XLOOKUP(A306,Raw_Alerts!$B:$B,Raw_Alerts!$A:$A),"No Alert")</f>
        <v/>
      </c>
      <c r="M306" s="2">
        <f>IFERROR(XLOOKUP(A306,Raw_Alerts!$B:$B,Raw_Alerts!$C:$C),"")</f>
        <v/>
      </c>
      <c r="N306" s="2">
        <f>IFERROR(XLOOKUP(A306,Raw_Alerts!$B:$B,Raw_Alerts!$D:$D),"")</f>
        <v/>
      </c>
      <c r="O306" s="2">
        <f>IFERROR(XLOOKUP(A306,Raw_Alerts!$B:$B,Raw_Alerts!$F:$F),"")</f>
        <v/>
      </c>
      <c r="P306" s="2">
        <f>IF(H306="Not Found","CRITICAL: No Risk Profile",IF(I306="Missing","WARN: Missing KYC",IF(I306="Expired","WARN: KYC Expired",IF(I306="Pending","INFO: KYC Pending","OK"))))</f>
        <v/>
      </c>
    </row>
    <row r="307">
      <c r="A307" s="4">
        <f>Raw_Transactions!A307</f>
        <v/>
      </c>
      <c r="B307" s="4">
        <f>Raw_Transactions!B307</f>
        <v/>
      </c>
      <c r="C307" s="4">
        <f>Raw_Transactions!C307</f>
        <v/>
      </c>
      <c r="D307" s="5">
        <f>Raw_Transactions!D307</f>
        <v/>
      </c>
      <c r="E307" s="4">
        <f>Raw_Transactions!E307</f>
        <v/>
      </c>
      <c r="F307" s="4">
        <f>Raw_Transactions!F307</f>
        <v/>
      </c>
      <c r="G307" s="4">
        <f>Raw_Transactions!G307</f>
        <v/>
      </c>
      <c r="H307" s="4">
        <f>XLOOKUP(B307,Raw_Risk_Profiles!$A:$A,Raw_Risk_Profiles!$B:$B,"Not Found")</f>
        <v/>
      </c>
      <c r="I307" s="4">
        <f>XLOOKUP(B307,Raw_Risk_Profiles!$A:$A,Raw_Risk_Profiles!$C:$C,"Missing")</f>
        <v/>
      </c>
      <c r="J307" s="4">
        <f>XLOOKUP(B307,Raw_Risk_Profiles!$A:$A,Raw_Risk_Profiles!$D:$D,"")</f>
        <v/>
      </c>
      <c r="K307" s="4">
        <f>IFERROR(INDEX(Raw_Risk_Profiles!$E:$E,MATCH(B307,Raw_Risk_Profiles!$A:$A,0)),"Unknown")</f>
        <v/>
      </c>
      <c r="L307" s="4">
        <f>IFERROR(XLOOKUP(A307,Raw_Alerts!$B:$B,Raw_Alerts!$A:$A),"No Alert")</f>
        <v/>
      </c>
      <c r="M307" s="4">
        <f>IFERROR(XLOOKUP(A307,Raw_Alerts!$B:$B,Raw_Alerts!$C:$C),"")</f>
        <v/>
      </c>
      <c r="N307" s="4">
        <f>IFERROR(XLOOKUP(A307,Raw_Alerts!$B:$B,Raw_Alerts!$D:$D),"")</f>
        <v/>
      </c>
      <c r="O307" s="4">
        <f>IFERROR(XLOOKUP(A307,Raw_Alerts!$B:$B,Raw_Alerts!$F:$F),"")</f>
        <v/>
      </c>
      <c r="P307" s="4">
        <f>IF(H307="Not Found","CRITICAL: No Risk Profile",IF(I307="Missing","WARN: Missing KYC",IF(I307="Expired","WARN: KYC Expired",IF(I307="Pending","INFO: KYC Pending","OK"))))</f>
        <v/>
      </c>
    </row>
    <row r="308">
      <c r="A308" s="2">
        <f>Raw_Transactions!A308</f>
        <v/>
      </c>
      <c r="B308" s="2">
        <f>Raw_Transactions!B308</f>
        <v/>
      </c>
      <c r="C308" s="2">
        <f>Raw_Transactions!C308</f>
        <v/>
      </c>
      <c r="D308" s="3">
        <f>Raw_Transactions!D308</f>
        <v/>
      </c>
      <c r="E308" s="2">
        <f>Raw_Transactions!E308</f>
        <v/>
      </c>
      <c r="F308" s="2">
        <f>Raw_Transactions!F308</f>
        <v/>
      </c>
      <c r="G308" s="2">
        <f>Raw_Transactions!G308</f>
        <v/>
      </c>
      <c r="H308" s="2">
        <f>XLOOKUP(B308,Raw_Risk_Profiles!$A:$A,Raw_Risk_Profiles!$B:$B,"Not Found")</f>
        <v/>
      </c>
      <c r="I308" s="2">
        <f>XLOOKUP(B308,Raw_Risk_Profiles!$A:$A,Raw_Risk_Profiles!$C:$C,"Missing")</f>
        <v/>
      </c>
      <c r="J308" s="2">
        <f>XLOOKUP(B308,Raw_Risk_Profiles!$A:$A,Raw_Risk_Profiles!$D:$D,"")</f>
        <v/>
      </c>
      <c r="K308" s="2">
        <f>IFERROR(INDEX(Raw_Risk_Profiles!$E:$E,MATCH(B308,Raw_Risk_Profiles!$A:$A,0)),"Unknown")</f>
        <v/>
      </c>
      <c r="L308" s="2">
        <f>IFERROR(XLOOKUP(A308,Raw_Alerts!$B:$B,Raw_Alerts!$A:$A),"No Alert")</f>
        <v/>
      </c>
      <c r="M308" s="2">
        <f>IFERROR(XLOOKUP(A308,Raw_Alerts!$B:$B,Raw_Alerts!$C:$C),"")</f>
        <v/>
      </c>
      <c r="N308" s="2">
        <f>IFERROR(XLOOKUP(A308,Raw_Alerts!$B:$B,Raw_Alerts!$D:$D),"")</f>
        <v/>
      </c>
      <c r="O308" s="2">
        <f>IFERROR(XLOOKUP(A308,Raw_Alerts!$B:$B,Raw_Alerts!$F:$F),"")</f>
        <v/>
      </c>
      <c r="P308" s="2">
        <f>IF(H308="Not Found","CRITICAL: No Risk Profile",IF(I308="Missing","WARN: Missing KYC",IF(I308="Expired","WARN: KYC Expired",IF(I308="Pending","INFO: KYC Pending","OK"))))</f>
        <v/>
      </c>
    </row>
    <row r="309">
      <c r="A309" s="4">
        <f>Raw_Transactions!A309</f>
        <v/>
      </c>
      <c r="B309" s="4">
        <f>Raw_Transactions!B309</f>
        <v/>
      </c>
      <c r="C309" s="4">
        <f>Raw_Transactions!C309</f>
        <v/>
      </c>
      <c r="D309" s="5">
        <f>Raw_Transactions!D309</f>
        <v/>
      </c>
      <c r="E309" s="4">
        <f>Raw_Transactions!E309</f>
        <v/>
      </c>
      <c r="F309" s="4">
        <f>Raw_Transactions!F309</f>
        <v/>
      </c>
      <c r="G309" s="4">
        <f>Raw_Transactions!G309</f>
        <v/>
      </c>
      <c r="H309" s="4">
        <f>XLOOKUP(B309,Raw_Risk_Profiles!$A:$A,Raw_Risk_Profiles!$B:$B,"Not Found")</f>
        <v/>
      </c>
      <c r="I309" s="4">
        <f>XLOOKUP(B309,Raw_Risk_Profiles!$A:$A,Raw_Risk_Profiles!$C:$C,"Missing")</f>
        <v/>
      </c>
      <c r="J309" s="4">
        <f>XLOOKUP(B309,Raw_Risk_Profiles!$A:$A,Raw_Risk_Profiles!$D:$D,"")</f>
        <v/>
      </c>
      <c r="K309" s="4">
        <f>IFERROR(INDEX(Raw_Risk_Profiles!$E:$E,MATCH(B309,Raw_Risk_Profiles!$A:$A,0)),"Unknown")</f>
        <v/>
      </c>
      <c r="L309" s="4">
        <f>IFERROR(XLOOKUP(A309,Raw_Alerts!$B:$B,Raw_Alerts!$A:$A),"No Alert")</f>
        <v/>
      </c>
      <c r="M309" s="4">
        <f>IFERROR(XLOOKUP(A309,Raw_Alerts!$B:$B,Raw_Alerts!$C:$C),"")</f>
        <v/>
      </c>
      <c r="N309" s="4">
        <f>IFERROR(XLOOKUP(A309,Raw_Alerts!$B:$B,Raw_Alerts!$D:$D),"")</f>
        <v/>
      </c>
      <c r="O309" s="4">
        <f>IFERROR(XLOOKUP(A309,Raw_Alerts!$B:$B,Raw_Alerts!$F:$F),"")</f>
        <v/>
      </c>
      <c r="P309" s="4">
        <f>IF(H309="Not Found","CRITICAL: No Risk Profile",IF(I309="Missing","WARN: Missing KYC",IF(I309="Expired","WARN: KYC Expired",IF(I309="Pending","INFO: KYC Pending","OK"))))</f>
        <v/>
      </c>
    </row>
    <row r="310">
      <c r="A310" s="2">
        <f>Raw_Transactions!A310</f>
        <v/>
      </c>
      <c r="B310" s="2">
        <f>Raw_Transactions!B310</f>
        <v/>
      </c>
      <c r="C310" s="2">
        <f>Raw_Transactions!C310</f>
        <v/>
      </c>
      <c r="D310" s="3">
        <f>Raw_Transactions!D310</f>
        <v/>
      </c>
      <c r="E310" s="2">
        <f>Raw_Transactions!E310</f>
        <v/>
      </c>
      <c r="F310" s="2">
        <f>Raw_Transactions!F310</f>
        <v/>
      </c>
      <c r="G310" s="2">
        <f>Raw_Transactions!G310</f>
        <v/>
      </c>
      <c r="H310" s="2">
        <f>XLOOKUP(B310,Raw_Risk_Profiles!$A:$A,Raw_Risk_Profiles!$B:$B,"Not Found")</f>
        <v/>
      </c>
      <c r="I310" s="2">
        <f>XLOOKUP(B310,Raw_Risk_Profiles!$A:$A,Raw_Risk_Profiles!$C:$C,"Missing")</f>
        <v/>
      </c>
      <c r="J310" s="2">
        <f>XLOOKUP(B310,Raw_Risk_Profiles!$A:$A,Raw_Risk_Profiles!$D:$D,"")</f>
        <v/>
      </c>
      <c r="K310" s="2">
        <f>IFERROR(INDEX(Raw_Risk_Profiles!$E:$E,MATCH(B310,Raw_Risk_Profiles!$A:$A,0)),"Unknown")</f>
        <v/>
      </c>
      <c r="L310" s="2">
        <f>IFERROR(XLOOKUP(A310,Raw_Alerts!$B:$B,Raw_Alerts!$A:$A),"No Alert")</f>
        <v/>
      </c>
      <c r="M310" s="2">
        <f>IFERROR(XLOOKUP(A310,Raw_Alerts!$B:$B,Raw_Alerts!$C:$C),"")</f>
        <v/>
      </c>
      <c r="N310" s="2">
        <f>IFERROR(XLOOKUP(A310,Raw_Alerts!$B:$B,Raw_Alerts!$D:$D),"")</f>
        <v/>
      </c>
      <c r="O310" s="2">
        <f>IFERROR(XLOOKUP(A310,Raw_Alerts!$B:$B,Raw_Alerts!$F:$F),"")</f>
        <v/>
      </c>
      <c r="P310" s="2">
        <f>IF(H310="Not Found","CRITICAL: No Risk Profile",IF(I310="Missing","WARN: Missing KYC",IF(I310="Expired","WARN: KYC Expired",IF(I310="Pending","INFO: KYC Pending","OK"))))</f>
        <v/>
      </c>
    </row>
    <row r="311">
      <c r="A311" s="4">
        <f>Raw_Transactions!A311</f>
        <v/>
      </c>
      <c r="B311" s="4">
        <f>Raw_Transactions!B311</f>
        <v/>
      </c>
      <c r="C311" s="4">
        <f>Raw_Transactions!C311</f>
        <v/>
      </c>
      <c r="D311" s="5">
        <f>Raw_Transactions!D311</f>
        <v/>
      </c>
      <c r="E311" s="4">
        <f>Raw_Transactions!E311</f>
        <v/>
      </c>
      <c r="F311" s="4">
        <f>Raw_Transactions!F311</f>
        <v/>
      </c>
      <c r="G311" s="4">
        <f>Raw_Transactions!G311</f>
        <v/>
      </c>
      <c r="H311" s="4">
        <f>XLOOKUP(B311,Raw_Risk_Profiles!$A:$A,Raw_Risk_Profiles!$B:$B,"Not Found")</f>
        <v/>
      </c>
      <c r="I311" s="4">
        <f>XLOOKUP(B311,Raw_Risk_Profiles!$A:$A,Raw_Risk_Profiles!$C:$C,"Missing")</f>
        <v/>
      </c>
      <c r="J311" s="4">
        <f>XLOOKUP(B311,Raw_Risk_Profiles!$A:$A,Raw_Risk_Profiles!$D:$D,"")</f>
        <v/>
      </c>
      <c r="K311" s="4">
        <f>IFERROR(INDEX(Raw_Risk_Profiles!$E:$E,MATCH(B311,Raw_Risk_Profiles!$A:$A,0)),"Unknown")</f>
        <v/>
      </c>
      <c r="L311" s="4">
        <f>IFERROR(XLOOKUP(A311,Raw_Alerts!$B:$B,Raw_Alerts!$A:$A),"No Alert")</f>
        <v/>
      </c>
      <c r="M311" s="4">
        <f>IFERROR(XLOOKUP(A311,Raw_Alerts!$B:$B,Raw_Alerts!$C:$C),"")</f>
        <v/>
      </c>
      <c r="N311" s="4">
        <f>IFERROR(XLOOKUP(A311,Raw_Alerts!$B:$B,Raw_Alerts!$D:$D),"")</f>
        <v/>
      </c>
      <c r="O311" s="4">
        <f>IFERROR(XLOOKUP(A311,Raw_Alerts!$B:$B,Raw_Alerts!$F:$F),"")</f>
        <v/>
      </c>
      <c r="P311" s="4">
        <f>IF(H311="Not Found","CRITICAL: No Risk Profile",IF(I311="Missing","WARN: Missing KYC",IF(I311="Expired","WARN: KYC Expired",IF(I311="Pending","INFO: KYC Pending","OK"))))</f>
        <v/>
      </c>
    </row>
    <row r="312">
      <c r="A312" s="2">
        <f>Raw_Transactions!A312</f>
        <v/>
      </c>
      <c r="B312" s="2">
        <f>Raw_Transactions!B312</f>
        <v/>
      </c>
      <c r="C312" s="2">
        <f>Raw_Transactions!C312</f>
        <v/>
      </c>
      <c r="D312" s="3">
        <f>Raw_Transactions!D312</f>
        <v/>
      </c>
      <c r="E312" s="2">
        <f>Raw_Transactions!E312</f>
        <v/>
      </c>
      <c r="F312" s="2">
        <f>Raw_Transactions!F312</f>
        <v/>
      </c>
      <c r="G312" s="2">
        <f>Raw_Transactions!G312</f>
        <v/>
      </c>
      <c r="H312" s="2">
        <f>XLOOKUP(B312,Raw_Risk_Profiles!$A:$A,Raw_Risk_Profiles!$B:$B,"Not Found")</f>
        <v/>
      </c>
      <c r="I312" s="2">
        <f>XLOOKUP(B312,Raw_Risk_Profiles!$A:$A,Raw_Risk_Profiles!$C:$C,"Missing")</f>
        <v/>
      </c>
      <c r="J312" s="2">
        <f>XLOOKUP(B312,Raw_Risk_Profiles!$A:$A,Raw_Risk_Profiles!$D:$D,"")</f>
        <v/>
      </c>
      <c r="K312" s="2">
        <f>IFERROR(INDEX(Raw_Risk_Profiles!$E:$E,MATCH(B312,Raw_Risk_Profiles!$A:$A,0)),"Unknown")</f>
        <v/>
      </c>
      <c r="L312" s="2">
        <f>IFERROR(XLOOKUP(A312,Raw_Alerts!$B:$B,Raw_Alerts!$A:$A),"No Alert")</f>
        <v/>
      </c>
      <c r="M312" s="2">
        <f>IFERROR(XLOOKUP(A312,Raw_Alerts!$B:$B,Raw_Alerts!$C:$C),"")</f>
        <v/>
      </c>
      <c r="N312" s="2">
        <f>IFERROR(XLOOKUP(A312,Raw_Alerts!$B:$B,Raw_Alerts!$D:$D),"")</f>
        <v/>
      </c>
      <c r="O312" s="2">
        <f>IFERROR(XLOOKUP(A312,Raw_Alerts!$B:$B,Raw_Alerts!$F:$F),"")</f>
        <v/>
      </c>
      <c r="P312" s="2">
        <f>IF(H312="Not Found","CRITICAL: No Risk Profile",IF(I312="Missing","WARN: Missing KYC",IF(I312="Expired","WARN: KYC Expired",IF(I312="Pending","INFO: KYC Pending","OK"))))</f>
        <v/>
      </c>
    </row>
    <row r="313">
      <c r="A313" s="4">
        <f>Raw_Transactions!A313</f>
        <v/>
      </c>
      <c r="B313" s="4">
        <f>Raw_Transactions!B313</f>
        <v/>
      </c>
      <c r="C313" s="4">
        <f>Raw_Transactions!C313</f>
        <v/>
      </c>
      <c r="D313" s="5">
        <f>Raw_Transactions!D313</f>
        <v/>
      </c>
      <c r="E313" s="4">
        <f>Raw_Transactions!E313</f>
        <v/>
      </c>
      <c r="F313" s="4">
        <f>Raw_Transactions!F313</f>
        <v/>
      </c>
      <c r="G313" s="4">
        <f>Raw_Transactions!G313</f>
        <v/>
      </c>
      <c r="H313" s="4">
        <f>XLOOKUP(B313,Raw_Risk_Profiles!$A:$A,Raw_Risk_Profiles!$B:$B,"Not Found")</f>
        <v/>
      </c>
      <c r="I313" s="4">
        <f>XLOOKUP(B313,Raw_Risk_Profiles!$A:$A,Raw_Risk_Profiles!$C:$C,"Missing")</f>
        <v/>
      </c>
      <c r="J313" s="4">
        <f>XLOOKUP(B313,Raw_Risk_Profiles!$A:$A,Raw_Risk_Profiles!$D:$D,"")</f>
        <v/>
      </c>
      <c r="K313" s="4">
        <f>IFERROR(INDEX(Raw_Risk_Profiles!$E:$E,MATCH(B313,Raw_Risk_Profiles!$A:$A,0)),"Unknown")</f>
        <v/>
      </c>
      <c r="L313" s="4">
        <f>IFERROR(XLOOKUP(A313,Raw_Alerts!$B:$B,Raw_Alerts!$A:$A),"No Alert")</f>
        <v/>
      </c>
      <c r="M313" s="4">
        <f>IFERROR(XLOOKUP(A313,Raw_Alerts!$B:$B,Raw_Alerts!$C:$C),"")</f>
        <v/>
      </c>
      <c r="N313" s="4">
        <f>IFERROR(XLOOKUP(A313,Raw_Alerts!$B:$B,Raw_Alerts!$D:$D),"")</f>
        <v/>
      </c>
      <c r="O313" s="4">
        <f>IFERROR(XLOOKUP(A313,Raw_Alerts!$B:$B,Raw_Alerts!$F:$F),"")</f>
        <v/>
      </c>
      <c r="P313" s="4">
        <f>IF(H313="Not Found","CRITICAL: No Risk Profile",IF(I313="Missing","WARN: Missing KYC",IF(I313="Expired","WARN: KYC Expired",IF(I313="Pending","INFO: KYC Pending","OK"))))</f>
        <v/>
      </c>
    </row>
    <row r="314">
      <c r="A314" s="2">
        <f>Raw_Transactions!A314</f>
        <v/>
      </c>
      <c r="B314" s="2">
        <f>Raw_Transactions!B314</f>
        <v/>
      </c>
      <c r="C314" s="2">
        <f>Raw_Transactions!C314</f>
        <v/>
      </c>
      <c r="D314" s="3">
        <f>Raw_Transactions!D314</f>
        <v/>
      </c>
      <c r="E314" s="2">
        <f>Raw_Transactions!E314</f>
        <v/>
      </c>
      <c r="F314" s="2">
        <f>Raw_Transactions!F314</f>
        <v/>
      </c>
      <c r="G314" s="2">
        <f>Raw_Transactions!G314</f>
        <v/>
      </c>
      <c r="H314" s="2">
        <f>XLOOKUP(B314,Raw_Risk_Profiles!$A:$A,Raw_Risk_Profiles!$B:$B,"Not Found")</f>
        <v/>
      </c>
      <c r="I314" s="2">
        <f>XLOOKUP(B314,Raw_Risk_Profiles!$A:$A,Raw_Risk_Profiles!$C:$C,"Missing")</f>
        <v/>
      </c>
      <c r="J314" s="2">
        <f>XLOOKUP(B314,Raw_Risk_Profiles!$A:$A,Raw_Risk_Profiles!$D:$D,"")</f>
        <v/>
      </c>
      <c r="K314" s="2">
        <f>IFERROR(INDEX(Raw_Risk_Profiles!$E:$E,MATCH(B314,Raw_Risk_Profiles!$A:$A,0)),"Unknown")</f>
        <v/>
      </c>
      <c r="L314" s="2">
        <f>IFERROR(XLOOKUP(A314,Raw_Alerts!$B:$B,Raw_Alerts!$A:$A),"No Alert")</f>
        <v/>
      </c>
      <c r="M314" s="2">
        <f>IFERROR(XLOOKUP(A314,Raw_Alerts!$B:$B,Raw_Alerts!$C:$C),"")</f>
        <v/>
      </c>
      <c r="N314" s="2">
        <f>IFERROR(XLOOKUP(A314,Raw_Alerts!$B:$B,Raw_Alerts!$D:$D),"")</f>
        <v/>
      </c>
      <c r="O314" s="2">
        <f>IFERROR(XLOOKUP(A314,Raw_Alerts!$B:$B,Raw_Alerts!$F:$F),"")</f>
        <v/>
      </c>
      <c r="P314" s="2">
        <f>IF(H314="Not Found","CRITICAL: No Risk Profile",IF(I314="Missing","WARN: Missing KYC",IF(I314="Expired","WARN: KYC Expired",IF(I314="Pending","INFO: KYC Pending","OK"))))</f>
        <v/>
      </c>
    </row>
    <row r="315">
      <c r="A315" s="4">
        <f>Raw_Transactions!A315</f>
        <v/>
      </c>
      <c r="B315" s="4">
        <f>Raw_Transactions!B315</f>
        <v/>
      </c>
      <c r="C315" s="4">
        <f>Raw_Transactions!C315</f>
        <v/>
      </c>
      <c r="D315" s="5">
        <f>Raw_Transactions!D315</f>
        <v/>
      </c>
      <c r="E315" s="4">
        <f>Raw_Transactions!E315</f>
        <v/>
      </c>
      <c r="F315" s="4">
        <f>Raw_Transactions!F315</f>
        <v/>
      </c>
      <c r="G315" s="4">
        <f>Raw_Transactions!G315</f>
        <v/>
      </c>
      <c r="H315" s="4">
        <f>XLOOKUP(B315,Raw_Risk_Profiles!$A:$A,Raw_Risk_Profiles!$B:$B,"Not Found")</f>
        <v/>
      </c>
      <c r="I315" s="4">
        <f>XLOOKUP(B315,Raw_Risk_Profiles!$A:$A,Raw_Risk_Profiles!$C:$C,"Missing")</f>
        <v/>
      </c>
      <c r="J315" s="4">
        <f>XLOOKUP(B315,Raw_Risk_Profiles!$A:$A,Raw_Risk_Profiles!$D:$D,"")</f>
        <v/>
      </c>
      <c r="K315" s="4">
        <f>IFERROR(INDEX(Raw_Risk_Profiles!$E:$E,MATCH(B315,Raw_Risk_Profiles!$A:$A,0)),"Unknown")</f>
        <v/>
      </c>
      <c r="L315" s="4">
        <f>IFERROR(XLOOKUP(A315,Raw_Alerts!$B:$B,Raw_Alerts!$A:$A),"No Alert")</f>
        <v/>
      </c>
      <c r="M315" s="4">
        <f>IFERROR(XLOOKUP(A315,Raw_Alerts!$B:$B,Raw_Alerts!$C:$C),"")</f>
        <v/>
      </c>
      <c r="N315" s="4">
        <f>IFERROR(XLOOKUP(A315,Raw_Alerts!$B:$B,Raw_Alerts!$D:$D),"")</f>
        <v/>
      </c>
      <c r="O315" s="4">
        <f>IFERROR(XLOOKUP(A315,Raw_Alerts!$B:$B,Raw_Alerts!$F:$F),"")</f>
        <v/>
      </c>
      <c r="P315" s="4">
        <f>IF(H315="Not Found","CRITICAL: No Risk Profile",IF(I315="Missing","WARN: Missing KYC",IF(I315="Expired","WARN: KYC Expired",IF(I315="Pending","INFO: KYC Pending","OK"))))</f>
        <v/>
      </c>
    </row>
    <row r="316">
      <c r="A316" s="2">
        <f>Raw_Transactions!A316</f>
        <v/>
      </c>
      <c r="B316" s="2">
        <f>Raw_Transactions!B316</f>
        <v/>
      </c>
      <c r="C316" s="2">
        <f>Raw_Transactions!C316</f>
        <v/>
      </c>
      <c r="D316" s="3">
        <f>Raw_Transactions!D316</f>
        <v/>
      </c>
      <c r="E316" s="2">
        <f>Raw_Transactions!E316</f>
        <v/>
      </c>
      <c r="F316" s="2">
        <f>Raw_Transactions!F316</f>
        <v/>
      </c>
      <c r="G316" s="2">
        <f>Raw_Transactions!G316</f>
        <v/>
      </c>
      <c r="H316" s="2">
        <f>XLOOKUP(B316,Raw_Risk_Profiles!$A:$A,Raw_Risk_Profiles!$B:$B,"Not Found")</f>
        <v/>
      </c>
      <c r="I316" s="2">
        <f>XLOOKUP(B316,Raw_Risk_Profiles!$A:$A,Raw_Risk_Profiles!$C:$C,"Missing")</f>
        <v/>
      </c>
      <c r="J316" s="2">
        <f>XLOOKUP(B316,Raw_Risk_Profiles!$A:$A,Raw_Risk_Profiles!$D:$D,"")</f>
        <v/>
      </c>
      <c r="K316" s="2">
        <f>IFERROR(INDEX(Raw_Risk_Profiles!$E:$E,MATCH(B316,Raw_Risk_Profiles!$A:$A,0)),"Unknown")</f>
        <v/>
      </c>
      <c r="L316" s="2">
        <f>IFERROR(XLOOKUP(A316,Raw_Alerts!$B:$B,Raw_Alerts!$A:$A),"No Alert")</f>
        <v/>
      </c>
      <c r="M316" s="2">
        <f>IFERROR(XLOOKUP(A316,Raw_Alerts!$B:$B,Raw_Alerts!$C:$C),"")</f>
        <v/>
      </c>
      <c r="N316" s="2">
        <f>IFERROR(XLOOKUP(A316,Raw_Alerts!$B:$B,Raw_Alerts!$D:$D),"")</f>
        <v/>
      </c>
      <c r="O316" s="2">
        <f>IFERROR(XLOOKUP(A316,Raw_Alerts!$B:$B,Raw_Alerts!$F:$F),"")</f>
        <v/>
      </c>
      <c r="P316" s="2">
        <f>IF(H316="Not Found","CRITICAL: No Risk Profile",IF(I316="Missing","WARN: Missing KYC",IF(I316="Expired","WARN: KYC Expired",IF(I316="Pending","INFO: KYC Pending","OK"))))</f>
        <v/>
      </c>
    </row>
    <row r="317">
      <c r="A317" s="4">
        <f>Raw_Transactions!A317</f>
        <v/>
      </c>
      <c r="B317" s="4">
        <f>Raw_Transactions!B317</f>
        <v/>
      </c>
      <c r="C317" s="4">
        <f>Raw_Transactions!C317</f>
        <v/>
      </c>
      <c r="D317" s="5">
        <f>Raw_Transactions!D317</f>
        <v/>
      </c>
      <c r="E317" s="4">
        <f>Raw_Transactions!E317</f>
        <v/>
      </c>
      <c r="F317" s="4">
        <f>Raw_Transactions!F317</f>
        <v/>
      </c>
      <c r="G317" s="4">
        <f>Raw_Transactions!G317</f>
        <v/>
      </c>
      <c r="H317" s="4">
        <f>XLOOKUP(B317,Raw_Risk_Profiles!$A:$A,Raw_Risk_Profiles!$B:$B,"Not Found")</f>
        <v/>
      </c>
      <c r="I317" s="4">
        <f>XLOOKUP(B317,Raw_Risk_Profiles!$A:$A,Raw_Risk_Profiles!$C:$C,"Missing")</f>
        <v/>
      </c>
      <c r="J317" s="4">
        <f>XLOOKUP(B317,Raw_Risk_Profiles!$A:$A,Raw_Risk_Profiles!$D:$D,"")</f>
        <v/>
      </c>
      <c r="K317" s="4">
        <f>IFERROR(INDEX(Raw_Risk_Profiles!$E:$E,MATCH(B317,Raw_Risk_Profiles!$A:$A,0)),"Unknown")</f>
        <v/>
      </c>
      <c r="L317" s="4">
        <f>IFERROR(XLOOKUP(A317,Raw_Alerts!$B:$B,Raw_Alerts!$A:$A),"No Alert")</f>
        <v/>
      </c>
      <c r="M317" s="4">
        <f>IFERROR(XLOOKUP(A317,Raw_Alerts!$B:$B,Raw_Alerts!$C:$C),"")</f>
        <v/>
      </c>
      <c r="N317" s="4">
        <f>IFERROR(XLOOKUP(A317,Raw_Alerts!$B:$B,Raw_Alerts!$D:$D),"")</f>
        <v/>
      </c>
      <c r="O317" s="4">
        <f>IFERROR(XLOOKUP(A317,Raw_Alerts!$B:$B,Raw_Alerts!$F:$F),"")</f>
        <v/>
      </c>
      <c r="P317" s="4">
        <f>IF(H317="Not Found","CRITICAL: No Risk Profile",IF(I317="Missing","WARN: Missing KYC",IF(I317="Expired","WARN: KYC Expired",IF(I317="Pending","INFO: KYC Pending","OK"))))</f>
        <v/>
      </c>
    </row>
    <row r="318">
      <c r="A318" s="2">
        <f>Raw_Transactions!A318</f>
        <v/>
      </c>
      <c r="B318" s="2">
        <f>Raw_Transactions!B318</f>
        <v/>
      </c>
      <c r="C318" s="2">
        <f>Raw_Transactions!C318</f>
        <v/>
      </c>
      <c r="D318" s="3">
        <f>Raw_Transactions!D318</f>
        <v/>
      </c>
      <c r="E318" s="2">
        <f>Raw_Transactions!E318</f>
        <v/>
      </c>
      <c r="F318" s="2">
        <f>Raw_Transactions!F318</f>
        <v/>
      </c>
      <c r="G318" s="2">
        <f>Raw_Transactions!G318</f>
        <v/>
      </c>
      <c r="H318" s="2">
        <f>XLOOKUP(B318,Raw_Risk_Profiles!$A:$A,Raw_Risk_Profiles!$B:$B,"Not Found")</f>
        <v/>
      </c>
      <c r="I318" s="2">
        <f>XLOOKUP(B318,Raw_Risk_Profiles!$A:$A,Raw_Risk_Profiles!$C:$C,"Missing")</f>
        <v/>
      </c>
      <c r="J318" s="2">
        <f>XLOOKUP(B318,Raw_Risk_Profiles!$A:$A,Raw_Risk_Profiles!$D:$D,"")</f>
        <v/>
      </c>
      <c r="K318" s="2">
        <f>IFERROR(INDEX(Raw_Risk_Profiles!$E:$E,MATCH(B318,Raw_Risk_Profiles!$A:$A,0)),"Unknown")</f>
        <v/>
      </c>
      <c r="L318" s="2">
        <f>IFERROR(XLOOKUP(A318,Raw_Alerts!$B:$B,Raw_Alerts!$A:$A),"No Alert")</f>
        <v/>
      </c>
      <c r="M318" s="2">
        <f>IFERROR(XLOOKUP(A318,Raw_Alerts!$B:$B,Raw_Alerts!$C:$C),"")</f>
        <v/>
      </c>
      <c r="N318" s="2">
        <f>IFERROR(XLOOKUP(A318,Raw_Alerts!$B:$B,Raw_Alerts!$D:$D),"")</f>
        <v/>
      </c>
      <c r="O318" s="2">
        <f>IFERROR(XLOOKUP(A318,Raw_Alerts!$B:$B,Raw_Alerts!$F:$F),"")</f>
        <v/>
      </c>
      <c r="P318" s="2">
        <f>IF(H318="Not Found","CRITICAL: No Risk Profile",IF(I318="Missing","WARN: Missing KYC",IF(I318="Expired","WARN: KYC Expired",IF(I318="Pending","INFO: KYC Pending","OK"))))</f>
        <v/>
      </c>
    </row>
    <row r="319">
      <c r="A319" s="4">
        <f>Raw_Transactions!A319</f>
        <v/>
      </c>
      <c r="B319" s="4">
        <f>Raw_Transactions!B319</f>
        <v/>
      </c>
      <c r="C319" s="4">
        <f>Raw_Transactions!C319</f>
        <v/>
      </c>
      <c r="D319" s="5">
        <f>Raw_Transactions!D319</f>
        <v/>
      </c>
      <c r="E319" s="4">
        <f>Raw_Transactions!E319</f>
        <v/>
      </c>
      <c r="F319" s="4">
        <f>Raw_Transactions!F319</f>
        <v/>
      </c>
      <c r="G319" s="4">
        <f>Raw_Transactions!G319</f>
        <v/>
      </c>
      <c r="H319" s="4">
        <f>XLOOKUP(B319,Raw_Risk_Profiles!$A:$A,Raw_Risk_Profiles!$B:$B,"Not Found")</f>
        <v/>
      </c>
      <c r="I319" s="4">
        <f>XLOOKUP(B319,Raw_Risk_Profiles!$A:$A,Raw_Risk_Profiles!$C:$C,"Missing")</f>
        <v/>
      </c>
      <c r="J319" s="4">
        <f>XLOOKUP(B319,Raw_Risk_Profiles!$A:$A,Raw_Risk_Profiles!$D:$D,"")</f>
        <v/>
      </c>
      <c r="K319" s="4">
        <f>IFERROR(INDEX(Raw_Risk_Profiles!$E:$E,MATCH(B319,Raw_Risk_Profiles!$A:$A,0)),"Unknown")</f>
        <v/>
      </c>
      <c r="L319" s="4">
        <f>IFERROR(XLOOKUP(A319,Raw_Alerts!$B:$B,Raw_Alerts!$A:$A),"No Alert")</f>
        <v/>
      </c>
      <c r="M319" s="4">
        <f>IFERROR(XLOOKUP(A319,Raw_Alerts!$B:$B,Raw_Alerts!$C:$C),"")</f>
        <v/>
      </c>
      <c r="N319" s="4">
        <f>IFERROR(XLOOKUP(A319,Raw_Alerts!$B:$B,Raw_Alerts!$D:$D),"")</f>
        <v/>
      </c>
      <c r="O319" s="4">
        <f>IFERROR(XLOOKUP(A319,Raw_Alerts!$B:$B,Raw_Alerts!$F:$F),"")</f>
        <v/>
      </c>
      <c r="P319" s="4">
        <f>IF(H319="Not Found","CRITICAL: No Risk Profile",IF(I319="Missing","WARN: Missing KYC",IF(I319="Expired","WARN: KYC Expired",IF(I319="Pending","INFO: KYC Pending","OK"))))</f>
        <v/>
      </c>
    </row>
    <row r="320">
      <c r="A320" s="2">
        <f>Raw_Transactions!A320</f>
        <v/>
      </c>
      <c r="B320" s="2">
        <f>Raw_Transactions!B320</f>
        <v/>
      </c>
      <c r="C320" s="2">
        <f>Raw_Transactions!C320</f>
        <v/>
      </c>
      <c r="D320" s="3">
        <f>Raw_Transactions!D320</f>
        <v/>
      </c>
      <c r="E320" s="2">
        <f>Raw_Transactions!E320</f>
        <v/>
      </c>
      <c r="F320" s="2">
        <f>Raw_Transactions!F320</f>
        <v/>
      </c>
      <c r="G320" s="2">
        <f>Raw_Transactions!G320</f>
        <v/>
      </c>
      <c r="H320" s="2">
        <f>XLOOKUP(B320,Raw_Risk_Profiles!$A:$A,Raw_Risk_Profiles!$B:$B,"Not Found")</f>
        <v/>
      </c>
      <c r="I320" s="2">
        <f>XLOOKUP(B320,Raw_Risk_Profiles!$A:$A,Raw_Risk_Profiles!$C:$C,"Missing")</f>
        <v/>
      </c>
      <c r="J320" s="2">
        <f>XLOOKUP(B320,Raw_Risk_Profiles!$A:$A,Raw_Risk_Profiles!$D:$D,"")</f>
        <v/>
      </c>
      <c r="K320" s="2">
        <f>IFERROR(INDEX(Raw_Risk_Profiles!$E:$E,MATCH(B320,Raw_Risk_Profiles!$A:$A,0)),"Unknown")</f>
        <v/>
      </c>
      <c r="L320" s="2">
        <f>IFERROR(XLOOKUP(A320,Raw_Alerts!$B:$B,Raw_Alerts!$A:$A),"No Alert")</f>
        <v/>
      </c>
      <c r="M320" s="2">
        <f>IFERROR(XLOOKUP(A320,Raw_Alerts!$B:$B,Raw_Alerts!$C:$C),"")</f>
        <v/>
      </c>
      <c r="N320" s="2">
        <f>IFERROR(XLOOKUP(A320,Raw_Alerts!$B:$B,Raw_Alerts!$D:$D),"")</f>
        <v/>
      </c>
      <c r="O320" s="2">
        <f>IFERROR(XLOOKUP(A320,Raw_Alerts!$B:$B,Raw_Alerts!$F:$F),"")</f>
        <v/>
      </c>
      <c r="P320" s="2">
        <f>IF(H320="Not Found","CRITICAL: No Risk Profile",IF(I320="Missing","WARN: Missing KYC",IF(I320="Expired","WARN: KYC Expired",IF(I320="Pending","INFO: KYC Pending","OK"))))</f>
        <v/>
      </c>
    </row>
    <row r="321">
      <c r="A321" s="4">
        <f>Raw_Transactions!A321</f>
        <v/>
      </c>
      <c r="B321" s="4">
        <f>Raw_Transactions!B321</f>
        <v/>
      </c>
      <c r="C321" s="4">
        <f>Raw_Transactions!C321</f>
        <v/>
      </c>
      <c r="D321" s="5">
        <f>Raw_Transactions!D321</f>
        <v/>
      </c>
      <c r="E321" s="4">
        <f>Raw_Transactions!E321</f>
        <v/>
      </c>
      <c r="F321" s="4">
        <f>Raw_Transactions!F321</f>
        <v/>
      </c>
      <c r="G321" s="4">
        <f>Raw_Transactions!G321</f>
        <v/>
      </c>
      <c r="H321" s="4">
        <f>XLOOKUP(B321,Raw_Risk_Profiles!$A:$A,Raw_Risk_Profiles!$B:$B,"Not Found")</f>
        <v/>
      </c>
      <c r="I321" s="4">
        <f>XLOOKUP(B321,Raw_Risk_Profiles!$A:$A,Raw_Risk_Profiles!$C:$C,"Missing")</f>
        <v/>
      </c>
      <c r="J321" s="4">
        <f>XLOOKUP(B321,Raw_Risk_Profiles!$A:$A,Raw_Risk_Profiles!$D:$D,"")</f>
        <v/>
      </c>
      <c r="K321" s="4">
        <f>IFERROR(INDEX(Raw_Risk_Profiles!$E:$E,MATCH(B321,Raw_Risk_Profiles!$A:$A,0)),"Unknown")</f>
        <v/>
      </c>
      <c r="L321" s="4">
        <f>IFERROR(XLOOKUP(A321,Raw_Alerts!$B:$B,Raw_Alerts!$A:$A),"No Alert")</f>
        <v/>
      </c>
      <c r="M321" s="4">
        <f>IFERROR(XLOOKUP(A321,Raw_Alerts!$B:$B,Raw_Alerts!$C:$C),"")</f>
        <v/>
      </c>
      <c r="N321" s="4">
        <f>IFERROR(XLOOKUP(A321,Raw_Alerts!$B:$B,Raw_Alerts!$D:$D),"")</f>
        <v/>
      </c>
      <c r="O321" s="4">
        <f>IFERROR(XLOOKUP(A321,Raw_Alerts!$B:$B,Raw_Alerts!$F:$F),"")</f>
        <v/>
      </c>
      <c r="P321" s="4">
        <f>IF(H321="Not Found","CRITICAL: No Risk Profile",IF(I321="Missing","WARN: Missing KYC",IF(I321="Expired","WARN: KYC Expired",IF(I321="Pending","INFO: KYC Pending","OK"))))</f>
        <v/>
      </c>
    </row>
    <row r="322">
      <c r="A322" s="2">
        <f>Raw_Transactions!A322</f>
        <v/>
      </c>
      <c r="B322" s="2">
        <f>Raw_Transactions!B322</f>
        <v/>
      </c>
      <c r="C322" s="2">
        <f>Raw_Transactions!C322</f>
        <v/>
      </c>
      <c r="D322" s="3">
        <f>Raw_Transactions!D322</f>
        <v/>
      </c>
      <c r="E322" s="2">
        <f>Raw_Transactions!E322</f>
        <v/>
      </c>
      <c r="F322" s="2">
        <f>Raw_Transactions!F322</f>
        <v/>
      </c>
      <c r="G322" s="2">
        <f>Raw_Transactions!G322</f>
        <v/>
      </c>
      <c r="H322" s="2">
        <f>XLOOKUP(B322,Raw_Risk_Profiles!$A:$A,Raw_Risk_Profiles!$B:$B,"Not Found")</f>
        <v/>
      </c>
      <c r="I322" s="2">
        <f>XLOOKUP(B322,Raw_Risk_Profiles!$A:$A,Raw_Risk_Profiles!$C:$C,"Missing")</f>
        <v/>
      </c>
      <c r="J322" s="2">
        <f>XLOOKUP(B322,Raw_Risk_Profiles!$A:$A,Raw_Risk_Profiles!$D:$D,"")</f>
        <v/>
      </c>
      <c r="K322" s="2">
        <f>IFERROR(INDEX(Raw_Risk_Profiles!$E:$E,MATCH(B322,Raw_Risk_Profiles!$A:$A,0)),"Unknown")</f>
        <v/>
      </c>
      <c r="L322" s="2">
        <f>IFERROR(XLOOKUP(A322,Raw_Alerts!$B:$B,Raw_Alerts!$A:$A),"No Alert")</f>
        <v/>
      </c>
      <c r="M322" s="2">
        <f>IFERROR(XLOOKUP(A322,Raw_Alerts!$B:$B,Raw_Alerts!$C:$C),"")</f>
        <v/>
      </c>
      <c r="N322" s="2">
        <f>IFERROR(XLOOKUP(A322,Raw_Alerts!$B:$B,Raw_Alerts!$D:$D),"")</f>
        <v/>
      </c>
      <c r="O322" s="2">
        <f>IFERROR(XLOOKUP(A322,Raw_Alerts!$B:$B,Raw_Alerts!$F:$F),"")</f>
        <v/>
      </c>
      <c r="P322" s="2">
        <f>IF(H322="Not Found","CRITICAL: No Risk Profile",IF(I322="Missing","WARN: Missing KYC",IF(I322="Expired","WARN: KYC Expired",IF(I322="Pending","INFO: KYC Pending","OK"))))</f>
        <v/>
      </c>
    </row>
    <row r="323">
      <c r="A323" s="4">
        <f>Raw_Transactions!A323</f>
        <v/>
      </c>
      <c r="B323" s="4">
        <f>Raw_Transactions!B323</f>
        <v/>
      </c>
      <c r="C323" s="4">
        <f>Raw_Transactions!C323</f>
        <v/>
      </c>
      <c r="D323" s="5">
        <f>Raw_Transactions!D323</f>
        <v/>
      </c>
      <c r="E323" s="4">
        <f>Raw_Transactions!E323</f>
        <v/>
      </c>
      <c r="F323" s="4">
        <f>Raw_Transactions!F323</f>
        <v/>
      </c>
      <c r="G323" s="4">
        <f>Raw_Transactions!G323</f>
        <v/>
      </c>
      <c r="H323" s="4">
        <f>XLOOKUP(B323,Raw_Risk_Profiles!$A:$A,Raw_Risk_Profiles!$B:$B,"Not Found")</f>
        <v/>
      </c>
      <c r="I323" s="4">
        <f>XLOOKUP(B323,Raw_Risk_Profiles!$A:$A,Raw_Risk_Profiles!$C:$C,"Missing")</f>
        <v/>
      </c>
      <c r="J323" s="4">
        <f>XLOOKUP(B323,Raw_Risk_Profiles!$A:$A,Raw_Risk_Profiles!$D:$D,"")</f>
        <v/>
      </c>
      <c r="K323" s="4">
        <f>IFERROR(INDEX(Raw_Risk_Profiles!$E:$E,MATCH(B323,Raw_Risk_Profiles!$A:$A,0)),"Unknown")</f>
        <v/>
      </c>
      <c r="L323" s="4">
        <f>IFERROR(XLOOKUP(A323,Raw_Alerts!$B:$B,Raw_Alerts!$A:$A),"No Alert")</f>
        <v/>
      </c>
      <c r="M323" s="4">
        <f>IFERROR(XLOOKUP(A323,Raw_Alerts!$B:$B,Raw_Alerts!$C:$C),"")</f>
        <v/>
      </c>
      <c r="N323" s="4">
        <f>IFERROR(XLOOKUP(A323,Raw_Alerts!$B:$B,Raw_Alerts!$D:$D),"")</f>
        <v/>
      </c>
      <c r="O323" s="4">
        <f>IFERROR(XLOOKUP(A323,Raw_Alerts!$B:$B,Raw_Alerts!$F:$F),"")</f>
        <v/>
      </c>
      <c r="P323" s="4">
        <f>IF(H323="Not Found","CRITICAL: No Risk Profile",IF(I323="Missing","WARN: Missing KYC",IF(I323="Expired","WARN: KYC Expired",IF(I323="Pending","INFO: KYC Pending","OK"))))</f>
        <v/>
      </c>
    </row>
    <row r="324">
      <c r="A324" s="2">
        <f>Raw_Transactions!A324</f>
        <v/>
      </c>
      <c r="B324" s="2">
        <f>Raw_Transactions!B324</f>
        <v/>
      </c>
      <c r="C324" s="2">
        <f>Raw_Transactions!C324</f>
        <v/>
      </c>
      <c r="D324" s="3">
        <f>Raw_Transactions!D324</f>
        <v/>
      </c>
      <c r="E324" s="2">
        <f>Raw_Transactions!E324</f>
        <v/>
      </c>
      <c r="F324" s="2">
        <f>Raw_Transactions!F324</f>
        <v/>
      </c>
      <c r="G324" s="2">
        <f>Raw_Transactions!G324</f>
        <v/>
      </c>
      <c r="H324" s="2">
        <f>XLOOKUP(B324,Raw_Risk_Profiles!$A:$A,Raw_Risk_Profiles!$B:$B,"Not Found")</f>
        <v/>
      </c>
      <c r="I324" s="2">
        <f>XLOOKUP(B324,Raw_Risk_Profiles!$A:$A,Raw_Risk_Profiles!$C:$C,"Missing")</f>
        <v/>
      </c>
      <c r="J324" s="2">
        <f>XLOOKUP(B324,Raw_Risk_Profiles!$A:$A,Raw_Risk_Profiles!$D:$D,"")</f>
        <v/>
      </c>
      <c r="K324" s="2">
        <f>IFERROR(INDEX(Raw_Risk_Profiles!$E:$E,MATCH(B324,Raw_Risk_Profiles!$A:$A,0)),"Unknown")</f>
        <v/>
      </c>
      <c r="L324" s="2">
        <f>IFERROR(XLOOKUP(A324,Raw_Alerts!$B:$B,Raw_Alerts!$A:$A),"No Alert")</f>
        <v/>
      </c>
      <c r="M324" s="2">
        <f>IFERROR(XLOOKUP(A324,Raw_Alerts!$B:$B,Raw_Alerts!$C:$C),"")</f>
        <v/>
      </c>
      <c r="N324" s="2">
        <f>IFERROR(XLOOKUP(A324,Raw_Alerts!$B:$B,Raw_Alerts!$D:$D),"")</f>
        <v/>
      </c>
      <c r="O324" s="2">
        <f>IFERROR(XLOOKUP(A324,Raw_Alerts!$B:$B,Raw_Alerts!$F:$F),"")</f>
        <v/>
      </c>
      <c r="P324" s="2">
        <f>IF(H324="Not Found","CRITICAL: No Risk Profile",IF(I324="Missing","WARN: Missing KYC",IF(I324="Expired","WARN: KYC Expired",IF(I324="Pending","INFO: KYC Pending","OK"))))</f>
        <v/>
      </c>
    </row>
    <row r="325">
      <c r="A325" s="4">
        <f>Raw_Transactions!A325</f>
        <v/>
      </c>
      <c r="B325" s="4">
        <f>Raw_Transactions!B325</f>
        <v/>
      </c>
      <c r="C325" s="4">
        <f>Raw_Transactions!C325</f>
        <v/>
      </c>
      <c r="D325" s="5">
        <f>Raw_Transactions!D325</f>
        <v/>
      </c>
      <c r="E325" s="4">
        <f>Raw_Transactions!E325</f>
        <v/>
      </c>
      <c r="F325" s="4">
        <f>Raw_Transactions!F325</f>
        <v/>
      </c>
      <c r="G325" s="4">
        <f>Raw_Transactions!G325</f>
        <v/>
      </c>
      <c r="H325" s="4">
        <f>XLOOKUP(B325,Raw_Risk_Profiles!$A:$A,Raw_Risk_Profiles!$B:$B,"Not Found")</f>
        <v/>
      </c>
      <c r="I325" s="4">
        <f>XLOOKUP(B325,Raw_Risk_Profiles!$A:$A,Raw_Risk_Profiles!$C:$C,"Missing")</f>
        <v/>
      </c>
      <c r="J325" s="4">
        <f>XLOOKUP(B325,Raw_Risk_Profiles!$A:$A,Raw_Risk_Profiles!$D:$D,"")</f>
        <v/>
      </c>
      <c r="K325" s="4">
        <f>IFERROR(INDEX(Raw_Risk_Profiles!$E:$E,MATCH(B325,Raw_Risk_Profiles!$A:$A,0)),"Unknown")</f>
        <v/>
      </c>
      <c r="L325" s="4">
        <f>IFERROR(XLOOKUP(A325,Raw_Alerts!$B:$B,Raw_Alerts!$A:$A),"No Alert")</f>
        <v/>
      </c>
      <c r="M325" s="4">
        <f>IFERROR(XLOOKUP(A325,Raw_Alerts!$B:$B,Raw_Alerts!$C:$C),"")</f>
        <v/>
      </c>
      <c r="N325" s="4">
        <f>IFERROR(XLOOKUP(A325,Raw_Alerts!$B:$B,Raw_Alerts!$D:$D),"")</f>
        <v/>
      </c>
      <c r="O325" s="4">
        <f>IFERROR(XLOOKUP(A325,Raw_Alerts!$B:$B,Raw_Alerts!$F:$F),"")</f>
        <v/>
      </c>
      <c r="P325" s="4">
        <f>IF(H325="Not Found","CRITICAL: No Risk Profile",IF(I325="Missing","WARN: Missing KYC",IF(I325="Expired","WARN: KYC Expired",IF(I325="Pending","INFO: KYC Pending","OK"))))</f>
        <v/>
      </c>
    </row>
    <row r="326">
      <c r="A326" s="2">
        <f>Raw_Transactions!A326</f>
        <v/>
      </c>
      <c r="B326" s="2">
        <f>Raw_Transactions!B326</f>
        <v/>
      </c>
      <c r="C326" s="2">
        <f>Raw_Transactions!C326</f>
        <v/>
      </c>
      <c r="D326" s="3">
        <f>Raw_Transactions!D326</f>
        <v/>
      </c>
      <c r="E326" s="2">
        <f>Raw_Transactions!E326</f>
        <v/>
      </c>
      <c r="F326" s="2">
        <f>Raw_Transactions!F326</f>
        <v/>
      </c>
      <c r="G326" s="2">
        <f>Raw_Transactions!G326</f>
        <v/>
      </c>
      <c r="H326" s="2">
        <f>XLOOKUP(B326,Raw_Risk_Profiles!$A:$A,Raw_Risk_Profiles!$B:$B,"Not Found")</f>
        <v/>
      </c>
      <c r="I326" s="2">
        <f>XLOOKUP(B326,Raw_Risk_Profiles!$A:$A,Raw_Risk_Profiles!$C:$C,"Missing")</f>
        <v/>
      </c>
      <c r="J326" s="2">
        <f>XLOOKUP(B326,Raw_Risk_Profiles!$A:$A,Raw_Risk_Profiles!$D:$D,"")</f>
        <v/>
      </c>
      <c r="K326" s="2">
        <f>IFERROR(INDEX(Raw_Risk_Profiles!$E:$E,MATCH(B326,Raw_Risk_Profiles!$A:$A,0)),"Unknown")</f>
        <v/>
      </c>
      <c r="L326" s="2">
        <f>IFERROR(XLOOKUP(A326,Raw_Alerts!$B:$B,Raw_Alerts!$A:$A),"No Alert")</f>
        <v/>
      </c>
      <c r="M326" s="2">
        <f>IFERROR(XLOOKUP(A326,Raw_Alerts!$B:$B,Raw_Alerts!$C:$C),"")</f>
        <v/>
      </c>
      <c r="N326" s="2">
        <f>IFERROR(XLOOKUP(A326,Raw_Alerts!$B:$B,Raw_Alerts!$D:$D),"")</f>
        <v/>
      </c>
      <c r="O326" s="2">
        <f>IFERROR(XLOOKUP(A326,Raw_Alerts!$B:$B,Raw_Alerts!$F:$F),"")</f>
        <v/>
      </c>
      <c r="P326" s="2">
        <f>IF(H326="Not Found","CRITICAL: No Risk Profile",IF(I326="Missing","WARN: Missing KYC",IF(I326="Expired","WARN: KYC Expired",IF(I326="Pending","INFO: KYC Pending","OK"))))</f>
        <v/>
      </c>
    </row>
    <row r="327">
      <c r="A327" s="4">
        <f>Raw_Transactions!A327</f>
        <v/>
      </c>
      <c r="B327" s="4">
        <f>Raw_Transactions!B327</f>
        <v/>
      </c>
      <c r="C327" s="4">
        <f>Raw_Transactions!C327</f>
        <v/>
      </c>
      <c r="D327" s="5">
        <f>Raw_Transactions!D327</f>
        <v/>
      </c>
      <c r="E327" s="4">
        <f>Raw_Transactions!E327</f>
        <v/>
      </c>
      <c r="F327" s="4">
        <f>Raw_Transactions!F327</f>
        <v/>
      </c>
      <c r="G327" s="4">
        <f>Raw_Transactions!G327</f>
        <v/>
      </c>
      <c r="H327" s="4">
        <f>XLOOKUP(B327,Raw_Risk_Profiles!$A:$A,Raw_Risk_Profiles!$B:$B,"Not Found")</f>
        <v/>
      </c>
      <c r="I327" s="4">
        <f>XLOOKUP(B327,Raw_Risk_Profiles!$A:$A,Raw_Risk_Profiles!$C:$C,"Missing")</f>
        <v/>
      </c>
      <c r="J327" s="4">
        <f>XLOOKUP(B327,Raw_Risk_Profiles!$A:$A,Raw_Risk_Profiles!$D:$D,"")</f>
        <v/>
      </c>
      <c r="K327" s="4">
        <f>IFERROR(INDEX(Raw_Risk_Profiles!$E:$E,MATCH(B327,Raw_Risk_Profiles!$A:$A,0)),"Unknown")</f>
        <v/>
      </c>
      <c r="L327" s="4">
        <f>IFERROR(XLOOKUP(A327,Raw_Alerts!$B:$B,Raw_Alerts!$A:$A),"No Alert")</f>
        <v/>
      </c>
      <c r="M327" s="4">
        <f>IFERROR(XLOOKUP(A327,Raw_Alerts!$B:$B,Raw_Alerts!$C:$C),"")</f>
        <v/>
      </c>
      <c r="N327" s="4">
        <f>IFERROR(XLOOKUP(A327,Raw_Alerts!$B:$B,Raw_Alerts!$D:$D),"")</f>
        <v/>
      </c>
      <c r="O327" s="4">
        <f>IFERROR(XLOOKUP(A327,Raw_Alerts!$B:$B,Raw_Alerts!$F:$F),"")</f>
        <v/>
      </c>
      <c r="P327" s="4">
        <f>IF(H327="Not Found","CRITICAL: No Risk Profile",IF(I327="Missing","WARN: Missing KYC",IF(I327="Expired","WARN: KYC Expired",IF(I327="Pending","INFO: KYC Pending","OK"))))</f>
        <v/>
      </c>
    </row>
    <row r="328">
      <c r="A328" s="2">
        <f>Raw_Transactions!A328</f>
        <v/>
      </c>
      <c r="B328" s="2">
        <f>Raw_Transactions!B328</f>
        <v/>
      </c>
      <c r="C328" s="2">
        <f>Raw_Transactions!C328</f>
        <v/>
      </c>
      <c r="D328" s="3">
        <f>Raw_Transactions!D328</f>
        <v/>
      </c>
      <c r="E328" s="2">
        <f>Raw_Transactions!E328</f>
        <v/>
      </c>
      <c r="F328" s="2">
        <f>Raw_Transactions!F328</f>
        <v/>
      </c>
      <c r="G328" s="2">
        <f>Raw_Transactions!G328</f>
        <v/>
      </c>
      <c r="H328" s="2">
        <f>XLOOKUP(B328,Raw_Risk_Profiles!$A:$A,Raw_Risk_Profiles!$B:$B,"Not Found")</f>
        <v/>
      </c>
      <c r="I328" s="2">
        <f>XLOOKUP(B328,Raw_Risk_Profiles!$A:$A,Raw_Risk_Profiles!$C:$C,"Missing")</f>
        <v/>
      </c>
      <c r="J328" s="2">
        <f>XLOOKUP(B328,Raw_Risk_Profiles!$A:$A,Raw_Risk_Profiles!$D:$D,"")</f>
        <v/>
      </c>
      <c r="K328" s="2">
        <f>IFERROR(INDEX(Raw_Risk_Profiles!$E:$E,MATCH(B328,Raw_Risk_Profiles!$A:$A,0)),"Unknown")</f>
        <v/>
      </c>
      <c r="L328" s="2">
        <f>IFERROR(XLOOKUP(A328,Raw_Alerts!$B:$B,Raw_Alerts!$A:$A),"No Alert")</f>
        <v/>
      </c>
      <c r="M328" s="2">
        <f>IFERROR(XLOOKUP(A328,Raw_Alerts!$B:$B,Raw_Alerts!$C:$C),"")</f>
        <v/>
      </c>
      <c r="N328" s="2">
        <f>IFERROR(XLOOKUP(A328,Raw_Alerts!$B:$B,Raw_Alerts!$D:$D),"")</f>
        <v/>
      </c>
      <c r="O328" s="2">
        <f>IFERROR(XLOOKUP(A328,Raw_Alerts!$B:$B,Raw_Alerts!$F:$F),"")</f>
        <v/>
      </c>
      <c r="P328" s="2">
        <f>IF(H328="Not Found","CRITICAL: No Risk Profile",IF(I328="Missing","WARN: Missing KYC",IF(I328="Expired","WARN: KYC Expired",IF(I328="Pending","INFO: KYC Pending","OK"))))</f>
        <v/>
      </c>
    </row>
    <row r="329">
      <c r="A329" s="4">
        <f>Raw_Transactions!A329</f>
        <v/>
      </c>
      <c r="B329" s="4">
        <f>Raw_Transactions!B329</f>
        <v/>
      </c>
      <c r="C329" s="4">
        <f>Raw_Transactions!C329</f>
        <v/>
      </c>
      <c r="D329" s="5">
        <f>Raw_Transactions!D329</f>
        <v/>
      </c>
      <c r="E329" s="4">
        <f>Raw_Transactions!E329</f>
        <v/>
      </c>
      <c r="F329" s="4">
        <f>Raw_Transactions!F329</f>
        <v/>
      </c>
      <c r="G329" s="4">
        <f>Raw_Transactions!G329</f>
        <v/>
      </c>
      <c r="H329" s="4">
        <f>XLOOKUP(B329,Raw_Risk_Profiles!$A:$A,Raw_Risk_Profiles!$B:$B,"Not Found")</f>
        <v/>
      </c>
      <c r="I329" s="4">
        <f>XLOOKUP(B329,Raw_Risk_Profiles!$A:$A,Raw_Risk_Profiles!$C:$C,"Missing")</f>
        <v/>
      </c>
      <c r="J329" s="4">
        <f>XLOOKUP(B329,Raw_Risk_Profiles!$A:$A,Raw_Risk_Profiles!$D:$D,"")</f>
        <v/>
      </c>
      <c r="K329" s="4">
        <f>IFERROR(INDEX(Raw_Risk_Profiles!$E:$E,MATCH(B329,Raw_Risk_Profiles!$A:$A,0)),"Unknown")</f>
        <v/>
      </c>
      <c r="L329" s="4">
        <f>IFERROR(XLOOKUP(A329,Raw_Alerts!$B:$B,Raw_Alerts!$A:$A),"No Alert")</f>
        <v/>
      </c>
      <c r="M329" s="4">
        <f>IFERROR(XLOOKUP(A329,Raw_Alerts!$B:$B,Raw_Alerts!$C:$C),"")</f>
        <v/>
      </c>
      <c r="N329" s="4">
        <f>IFERROR(XLOOKUP(A329,Raw_Alerts!$B:$B,Raw_Alerts!$D:$D),"")</f>
        <v/>
      </c>
      <c r="O329" s="4">
        <f>IFERROR(XLOOKUP(A329,Raw_Alerts!$B:$B,Raw_Alerts!$F:$F),"")</f>
        <v/>
      </c>
      <c r="P329" s="4">
        <f>IF(H329="Not Found","CRITICAL: No Risk Profile",IF(I329="Missing","WARN: Missing KYC",IF(I329="Expired","WARN: KYC Expired",IF(I329="Pending","INFO: KYC Pending","OK"))))</f>
        <v/>
      </c>
    </row>
    <row r="330">
      <c r="A330" s="2">
        <f>Raw_Transactions!A330</f>
        <v/>
      </c>
      <c r="B330" s="2">
        <f>Raw_Transactions!B330</f>
        <v/>
      </c>
      <c r="C330" s="2">
        <f>Raw_Transactions!C330</f>
        <v/>
      </c>
      <c r="D330" s="3">
        <f>Raw_Transactions!D330</f>
        <v/>
      </c>
      <c r="E330" s="2">
        <f>Raw_Transactions!E330</f>
        <v/>
      </c>
      <c r="F330" s="2">
        <f>Raw_Transactions!F330</f>
        <v/>
      </c>
      <c r="G330" s="2">
        <f>Raw_Transactions!G330</f>
        <v/>
      </c>
      <c r="H330" s="2">
        <f>XLOOKUP(B330,Raw_Risk_Profiles!$A:$A,Raw_Risk_Profiles!$B:$B,"Not Found")</f>
        <v/>
      </c>
      <c r="I330" s="2">
        <f>XLOOKUP(B330,Raw_Risk_Profiles!$A:$A,Raw_Risk_Profiles!$C:$C,"Missing")</f>
        <v/>
      </c>
      <c r="J330" s="2">
        <f>XLOOKUP(B330,Raw_Risk_Profiles!$A:$A,Raw_Risk_Profiles!$D:$D,"")</f>
        <v/>
      </c>
      <c r="K330" s="2">
        <f>IFERROR(INDEX(Raw_Risk_Profiles!$E:$E,MATCH(B330,Raw_Risk_Profiles!$A:$A,0)),"Unknown")</f>
        <v/>
      </c>
      <c r="L330" s="2">
        <f>IFERROR(XLOOKUP(A330,Raw_Alerts!$B:$B,Raw_Alerts!$A:$A),"No Alert")</f>
        <v/>
      </c>
      <c r="M330" s="2">
        <f>IFERROR(XLOOKUP(A330,Raw_Alerts!$B:$B,Raw_Alerts!$C:$C),"")</f>
        <v/>
      </c>
      <c r="N330" s="2">
        <f>IFERROR(XLOOKUP(A330,Raw_Alerts!$B:$B,Raw_Alerts!$D:$D),"")</f>
        <v/>
      </c>
      <c r="O330" s="2">
        <f>IFERROR(XLOOKUP(A330,Raw_Alerts!$B:$B,Raw_Alerts!$F:$F),"")</f>
        <v/>
      </c>
      <c r="P330" s="2">
        <f>IF(H330="Not Found","CRITICAL: No Risk Profile",IF(I330="Missing","WARN: Missing KYC",IF(I330="Expired","WARN: KYC Expired",IF(I330="Pending","INFO: KYC Pending","OK"))))</f>
        <v/>
      </c>
    </row>
    <row r="331">
      <c r="A331" s="4">
        <f>Raw_Transactions!A331</f>
        <v/>
      </c>
      <c r="B331" s="4">
        <f>Raw_Transactions!B331</f>
        <v/>
      </c>
      <c r="C331" s="4">
        <f>Raw_Transactions!C331</f>
        <v/>
      </c>
      <c r="D331" s="5">
        <f>Raw_Transactions!D331</f>
        <v/>
      </c>
      <c r="E331" s="4">
        <f>Raw_Transactions!E331</f>
        <v/>
      </c>
      <c r="F331" s="4">
        <f>Raw_Transactions!F331</f>
        <v/>
      </c>
      <c r="G331" s="4">
        <f>Raw_Transactions!G331</f>
        <v/>
      </c>
      <c r="H331" s="4">
        <f>XLOOKUP(B331,Raw_Risk_Profiles!$A:$A,Raw_Risk_Profiles!$B:$B,"Not Found")</f>
        <v/>
      </c>
      <c r="I331" s="4">
        <f>XLOOKUP(B331,Raw_Risk_Profiles!$A:$A,Raw_Risk_Profiles!$C:$C,"Missing")</f>
        <v/>
      </c>
      <c r="J331" s="4">
        <f>XLOOKUP(B331,Raw_Risk_Profiles!$A:$A,Raw_Risk_Profiles!$D:$D,"")</f>
        <v/>
      </c>
      <c r="K331" s="4">
        <f>IFERROR(INDEX(Raw_Risk_Profiles!$E:$E,MATCH(B331,Raw_Risk_Profiles!$A:$A,0)),"Unknown")</f>
        <v/>
      </c>
      <c r="L331" s="4">
        <f>IFERROR(XLOOKUP(A331,Raw_Alerts!$B:$B,Raw_Alerts!$A:$A),"No Alert")</f>
        <v/>
      </c>
      <c r="M331" s="4">
        <f>IFERROR(XLOOKUP(A331,Raw_Alerts!$B:$B,Raw_Alerts!$C:$C),"")</f>
        <v/>
      </c>
      <c r="N331" s="4">
        <f>IFERROR(XLOOKUP(A331,Raw_Alerts!$B:$B,Raw_Alerts!$D:$D),"")</f>
        <v/>
      </c>
      <c r="O331" s="4">
        <f>IFERROR(XLOOKUP(A331,Raw_Alerts!$B:$B,Raw_Alerts!$F:$F),"")</f>
        <v/>
      </c>
      <c r="P331" s="4">
        <f>IF(H331="Not Found","CRITICAL: No Risk Profile",IF(I331="Missing","WARN: Missing KYC",IF(I331="Expired","WARN: KYC Expired",IF(I331="Pending","INFO: KYC Pending","OK"))))</f>
        <v/>
      </c>
    </row>
    <row r="332">
      <c r="A332" s="2">
        <f>Raw_Transactions!A332</f>
        <v/>
      </c>
      <c r="B332" s="2">
        <f>Raw_Transactions!B332</f>
        <v/>
      </c>
      <c r="C332" s="2">
        <f>Raw_Transactions!C332</f>
        <v/>
      </c>
      <c r="D332" s="3">
        <f>Raw_Transactions!D332</f>
        <v/>
      </c>
      <c r="E332" s="2">
        <f>Raw_Transactions!E332</f>
        <v/>
      </c>
      <c r="F332" s="2">
        <f>Raw_Transactions!F332</f>
        <v/>
      </c>
      <c r="G332" s="2">
        <f>Raw_Transactions!G332</f>
        <v/>
      </c>
      <c r="H332" s="2">
        <f>XLOOKUP(B332,Raw_Risk_Profiles!$A:$A,Raw_Risk_Profiles!$B:$B,"Not Found")</f>
        <v/>
      </c>
      <c r="I332" s="2">
        <f>XLOOKUP(B332,Raw_Risk_Profiles!$A:$A,Raw_Risk_Profiles!$C:$C,"Missing")</f>
        <v/>
      </c>
      <c r="J332" s="2">
        <f>XLOOKUP(B332,Raw_Risk_Profiles!$A:$A,Raw_Risk_Profiles!$D:$D,"")</f>
        <v/>
      </c>
      <c r="K332" s="2">
        <f>IFERROR(INDEX(Raw_Risk_Profiles!$E:$E,MATCH(B332,Raw_Risk_Profiles!$A:$A,0)),"Unknown")</f>
        <v/>
      </c>
      <c r="L332" s="2">
        <f>IFERROR(XLOOKUP(A332,Raw_Alerts!$B:$B,Raw_Alerts!$A:$A),"No Alert")</f>
        <v/>
      </c>
      <c r="M332" s="2">
        <f>IFERROR(XLOOKUP(A332,Raw_Alerts!$B:$B,Raw_Alerts!$C:$C),"")</f>
        <v/>
      </c>
      <c r="N332" s="2">
        <f>IFERROR(XLOOKUP(A332,Raw_Alerts!$B:$B,Raw_Alerts!$D:$D),"")</f>
        <v/>
      </c>
      <c r="O332" s="2">
        <f>IFERROR(XLOOKUP(A332,Raw_Alerts!$B:$B,Raw_Alerts!$F:$F),"")</f>
        <v/>
      </c>
      <c r="P332" s="2">
        <f>IF(H332="Not Found","CRITICAL: No Risk Profile",IF(I332="Missing","WARN: Missing KYC",IF(I332="Expired","WARN: KYC Expired",IF(I332="Pending","INFO: KYC Pending","OK"))))</f>
        <v/>
      </c>
    </row>
    <row r="333">
      <c r="A333" s="4">
        <f>Raw_Transactions!A333</f>
        <v/>
      </c>
      <c r="B333" s="4">
        <f>Raw_Transactions!B333</f>
        <v/>
      </c>
      <c r="C333" s="4">
        <f>Raw_Transactions!C333</f>
        <v/>
      </c>
      <c r="D333" s="5">
        <f>Raw_Transactions!D333</f>
        <v/>
      </c>
      <c r="E333" s="4">
        <f>Raw_Transactions!E333</f>
        <v/>
      </c>
      <c r="F333" s="4">
        <f>Raw_Transactions!F333</f>
        <v/>
      </c>
      <c r="G333" s="4">
        <f>Raw_Transactions!G333</f>
        <v/>
      </c>
      <c r="H333" s="4">
        <f>XLOOKUP(B333,Raw_Risk_Profiles!$A:$A,Raw_Risk_Profiles!$B:$B,"Not Found")</f>
        <v/>
      </c>
      <c r="I333" s="4">
        <f>XLOOKUP(B333,Raw_Risk_Profiles!$A:$A,Raw_Risk_Profiles!$C:$C,"Missing")</f>
        <v/>
      </c>
      <c r="J333" s="4">
        <f>XLOOKUP(B333,Raw_Risk_Profiles!$A:$A,Raw_Risk_Profiles!$D:$D,"")</f>
        <v/>
      </c>
      <c r="K333" s="4">
        <f>IFERROR(INDEX(Raw_Risk_Profiles!$E:$E,MATCH(B333,Raw_Risk_Profiles!$A:$A,0)),"Unknown")</f>
        <v/>
      </c>
      <c r="L333" s="4">
        <f>IFERROR(XLOOKUP(A333,Raw_Alerts!$B:$B,Raw_Alerts!$A:$A),"No Alert")</f>
        <v/>
      </c>
      <c r="M333" s="4">
        <f>IFERROR(XLOOKUP(A333,Raw_Alerts!$B:$B,Raw_Alerts!$C:$C),"")</f>
        <v/>
      </c>
      <c r="N333" s="4">
        <f>IFERROR(XLOOKUP(A333,Raw_Alerts!$B:$B,Raw_Alerts!$D:$D),"")</f>
        <v/>
      </c>
      <c r="O333" s="4">
        <f>IFERROR(XLOOKUP(A333,Raw_Alerts!$B:$B,Raw_Alerts!$F:$F),"")</f>
        <v/>
      </c>
      <c r="P333" s="4">
        <f>IF(H333="Not Found","CRITICAL: No Risk Profile",IF(I333="Missing","WARN: Missing KYC",IF(I333="Expired","WARN: KYC Expired",IF(I333="Pending","INFO: KYC Pending","OK"))))</f>
        <v/>
      </c>
    </row>
    <row r="334">
      <c r="A334" s="2">
        <f>Raw_Transactions!A334</f>
        <v/>
      </c>
      <c r="B334" s="2">
        <f>Raw_Transactions!B334</f>
        <v/>
      </c>
      <c r="C334" s="2">
        <f>Raw_Transactions!C334</f>
        <v/>
      </c>
      <c r="D334" s="3">
        <f>Raw_Transactions!D334</f>
        <v/>
      </c>
      <c r="E334" s="2">
        <f>Raw_Transactions!E334</f>
        <v/>
      </c>
      <c r="F334" s="2">
        <f>Raw_Transactions!F334</f>
        <v/>
      </c>
      <c r="G334" s="2">
        <f>Raw_Transactions!G334</f>
        <v/>
      </c>
      <c r="H334" s="2">
        <f>XLOOKUP(B334,Raw_Risk_Profiles!$A:$A,Raw_Risk_Profiles!$B:$B,"Not Found")</f>
        <v/>
      </c>
      <c r="I334" s="2">
        <f>XLOOKUP(B334,Raw_Risk_Profiles!$A:$A,Raw_Risk_Profiles!$C:$C,"Missing")</f>
        <v/>
      </c>
      <c r="J334" s="2">
        <f>XLOOKUP(B334,Raw_Risk_Profiles!$A:$A,Raw_Risk_Profiles!$D:$D,"")</f>
        <v/>
      </c>
      <c r="K334" s="2">
        <f>IFERROR(INDEX(Raw_Risk_Profiles!$E:$E,MATCH(B334,Raw_Risk_Profiles!$A:$A,0)),"Unknown")</f>
        <v/>
      </c>
      <c r="L334" s="2">
        <f>IFERROR(XLOOKUP(A334,Raw_Alerts!$B:$B,Raw_Alerts!$A:$A),"No Alert")</f>
        <v/>
      </c>
      <c r="M334" s="2">
        <f>IFERROR(XLOOKUP(A334,Raw_Alerts!$B:$B,Raw_Alerts!$C:$C),"")</f>
        <v/>
      </c>
      <c r="N334" s="2">
        <f>IFERROR(XLOOKUP(A334,Raw_Alerts!$B:$B,Raw_Alerts!$D:$D),"")</f>
        <v/>
      </c>
      <c r="O334" s="2">
        <f>IFERROR(XLOOKUP(A334,Raw_Alerts!$B:$B,Raw_Alerts!$F:$F),"")</f>
        <v/>
      </c>
      <c r="P334" s="2">
        <f>IF(H334="Not Found","CRITICAL: No Risk Profile",IF(I334="Missing","WARN: Missing KYC",IF(I334="Expired","WARN: KYC Expired",IF(I334="Pending","INFO: KYC Pending","OK"))))</f>
        <v/>
      </c>
    </row>
    <row r="335">
      <c r="A335" s="4">
        <f>Raw_Transactions!A335</f>
        <v/>
      </c>
      <c r="B335" s="4">
        <f>Raw_Transactions!B335</f>
        <v/>
      </c>
      <c r="C335" s="4">
        <f>Raw_Transactions!C335</f>
        <v/>
      </c>
      <c r="D335" s="5">
        <f>Raw_Transactions!D335</f>
        <v/>
      </c>
      <c r="E335" s="4">
        <f>Raw_Transactions!E335</f>
        <v/>
      </c>
      <c r="F335" s="4">
        <f>Raw_Transactions!F335</f>
        <v/>
      </c>
      <c r="G335" s="4">
        <f>Raw_Transactions!G335</f>
        <v/>
      </c>
      <c r="H335" s="4">
        <f>XLOOKUP(B335,Raw_Risk_Profiles!$A:$A,Raw_Risk_Profiles!$B:$B,"Not Found")</f>
        <v/>
      </c>
      <c r="I335" s="4">
        <f>XLOOKUP(B335,Raw_Risk_Profiles!$A:$A,Raw_Risk_Profiles!$C:$C,"Missing")</f>
        <v/>
      </c>
      <c r="J335" s="4">
        <f>XLOOKUP(B335,Raw_Risk_Profiles!$A:$A,Raw_Risk_Profiles!$D:$D,"")</f>
        <v/>
      </c>
      <c r="K335" s="4">
        <f>IFERROR(INDEX(Raw_Risk_Profiles!$E:$E,MATCH(B335,Raw_Risk_Profiles!$A:$A,0)),"Unknown")</f>
        <v/>
      </c>
      <c r="L335" s="4">
        <f>IFERROR(XLOOKUP(A335,Raw_Alerts!$B:$B,Raw_Alerts!$A:$A),"No Alert")</f>
        <v/>
      </c>
      <c r="M335" s="4">
        <f>IFERROR(XLOOKUP(A335,Raw_Alerts!$B:$B,Raw_Alerts!$C:$C),"")</f>
        <v/>
      </c>
      <c r="N335" s="4">
        <f>IFERROR(XLOOKUP(A335,Raw_Alerts!$B:$B,Raw_Alerts!$D:$D),"")</f>
        <v/>
      </c>
      <c r="O335" s="4">
        <f>IFERROR(XLOOKUP(A335,Raw_Alerts!$B:$B,Raw_Alerts!$F:$F),"")</f>
        <v/>
      </c>
      <c r="P335" s="4">
        <f>IF(H335="Not Found","CRITICAL: No Risk Profile",IF(I335="Missing","WARN: Missing KYC",IF(I335="Expired","WARN: KYC Expired",IF(I335="Pending","INFO: KYC Pending","OK"))))</f>
        <v/>
      </c>
    </row>
    <row r="336">
      <c r="A336" s="2">
        <f>Raw_Transactions!A336</f>
        <v/>
      </c>
      <c r="B336" s="2">
        <f>Raw_Transactions!B336</f>
        <v/>
      </c>
      <c r="C336" s="2">
        <f>Raw_Transactions!C336</f>
        <v/>
      </c>
      <c r="D336" s="3">
        <f>Raw_Transactions!D336</f>
        <v/>
      </c>
      <c r="E336" s="2">
        <f>Raw_Transactions!E336</f>
        <v/>
      </c>
      <c r="F336" s="2">
        <f>Raw_Transactions!F336</f>
        <v/>
      </c>
      <c r="G336" s="2">
        <f>Raw_Transactions!G336</f>
        <v/>
      </c>
      <c r="H336" s="2">
        <f>XLOOKUP(B336,Raw_Risk_Profiles!$A:$A,Raw_Risk_Profiles!$B:$B,"Not Found")</f>
        <v/>
      </c>
      <c r="I336" s="2">
        <f>XLOOKUP(B336,Raw_Risk_Profiles!$A:$A,Raw_Risk_Profiles!$C:$C,"Missing")</f>
        <v/>
      </c>
      <c r="J336" s="2">
        <f>XLOOKUP(B336,Raw_Risk_Profiles!$A:$A,Raw_Risk_Profiles!$D:$D,"")</f>
        <v/>
      </c>
      <c r="K336" s="2">
        <f>IFERROR(INDEX(Raw_Risk_Profiles!$E:$E,MATCH(B336,Raw_Risk_Profiles!$A:$A,0)),"Unknown")</f>
        <v/>
      </c>
      <c r="L336" s="2">
        <f>IFERROR(XLOOKUP(A336,Raw_Alerts!$B:$B,Raw_Alerts!$A:$A),"No Alert")</f>
        <v/>
      </c>
      <c r="M336" s="2">
        <f>IFERROR(XLOOKUP(A336,Raw_Alerts!$B:$B,Raw_Alerts!$C:$C),"")</f>
        <v/>
      </c>
      <c r="N336" s="2">
        <f>IFERROR(XLOOKUP(A336,Raw_Alerts!$B:$B,Raw_Alerts!$D:$D),"")</f>
        <v/>
      </c>
      <c r="O336" s="2">
        <f>IFERROR(XLOOKUP(A336,Raw_Alerts!$B:$B,Raw_Alerts!$F:$F),"")</f>
        <v/>
      </c>
      <c r="P336" s="2">
        <f>IF(H336="Not Found","CRITICAL: No Risk Profile",IF(I336="Missing","WARN: Missing KYC",IF(I336="Expired","WARN: KYC Expired",IF(I336="Pending","INFO: KYC Pending","OK"))))</f>
        <v/>
      </c>
    </row>
    <row r="337">
      <c r="A337" s="4">
        <f>Raw_Transactions!A337</f>
        <v/>
      </c>
      <c r="B337" s="4">
        <f>Raw_Transactions!B337</f>
        <v/>
      </c>
      <c r="C337" s="4">
        <f>Raw_Transactions!C337</f>
        <v/>
      </c>
      <c r="D337" s="5">
        <f>Raw_Transactions!D337</f>
        <v/>
      </c>
      <c r="E337" s="4">
        <f>Raw_Transactions!E337</f>
        <v/>
      </c>
      <c r="F337" s="4">
        <f>Raw_Transactions!F337</f>
        <v/>
      </c>
      <c r="G337" s="4">
        <f>Raw_Transactions!G337</f>
        <v/>
      </c>
      <c r="H337" s="4">
        <f>XLOOKUP(B337,Raw_Risk_Profiles!$A:$A,Raw_Risk_Profiles!$B:$B,"Not Found")</f>
        <v/>
      </c>
      <c r="I337" s="4">
        <f>XLOOKUP(B337,Raw_Risk_Profiles!$A:$A,Raw_Risk_Profiles!$C:$C,"Missing")</f>
        <v/>
      </c>
      <c r="J337" s="4">
        <f>XLOOKUP(B337,Raw_Risk_Profiles!$A:$A,Raw_Risk_Profiles!$D:$D,"")</f>
        <v/>
      </c>
      <c r="K337" s="4">
        <f>IFERROR(INDEX(Raw_Risk_Profiles!$E:$E,MATCH(B337,Raw_Risk_Profiles!$A:$A,0)),"Unknown")</f>
        <v/>
      </c>
      <c r="L337" s="4">
        <f>IFERROR(XLOOKUP(A337,Raw_Alerts!$B:$B,Raw_Alerts!$A:$A),"No Alert")</f>
        <v/>
      </c>
      <c r="M337" s="4">
        <f>IFERROR(XLOOKUP(A337,Raw_Alerts!$B:$B,Raw_Alerts!$C:$C),"")</f>
        <v/>
      </c>
      <c r="N337" s="4">
        <f>IFERROR(XLOOKUP(A337,Raw_Alerts!$B:$B,Raw_Alerts!$D:$D),"")</f>
        <v/>
      </c>
      <c r="O337" s="4">
        <f>IFERROR(XLOOKUP(A337,Raw_Alerts!$B:$B,Raw_Alerts!$F:$F),"")</f>
        <v/>
      </c>
      <c r="P337" s="4">
        <f>IF(H337="Not Found","CRITICAL: No Risk Profile",IF(I337="Missing","WARN: Missing KYC",IF(I337="Expired","WARN: KYC Expired",IF(I337="Pending","INFO: KYC Pending","OK"))))</f>
        <v/>
      </c>
    </row>
    <row r="338">
      <c r="A338" s="2">
        <f>Raw_Transactions!A338</f>
        <v/>
      </c>
      <c r="B338" s="2">
        <f>Raw_Transactions!B338</f>
        <v/>
      </c>
      <c r="C338" s="2">
        <f>Raw_Transactions!C338</f>
        <v/>
      </c>
      <c r="D338" s="3">
        <f>Raw_Transactions!D338</f>
        <v/>
      </c>
      <c r="E338" s="2">
        <f>Raw_Transactions!E338</f>
        <v/>
      </c>
      <c r="F338" s="2">
        <f>Raw_Transactions!F338</f>
        <v/>
      </c>
      <c r="G338" s="2">
        <f>Raw_Transactions!G338</f>
        <v/>
      </c>
      <c r="H338" s="2">
        <f>XLOOKUP(B338,Raw_Risk_Profiles!$A:$A,Raw_Risk_Profiles!$B:$B,"Not Found")</f>
        <v/>
      </c>
      <c r="I338" s="2">
        <f>XLOOKUP(B338,Raw_Risk_Profiles!$A:$A,Raw_Risk_Profiles!$C:$C,"Missing")</f>
        <v/>
      </c>
      <c r="J338" s="2">
        <f>XLOOKUP(B338,Raw_Risk_Profiles!$A:$A,Raw_Risk_Profiles!$D:$D,"")</f>
        <v/>
      </c>
      <c r="K338" s="2">
        <f>IFERROR(INDEX(Raw_Risk_Profiles!$E:$E,MATCH(B338,Raw_Risk_Profiles!$A:$A,0)),"Unknown")</f>
        <v/>
      </c>
      <c r="L338" s="2">
        <f>IFERROR(XLOOKUP(A338,Raw_Alerts!$B:$B,Raw_Alerts!$A:$A),"No Alert")</f>
        <v/>
      </c>
      <c r="M338" s="2">
        <f>IFERROR(XLOOKUP(A338,Raw_Alerts!$B:$B,Raw_Alerts!$C:$C),"")</f>
        <v/>
      </c>
      <c r="N338" s="2">
        <f>IFERROR(XLOOKUP(A338,Raw_Alerts!$B:$B,Raw_Alerts!$D:$D),"")</f>
        <v/>
      </c>
      <c r="O338" s="2">
        <f>IFERROR(XLOOKUP(A338,Raw_Alerts!$B:$B,Raw_Alerts!$F:$F),"")</f>
        <v/>
      </c>
      <c r="P338" s="2">
        <f>IF(H338="Not Found","CRITICAL: No Risk Profile",IF(I338="Missing","WARN: Missing KYC",IF(I338="Expired","WARN: KYC Expired",IF(I338="Pending","INFO: KYC Pending","OK"))))</f>
        <v/>
      </c>
    </row>
    <row r="339">
      <c r="A339" s="4">
        <f>Raw_Transactions!A339</f>
        <v/>
      </c>
      <c r="B339" s="4">
        <f>Raw_Transactions!B339</f>
        <v/>
      </c>
      <c r="C339" s="4">
        <f>Raw_Transactions!C339</f>
        <v/>
      </c>
      <c r="D339" s="5">
        <f>Raw_Transactions!D339</f>
        <v/>
      </c>
      <c r="E339" s="4">
        <f>Raw_Transactions!E339</f>
        <v/>
      </c>
      <c r="F339" s="4">
        <f>Raw_Transactions!F339</f>
        <v/>
      </c>
      <c r="G339" s="4">
        <f>Raw_Transactions!G339</f>
        <v/>
      </c>
      <c r="H339" s="4">
        <f>XLOOKUP(B339,Raw_Risk_Profiles!$A:$A,Raw_Risk_Profiles!$B:$B,"Not Found")</f>
        <v/>
      </c>
      <c r="I339" s="4">
        <f>XLOOKUP(B339,Raw_Risk_Profiles!$A:$A,Raw_Risk_Profiles!$C:$C,"Missing")</f>
        <v/>
      </c>
      <c r="J339" s="4">
        <f>XLOOKUP(B339,Raw_Risk_Profiles!$A:$A,Raw_Risk_Profiles!$D:$D,"")</f>
        <v/>
      </c>
      <c r="K339" s="4">
        <f>IFERROR(INDEX(Raw_Risk_Profiles!$E:$E,MATCH(B339,Raw_Risk_Profiles!$A:$A,0)),"Unknown")</f>
        <v/>
      </c>
      <c r="L339" s="4">
        <f>IFERROR(XLOOKUP(A339,Raw_Alerts!$B:$B,Raw_Alerts!$A:$A),"No Alert")</f>
        <v/>
      </c>
      <c r="M339" s="4">
        <f>IFERROR(XLOOKUP(A339,Raw_Alerts!$B:$B,Raw_Alerts!$C:$C),"")</f>
        <v/>
      </c>
      <c r="N339" s="4">
        <f>IFERROR(XLOOKUP(A339,Raw_Alerts!$B:$B,Raw_Alerts!$D:$D),"")</f>
        <v/>
      </c>
      <c r="O339" s="4">
        <f>IFERROR(XLOOKUP(A339,Raw_Alerts!$B:$B,Raw_Alerts!$F:$F),"")</f>
        <v/>
      </c>
      <c r="P339" s="4">
        <f>IF(H339="Not Found","CRITICAL: No Risk Profile",IF(I339="Missing","WARN: Missing KYC",IF(I339="Expired","WARN: KYC Expired",IF(I339="Pending","INFO: KYC Pending","OK"))))</f>
        <v/>
      </c>
    </row>
    <row r="340">
      <c r="A340" s="2">
        <f>Raw_Transactions!A340</f>
        <v/>
      </c>
      <c r="B340" s="2">
        <f>Raw_Transactions!B340</f>
        <v/>
      </c>
      <c r="C340" s="2">
        <f>Raw_Transactions!C340</f>
        <v/>
      </c>
      <c r="D340" s="3">
        <f>Raw_Transactions!D340</f>
        <v/>
      </c>
      <c r="E340" s="2">
        <f>Raw_Transactions!E340</f>
        <v/>
      </c>
      <c r="F340" s="2">
        <f>Raw_Transactions!F340</f>
        <v/>
      </c>
      <c r="G340" s="2">
        <f>Raw_Transactions!G340</f>
        <v/>
      </c>
      <c r="H340" s="2">
        <f>XLOOKUP(B340,Raw_Risk_Profiles!$A:$A,Raw_Risk_Profiles!$B:$B,"Not Found")</f>
        <v/>
      </c>
      <c r="I340" s="2">
        <f>XLOOKUP(B340,Raw_Risk_Profiles!$A:$A,Raw_Risk_Profiles!$C:$C,"Missing")</f>
        <v/>
      </c>
      <c r="J340" s="2">
        <f>XLOOKUP(B340,Raw_Risk_Profiles!$A:$A,Raw_Risk_Profiles!$D:$D,"")</f>
        <v/>
      </c>
      <c r="K340" s="2">
        <f>IFERROR(INDEX(Raw_Risk_Profiles!$E:$E,MATCH(B340,Raw_Risk_Profiles!$A:$A,0)),"Unknown")</f>
        <v/>
      </c>
      <c r="L340" s="2">
        <f>IFERROR(XLOOKUP(A340,Raw_Alerts!$B:$B,Raw_Alerts!$A:$A),"No Alert")</f>
        <v/>
      </c>
      <c r="M340" s="2">
        <f>IFERROR(XLOOKUP(A340,Raw_Alerts!$B:$B,Raw_Alerts!$C:$C),"")</f>
        <v/>
      </c>
      <c r="N340" s="2">
        <f>IFERROR(XLOOKUP(A340,Raw_Alerts!$B:$B,Raw_Alerts!$D:$D),"")</f>
        <v/>
      </c>
      <c r="O340" s="2">
        <f>IFERROR(XLOOKUP(A340,Raw_Alerts!$B:$B,Raw_Alerts!$F:$F),"")</f>
        <v/>
      </c>
      <c r="P340" s="2">
        <f>IF(H340="Not Found","CRITICAL: No Risk Profile",IF(I340="Missing","WARN: Missing KYC",IF(I340="Expired","WARN: KYC Expired",IF(I340="Pending","INFO: KYC Pending","OK"))))</f>
        <v/>
      </c>
    </row>
    <row r="341">
      <c r="A341" s="4">
        <f>Raw_Transactions!A341</f>
        <v/>
      </c>
      <c r="B341" s="4">
        <f>Raw_Transactions!B341</f>
        <v/>
      </c>
      <c r="C341" s="4">
        <f>Raw_Transactions!C341</f>
        <v/>
      </c>
      <c r="D341" s="5">
        <f>Raw_Transactions!D341</f>
        <v/>
      </c>
      <c r="E341" s="4">
        <f>Raw_Transactions!E341</f>
        <v/>
      </c>
      <c r="F341" s="4">
        <f>Raw_Transactions!F341</f>
        <v/>
      </c>
      <c r="G341" s="4">
        <f>Raw_Transactions!G341</f>
        <v/>
      </c>
      <c r="H341" s="4">
        <f>XLOOKUP(B341,Raw_Risk_Profiles!$A:$A,Raw_Risk_Profiles!$B:$B,"Not Found")</f>
        <v/>
      </c>
      <c r="I341" s="4">
        <f>XLOOKUP(B341,Raw_Risk_Profiles!$A:$A,Raw_Risk_Profiles!$C:$C,"Missing")</f>
        <v/>
      </c>
      <c r="J341" s="4">
        <f>XLOOKUP(B341,Raw_Risk_Profiles!$A:$A,Raw_Risk_Profiles!$D:$D,"")</f>
        <v/>
      </c>
      <c r="K341" s="4">
        <f>IFERROR(INDEX(Raw_Risk_Profiles!$E:$E,MATCH(B341,Raw_Risk_Profiles!$A:$A,0)),"Unknown")</f>
        <v/>
      </c>
      <c r="L341" s="4">
        <f>IFERROR(XLOOKUP(A341,Raw_Alerts!$B:$B,Raw_Alerts!$A:$A),"No Alert")</f>
        <v/>
      </c>
      <c r="M341" s="4">
        <f>IFERROR(XLOOKUP(A341,Raw_Alerts!$B:$B,Raw_Alerts!$C:$C),"")</f>
        <v/>
      </c>
      <c r="N341" s="4">
        <f>IFERROR(XLOOKUP(A341,Raw_Alerts!$B:$B,Raw_Alerts!$D:$D),"")</f>
        <v/>
      </c>
      <c r="O341" s="4">
        <f>IFERROR(XLOOKUP(A341,Raw_Alerts!$B:$B,Raw_Alerts!$F:$F),"")</f>
        <v/>
      </c>
      <c r="P341" s="4">
        <f>IF(H341="Not Found","CRITICAL: No Risk Profile",IF(I341="Missing","WARN: Missing KYC",IF(I341="Expired","WARN: KYC Expired",IF(I341="Pending","INFO: KYC Pending","OK"))))</f>
        <v/>
      </c>
    </row>
    <row r="342">
      <c r="A342" s="2">
        <f>Raw_Transactions!A342</f>
        <v/>
      </c>
      <c r="B342" s="2">
        <f>Raw_Transactions!B342</f>
        <v/>
      </c>
      <c r="C342" s="2">
        <f>Raw_Transactions!C342</f>
        <v/>
      </c>
      <c r="D342" s="3">
        <f>Raw_Transactions!D342</f>
        <v/>
      </c>
      <c r="E342" s="2">
        <f>Raw_Transactions!E342</f>
        <v/>
      </c>
      <c r="F342" s="2">
        <f>Raw_Transactions!F342</f>
        <v/>
      </c>
      <c r="G342" s="2">
        <f>Raw_Transactions!G342</f>
        <v/>
      </c>
      <c r="H342" s="2">
        <f>XLOOKUP(B342,Raw_Risk_Profiles!$A:$A,Raw_Risk_Profiles!$B:$B,"Not Found")</f>
        <v/>
      </c>
      <c r="I342" s="2">
        <f>XLOOKUP(B342,Raw_Risk_Profiles!$A:$A,Raw_Risk_Profiles!$C:$C,"Missing")</f>
        <v/>
      </c>
      <c r="J342" s="2">
        <f>XLOOKUP(B342,Raw_Risk_Profiles!$A:$A,Raw_Risk_Profiles!$D:$D,"")</f>
        <v/>
      </c>
      <c r="K342" s="2">
        <f>IFERROR(INDEX(Raw_Risk_Profiles!$E:$E,MATCH(B342,Raw_Risk_Profiles!$A:$A,0)),"Unknown")</f>
        <v/>
      </c>
      <c r="L342" s="2">
        <f>IFERROR(XLOOKUP(A342,Raw_Alerts!$B:$B,Raw_Alerts!$A:$A),"No Alert")</f>
        <v/>
      </c>
      <c r="M342" s="2">
        <f>IFERROR(XLOOKUP(A342,Raw_Alerts!$B:$B,Raw_Alerts!$C:$C),"")</f>
        <v/>
      </c>
      <c r="N342" s="2">
        <f>IFERROR(XLOOKUP(A342,Raw_Alerts!$B:$B,Raw_Alerts!$D:$D),"")</f>
        <v/>
      </c>
      <c r="O342" s="2">
        <f>IFERROR(XLOOKUP(A342,Raw_Alerts!$B:$B,Raw_Alerts!$F:$F),"")</f>
        <v/>
      </c>
      <c r="P342" s="2">
        <f>IF(H342="Not Found","CRITICAL: No Risk Profile",IF(I342="Missing","WARN: Missing KYC",IF(I342="Expired","WARN: KYC Expired",IF(I342="Pending","INFO: KYC Pending","OK"))))</f>
        <v/>
      </c>
    </row>
    <row r="343">
      <c r="A343" s="4">
        <f>Raw_Transactions!A343</f>
        <v/>
      </c>
      <c r="B343" s="4">
        <f>Raw_Transactions!B343</f>
        <v/>
      </c>
      <c r="C343" s="4">
        <f>Raw_Transactions!C343</f>
        <v/>
      </c>
      <c r="D343" s="5">
        <f>Raw_Transactions!D343</f>
        <v/>
      </c>
      <c r="E343" s="4">
        <f>Raw_Transactions!E343</f>
        <v/>
      </c>
      <c r="F343" s="4">
        <f>Raw_Transactions!F343</f>
        <v/>
      </c>
      <c r="G343" s="4">
        <f>Raw_Transactions!G343</f>
        <v/>
      </c>
      <c r="H343" s="4">
        <f>XLOOKUP(B343,Raw_Risk_Profiles!$A:$A,Raw_Risk_Profiles!$B:$B,"Not Found")</f>
        <v/>
      </c>
      <c r="I343" s="4">
        <f>XLOOKUP(B343,Raw_Risk_Profiles!$A:$A,Raw_Risk_Profiles!$C:$C,"Missing")</f>
        <v/>
      </c>
      <c r="J343" s="4">
        <f>XLOOKUP(B343,Raw_Risk_Profiles!$A:$A,Raw_Risk_Profiles!$D:$D,"")</f>
        <v/>
      </c>
      <c r="K343" s="4">
        <f>IFERROR(INDEX(Raw_Risk_Profiles!$E:$E,MATCH(B343,Raw_Risk_Profiles!$A:$A,0)),"Unknown")</f>
        <v/>
      </c>
      <c r="L343" s="4">
        <f>IFERROR(XLOOKUP(A343,Raw_Alerts!$B:$B,Raw_Alerts!$A:$A),"No Alert")</f>
        <v/>
      </c>
      <c r="M343" s="4">
        <f>IFERROR(XLOOKUP(A343,Raw_Alerts!$B:$B,Raw_Alerts!$C:$C),"")</f>
        <v/>
      </c>
      <c r="N343" s="4">
        <f>IFERROR(XLOOKUP(A343,Raw_Alerts!$B:$B,Raw_Alerts!$D:$D),"")</f>
        <v/>
      </c>
      <c r="O343" s="4">
        <f>IFERROR(XLOOKUP(A343,Raw_Alerts!$B:$B,Raw_Alerts!$F:$F),"")</f>
        <v/>
      </c>
      <c r="P343" s="4">
        <f>IF(H343="Not Found","CRITICAL: No Risk Profile",IF(I343="Missing","WARN: Missing KYC",IF(I343="Expired","WARN: KYC Expired",IF(I343="Pending","INFO: KYC Pending","OK"))))</f>
        <v/>
      </c>
    </row>
    <row r="344">
      <c r="A344" s="2">
        <f>Raw_Transactions!A344</f>
        <v/>
      </c>
      <c r="B344" s="2">
        <f>Raw_Transactions!B344</f>
        <v/>
      </c>
      <c r="C344" s="2">
        <f>Raw_Transactions!C344</f>
        <v/>
      </c>
      <c r="D344" s="3">
        <f>Raw_Transactions!D344</f>
        <v/>
      </c>
      <c r="E344" s="2">
        <f>Raw_Transactions!E344</f>
        <v/>
      </c>
      <c r="F344" s="2">
        <f>Raw_Transactions!F344</f>
        <v/>
      </c>
      <c r="G344" s="2">
        <f>Raw_Transactions!G344</f>
        <v/>
      </c>
      <c r="H344" s="2">
        <f>XLOOKUP(B344,Raw_Risk_Profiles!$A:$A,Raw_Risk_Profiles!$B:$B,"Not Found")</f>
        <v/>
      </c>
      <c r="I344" s="2">
        <f>XLOOKUP(B344,Raw_Risk_Profiles!$A:$A,Raw_Risk_Profiles!$C:$C,"Missing")</f>
        <v/>
      </c>
      <c r="J344" s="2">
        <f>XLOOKUP(B344,Raw_Risk_Profiles!$A:$A,Raw_Risk_Profiles!$D:$D,"")</f>
        <v/>
      </c>
      <c r="K344" s="2">
        <f>IFERROR(INDEX(Raw_Risk_Profiles!$E:$E,MATCH(B344,Raw_Risk_Profiles!$A:$A,0)),"Unknown")</f>
        <v/>
      </c>
      <c r="L344" s="2">
        <f>IFERROR(XLOOKUP(A344,Raw_Alerts!$B:$B,Raw_Alerts!$A:$A),"No Alert")</f>
        <v/>
      </c>
      <c r="M344" s="2">
        <f>IFERROR(XLOOKUP(A344,Raw_Alerts!$B:$B,Raw_Alerts!$C:$C),"")</f>
        <v/>
      </c>
      <c r="N344" s="2">
        <f>IFERROR(XLOOKUP(A344,Raw_Alerts!$B:$B,Raw_Alerts!$D:$D),"")</f>
        <v/>
      </c>
      <c r="O344" s="2">
        <f>IFERROR(XLOOKUP(A344,Raw_Alerts!$B:$B,Raw_Alerts!$F:$F),"")</f>
        <v/>
      </c>
      <c r="P344" s="2">
        <f>IF(H344="Not Found","CRITICAL: No Risk Profile",IF(I344="Missing","WARN: Missing KYC",IF(I344="Expired","WARN: KYC Expired",IF(I344="Pending","INFO: KYC Pending","OK"))))</f>
        <v/>
      </c>
    </row>
    <row r="345">
      <c r="A345" s="4">
        <f>Raw_Transactions!A345</f>
        <v/>
      </c>
      <c r="B345" s="4">
        <f>Raw_Transactions!B345</f>
        <v/>
      </c>
      <c r="C345" s="4">
        <f>Raw_Transactions!C345</f>
        <v/>
      </c>
      <c r="D345" s="5">
        <f>Raw_Transactions!D345</f>
        <v/>
      </c>
      <c r="E345" s="4">
        <f>Raw_Transactions!E345</f>
        <v/>
      </c>
      <c r="F345" s="4">
        <f>Raw_Transactions!F345</f>
        <v/>
      </c>
      <c r="G345" s="4">
        <f>Raw_Transactions!G345</f>
        <v/>
      </c>
      <c r="H345" s="4">
        <f>XLOOKUP(B345,Raw_Risk_Profiles!$A:$A,Raw_Risk_Profiles!$B:$B,"Not Found")</f>
        <v/>
      </c>
      <c r="I345" s="4">
        <f>XLOOKUP(B345,Raw_Risk_Profiles!$A:$A,Raw_Risk_Profiles!$C:$C,"Missing")</f>
        <v/>
      </c>
      <c r="J345" s="4">
        <f>XLOOKUP(B345,Raw_Risk_Profiles!$A:$A,Raw_Risk_Profiles!$D:$D,"")</f>
        <v/>
      </c>
      <c r="K345" s="4">
        <f>IFERROR(INDEX(Raw_Risk_Profiles!$E:$E,MATCH(B345,Raw_Risk_Profiles!$A:$A,0)),"Unknown")</f>
        <v/>
      </c>
      <c r="L345" s="4">
        <f>IFERROR(XLOOKUP(A345,Raw_Alerts!$B:$B,Raw_Alerts!$A:$A),"No Alert")</f>
        <v/>
      </c>
      <c r="M345" s="4">
        <f>IFERROR(XLOOKUP(A345,Raw_Alerts!$B:$B,Raw_Alerts!$C:$C),"")</f>
        <v/>
      </c>
      <c r="N345" s="4">
        <f>IFERROR(XLOOKUP(A345,Raw_Alerts!$B:$B,Raw_Alerts!$D:$D),"")</f>
        <v/>
      </c>
      <c r="O345" s="4">
        <f>IFERROR(XLOOKUP(A345,Raw_Alerts!$B:$B,Raw_Alerts!$F:$F),"")</f>
        <v/>
      </c>
      <c r="P345" s="4">
        <f>IF(H345="Not Found","CRITICAL: No Risk Profile",IF(I345="Missing","WARN: Missing KYC",IF(I345="Expired","WARN: KYC Expired",IF(I345="Pending","INFO: KYC Pending","OK"))))</f>
        <v/>
      </c>
    </row>
    <row r="346">
      <c r="A346" s="2">
        <f>Raw_Transactions!A346</f>
        <v/>
      </c>
      <c r="B346" s="2">
        <f>Raw_Transactions!B346</f>
        <v/>
      </c>
      <c r="C346" s="2">
        <f>Raw_Transactions!C346</f>
        <v/>
      </c>
      <c r="D346" s="3">
        <f>Raw_Transactions!D346</f>
        <v/>
      </c>
      <c r="E346" s="2">
        <f>Raw_Transactions!E346</f>
        <v/>
      </c>
      <c r="F346" s="2">
        <f>Raw_Transactions!F346</f>
        <v/>
      </c>
      <c r="G346" s="2">
        <f>Raw_Transactions!G346</f>
        <v/>
      </c>
      <c r="H346" s="2">
        <f>XLOOKUP(B346,Raw_Risk_Profiles!$A:$A,Raw_Risk_Profiles!$B:$B,"Not Found")</f>
        <v/>
      </c>
      <c r="I346" s="2">
        <f>XLOOKUP(B346,Raw_Risk_Profiles!$A:$A,Raw_Risk_Profiles!$C:$C,"Missing")</f>
        <v/>
      </c>
      <c r="J346" s="2">
        <f>XLOOKUP(B346,Raw_Risk_Profiles!$A:$A,Raw_Risk_Profiles!$D:$D,"")</f>
        <v/>
      </c>
      <c r="K346" s="2">
        <f>IFERROR(INDEX(Raw_Risk_Profiles!$E:$E,MATCH(B346,Raw_Risk_Profiles!$A:$A,0)),"Unknown")</f>
        <v/>
      </c>
      <c r="L346" s="2">
        <f>IFERROR(XLOOKUP(A346,Raw_Alerts!$B:$B,Raw_Alerts!$A:$A),"No Alert")</f>
        <v/>
      </c>
      <c r="M346" s="2">
        <f>IFERROR(XLOOKUP(A346,Raw_Alerts!$B:$B,Raw_Alerts!$C:$C),"")</f>
        <v/>
      </c>
      <c r="N346" s="2">
        <f>IFERROR(XLOOKUP(A346,Raw_Alerts!$B:$B,Raw_Alerts!$D:$D),"")</f>
        <v/>
      </c>
      <c r="O346" s="2">
        <f>IFERROR(XLOOKUP(A346,Raw_Alerts!$B:$B,Raw_Alerts!$F:$F),"")</f>
        <v/>
      </c>
      <c r="P346" s="2">
        <f>IF(H346="Not Found","CRITICAL: No Risk Profile",IF(I346="Missing","WARN: Missing KYC",IF(I346="Expired","WARN: KYC Expired",IF(I346="Pending","INFO: KYC Pending","OK"))))</f>
        <v/>
      </c>
    </row>
    <row r="347">
      <c r="A347" s="4">
        <f>Raw_Transactions!A347</f>
        <v/>
      </c>
      <c r="B347" s="4">
        <f>Raw_Transactions!B347</f>
        <v/>
      </c>
      <c r="C347" s="4">
        <f>Raw_Transactions!C347</f>
        <v/>
      </c>
      <c r="D347" s="5">
        <f>Raw_Transactions!D347</f>
        <v/>
      </c>
      <c r="E347" s="4">
        <f>Raw_Transactions!E347</f>
        <v/>
      </c>
      <c r="F347" s="4">
        <f>Raw_Transactions!F347</f>
        <v/>
      </c>
      <c r="G347" s="4">
        <f>Raw_Transactions!G347</f>
        <v/>
      </c>
      <c r="H347" s="4">
        <f>XLOOKUP(B347,Raw_Risk_Profiles!$A:$A,Raw_Risk_Profiles!$B:$B,"Not Found")</f>
        <v/>
      </c>
      <c r="I347" s="4">
        <f>XLOOKUP(B347,Raw_Risk_Profiles!$A:$A,Raw_Risk_Profiles!$C:$C,"Missing")</f>
        <v/>
      </c>
      <c r="J347" s="4">
        <f>XLOOKUP(B347,Raw_Risk_Profiles!$A:$A,Raw_Risk_Profiles!$D:$D,"")</f>
        <v/>
      </c>
      <c r="K347" s="4">
        <f>IFERROR(INDEX(Raw_Risk_Profiles!$E:$E,MATCH(B347,Raw_Risk_Profiles!$A:$A,0)),"Unknown")</f>
        <v/>
      </c>
      <c r="L347" s="4">
        <f>IFERROR(XLOOKUP(A347,Raw_Alerts!$B:$B,Raw_Alerts!$A:$A),"No Alert")</f>
        <v/>
      </c>
      <c r="M347" s="4">
        <f>IFERROR(XLOOKUP(A347,Raw_Alerts!$B:$B,Raw_Alerts!$C:$C),"")</f>
        <v/>
      </c>
      <c r="N347" s="4">
        <f>IFERROR(XLOOKUP(A347,Raw_Alerts!$B:$B,Raw_Alerts!$D:$D),"")</f>
        <v/>
      </c>
      <c r="O347" s="4">
        <f>IFERROR(XLOOKUP(A347,Raw_Alerts!$B:$B,Raw_Alerts!$F:$F),"")</f>
        <v/>
      </c>
      <c r="P347" s="4">
        <f>IF(H347="Not Found","CRITICAL: No Risk Profile",IF(I347="Missing","WARN: Missing KYC",IF(I347="Expired","WARN: KYC Expired",IF(I347="Pending","INFO: KYC Pending","OK"))))</f>
        <v/>
      </c>
    </row>
    <row r="348">
      <c r="A348" s="2">
        <f>Raw_Transactions!A348</f>
        <v/>
      </c>
      <c r="B348" s="2">
        <f>Raw_Transactions!B348</f>
        <v/>
      </c>
      <c r="C348" s="2">
        <f>Raw_Transactions!C348</f>
        <v/>
      </c>
      <c r="D348" s="3">
        <f>Raw_Transactions!D348</f>
        <v/>
      </c>
      <c r="E348" s="2">
        <f>Raw_Transactions!E348</f>
        <v/>
      </c>
      <c r="F348" s="2">
        <f>Raw_Transactions!F348</f>
        <v/>
      </c>
      <c r="G348" s="2">
        <f>Raw_Transactions!G348</f>
        <v/>
      </c>
      <c r="H348" s="2">
        <f>XLOOKUP(B348,Raw_Risk_Profiles!$A:$A,Raw_Risk_Profiles!$B:$B,"Not Found")</f>
        <v/>
      </c>
      <c r="I348" s="2">
        <f>XLOOKUP(B348,Raw_Risk_Profiles!$A:$A,Raw_Risk_Profiles!$C:$C,"Missing")</f>
        <v/>
      </c>
      <c r="J348" s="2">
        <f>XLOOKUP(B348,Raw_Risk_Profiles!$A:$A,Raw_Risk_Profiles!$D:$D,"")</f>
        <v/>
      </c>
      <c r="K348" s="2">
        <f>IFERROR(INDEX(Raw_Risk_Profiles!$E:$E,MATCH(B348,Raw_Risk_Profiles!$A:$A,0)),"Unknown")</f>
        <v/>
      </c>
      <c r="L348" s="2">
        <f>IFERROR(XLOOKUP(A348,Raw_Alerts!$B:$B,Raw_Alerts!$A:$A),"No Alert")</f>
        <v/>
      </c>
      <c r="M348" s="2">
        <f>IFERROR(XLOOKUP(A348,Raw_Alerts!$B:$B,Raw_Alerts!$C:$C),"")</f>
        <v/>
      </c>
      <c r="N348" s="2">
        <f>IFERROR(XLOOKUP(A348,Raw_Alerts!$B:$B,Raw_Alerts!$D:$D),"")</f>
        <v/>
      </c>
      <c r="O348" s="2">
        <f>IFERROR(XLOOKUP(A348,Raw_Alerts!$B:$B,Raw_Alerts!$F:$F),"")</f>
        <v/>
      </c>
      <c r="P348" s="2">
        <f>IF(H348="Not Found","CRITICAL: No Risk Profile",IF(I348="Missing","WARN: Missing KYC",IF(I348="Expired","WARN: KYC Expired",IF(I348="Pending","INFO: KYC Pending","OK"))))</f>
        <v/>
      </c>
    </row>
    <row r="349">
      <c r="A349" s="4">
        <f>Raw_Transactions!A349</f>
        <v/>
      </c>
      <c r="B349" s="4">
        <f>Raw_Transactions!B349</f>
        <v/>
      </c>
      <c r="C349" s="4">
        <f>Raw_Transactions!C349</f>
        <v/>
      </c>
      <c r="D349" s="5">
        <f>Raw_Transactions!D349</f>
        <v/>
      </c>
      <c r="E349" s="4">
        <f>Raw_Transactions!E349</f>
        <v/>
      </c>
      <c r="F349" s="4">
        <f>Raw_Transactions!F349</f>
        <v/>
      </c>
      <c r="G349" s="4">
        <f>Raw_Transactions!G349</f>
        <v/>
      </c>
      <c r="H349" s="4">
        <f>XLOOKUP(B349,Raw_Risk_Profiles!$A:$A,Raw_Risk_Profiles!$B:$B,"Not Found")</f>
        <v/>
      </c>
      <c r="I349" s="4">
        <f>XLOOKUP(B349,Raw_Risk_Profiles!$A:$A,Raw_Risk_Profiles!$C:$C,"Missing")</f>
        <v/>
      </c>
      <c r="J349" s="4">
        <f>XLOOKUP(B349,Raw_Risk_Profiles!$A:$A,Raw_Risk_Profiles!$D:$D,"")</f>
        <v/>
      </c>
      <c r="K349" s="4">
        <f>IFERROR(INDEX(Raw_Risk_Profiles!$E:$E,MATCH(B349,Raw_Risk_Profiles!$A:$A,0)),"Unknown")</f>
        <v/>
      </c>
      <c r="L349" s="4">
        <f>IFERROR(XLOOKUP(A349,Raw_Alerts!$B:$B,Raw_Alerts!$A:$A),"No Alert")</f>
        <v/>
      </c>
      <c r="M349" s="4">
        <f>IFERROR(XLOOKUP(A349,Raw_Alerts!$B:$B,Raw_Alerts!$C:$C),"")</f>
        <v/>
      </c>
      <c r="N349" s="4">
        <f>IFERROR(XLOOKUP(A349,Raw_Alerts!$B:$B,Raw_Alerts!$D:$D),"")</f>
        <v/>
      </c>
      <c r="O349" s="4">
        <f>IFERROR(XLOOKUP(A349,Raw_Alerts!$B:$B,Raw_Alerts!$F:$F),"")</f>
        <v/>
      </c>
      <c r="P349" s="4">
        <f>IF(H349="Not Found","CRITICAL: No Risk Profile",IF(I349="Missing","WARN: Missing KYC",IF(I349="Expired","WARN: KYC Expired",IF(I349="Pending","INFO: KYC Pending","OK"))))</f>
        <v/>
      </c>
    </row>
    <row r="350">
      <c r="A350" s="2">
        <f>Raw_Transactions!A350</f>
        <v/>
      </c>
      <c r="B350" s="2">
        <f>Raw_Transactions!B350</f>
        <v/>
      </c>
      <c r="C350" s="2">
        <f>Raw_Transactions!C350</f>
        <v/>
      </c>
      <c r="D350" s="3">
        <f>Raw_Transactions!D350</f>
        <v/>
      </c>
      <c r="E350" s="2">
        <f>Raw_Transactions!E350</f>
        <v/>
      </c>
      <c r="F350" s="2">
        <f>Raw_Transactions!F350</f>
        <v/>
      </c>
      <c r="G350" s="2">
        <f>Raw_Transactions!G350</f>
        <v/>
      </c>
      <c r="H350" s="2">
        <f>XLOOKUP(B350,Raw_Risk_Profiles!$A:$A,Raw_Risk_Profiles!$B:$B,"Not Found")</f>
        <v/>
      </c>
      <c r="I350" s="2">
        <f>XLOOKUP(B350,Raw_Risk_Profiles!$A:$A,Raw_Risk_Profiles!$C:$C,"Missing")</f>
        <v/>
      </c>
      <c r="J350" s="2">
        <f>XLOOKUP(B350,Raw_Risk_Profiles!$A:$A,Raw_Risk_Profiles!$D:$D,"")</f>
        <v/>
      </c>
      <c r="K350" s="2">
        <f>IFERROR(INDEX(Raw_Risk_Profiles!$E:$E,MATCH(B350,Raw_Risk_Profiles!$A:$A,0)),"Unknown")</f>
        <v/>
      </c>
      <c r="L350" s="2">
        <f>IFERROR(XLOOKUP(A350,Raw_Alerts!$B:$B,Raw_Alerts!$A:$A),"No Alert")</f>
        <v/>
      </c>
      <c r="M350" s="2">
        <f>IFERROR(XLOOKUP(A350,Raw_Alerts!$B:$B,Raw_Alerts!$C:$C),"")</f>
        <v/>
      </c>
      <c r="N350" s="2">
        <f>IFERROR(XLOOKUP(A350,Raw_Alerts!$B:$B,Raw_Alerts!$D:$D),"")</f>
        <v/>
      </c>
      <c r="O350" s="2">
        <f>IFERROR(XLOOKUP(A350,Raw_Alerts!$B:$B,Raw_Alerts!$F:$F),"")</f>
        <v/>
      </c>
      <c r="P350" s="2">
        <f>IF(H350="Not Found","CRITICAL: No Risk Profile",IF(I350="Missing","WARN: Missing KYC",IF(I350="Expired","WARN: KYC Expired",IF(I350="Pending","INFO: KYC Pending","OK"))))</f>
        <v/>
      </c>
    </row>
    <row r="351">
      <c r="A351" s="4">
        <f>Raw_Transactions!A351</f>
        <v/>
      </c>
      <c r="B351" s="4">
        <f>Raw_Transactions!B351</f>
        <v/>
      </c>
      <c r="C351" s="4">
        <f>Raw_Transactions!C351</f>
        <v/>
      </c>
      <c r="D351" s="5">
        <f>Raw_Transactions!D351</f>
        <v/>
      </c>
      <c r="E351" s="4">
        <f>Raw_Transactions!E351</f>
        <v/>
      </c>
      <c r="F351" s="4">
        <f>Raw_Transactions!F351</f>
        <v/>
      </c>
      <c r="G351" s="4">
        <f>Raw_Transactions!G351</f>
        <v/>
      </c>
      <c r="H351" s="4">
        <f>XLOOKUP(B351,Raw_Risk_Profiles!$A:$A,Raw_Risk_Profiles!$B:$B,"Not Found")</f>
        <v/>
      </c>
      <c r="I351" s="4">
        <f>XLOOKUP(B351,Raw_Risk_Profiles!$A:$A,Raw_Risk_Profiles!$C:$C,"Missing")</f>
        <v/>
      </c>
      <c r="J351" s="4">
        <f>XLOOKUP(B351,Raw_Risk_Profiles!$A:$A,Raw_Risk_Profiles!$D:$D,"")</f>
        <v/>
      </c>
      <c r="K351" s="4">
        <f>IFERROR(INDEX(Raw_Risk_Profiles!$E:$E,MATCH(B351,Raw_Risk_Profiles!$A:$A,0)),"Unknown")</f>
        <v/>
      </c>
      <c r="L351" s="4">
        <f>IFERROR(XLOOKUP(A351,Raw_Alerts!$B:$B,Raw_Alerts!$A:$A),"No Alert")</f>
        <v/>
      </c>
      <c r="M351" s="4">
        <f>IFERROR(XLOOKUP(A351,Raw_Alerts!$B:$B,Raw_Alerts!$C:$C),"")</f>
        <v/>
      </c>
      <c r="N351" s="4">
        <f>IFERROR(XLOOKUP(A351,Raw_Alerts!$B:$B,Raw_Alerts!$D:$D),"")</f>
        <v/>
      </c>
      <c r="O351" s="4">
        <f>IFERROR(XLOOKUP(A351,Raw_Alerts!$B:$B,Raw_Alerts!$F:$F),"")</f>
        <v/>
      </c>
      <c r="P351" s="4">
        <f>IF(H351="Not Found","CRITICAL: No Risk Profile",IF(I351="Missing","WARN: Missing KYC",IF(I351="Expired","WARN: KYC Expired",IF(I351="Pending","INFO: KYC Pending","OK"))))</f>
        <v/>
      </c>
    </row>
    <row r="352">
      <c r="A352" s="2">
        <f>Raw_Transactions!A352</f>
        <v/>
      </c>
      <c r="B352" s="2">
        <f>Raw_Transactions!B352</f>
        <v/>
      </c>
      <c r="C352" s="2">
        <f>Raw_Transactions!C352</f>
        <v/>
      </c>
      <c r="D352" s="3">
        <f>Raw_Transactions!D352</f>
        <v/>
      </c>
      <c r="E352" s="2">
        <f>Raw_Transactions!E352</f>
        <v/>
      </c>
      <c r="F352" s="2">
        <f>Raw_Transactions!F352</f>
        <v/>
      </c>
      <c r="G352" s="2">
        <f>Raw_Transactions!G352</f>
        <v/>
      </c>
      <c r="H352" s="2">
        <f>XLOOKUP(B352,Raw_Risk_Profiles!$A:$A,Raw_Risk_Profiles!$B:$B,"Not Found")</f>
        <v/>
      </c>
      <c r="I352" s="2">
        <f>XLOOKUP(B352,Raw_Risk_Profiles!$A:$A,Raw_Risk_Profiles!$C:$C,"Missing")</f>
        <v/>
      </c>
      <c r="J352" s="2">
        <f>XLOOKUP(B352,Raw_Risk_Profiles!$A:$A,Raw_Risk_Profiles!$D:$D,"")</f>
        <v/>
      </c>
      <c r="K352" s="2">
        <f>IFERROR(INDEX(Raw_Risk_Profiles!$E:$E,MATCH(B352,Raw_Risk_Profiles!$A:$A,0)),"Unknown")</f>
        <v/>
      </c>
      <c r="L352" s="2">
        <f>IFERROR(XLOOKUP(A352,Raw_Alerts!$B:$B,Raw_Alerts!$A:$A),"No Alert")</f>
        <v/>
      </c>
      <c r="M352" s="2">
        <f>IFERROR(XLOOKUP(A352,Raw_Alerts!$B:$B,Raw_Alerts!$C:$C),"")</f>
        <v/>
      </c>
      <c r="N352" s="2">
        <f>IFERROR(XLOOKUP(A352,Raw_Alerts!$B:$B,Raw_Alerts!$D:$D),"")</f>
        <v/>
      </c>
      <c r="O352" s="2">
        <f>IFERROR(XLOOKUP(A352,Raw_Alerts!$B:$B,Raw_Alerts!$F:$F),"")</f>
        <v/>
      </c>
      <c r="P352" s="2">
        <f>IF(H352="Not Found","CRITICAL: No Risk Profile",IF(I352="Missing","WARN: Missing KYC",IF(I352="Expired","WARN: KYC Expired",IF(I352="Pending","INFO: KYC Pending","OK"))))</f>
        <v/>
      </c>
    </row>
    <row r="353">
      <c r="A353" s="4">
        <f>Raw_Transactions!A353</f>
        <v/>
      </c>
      <c r="B353" s="4">
        <f>Raw_Transactions!B353</f>
        <v/>
      </c>
      <c r="C353" s="4">
        <f>Raw_Transactions!C353</f>
        <v/>
      </c>
      <c r="D353" s="5">
        <f>Raw_Transactions!D353</f>
        <v/>
      </c>
      <c r="E353" s="4">
        <f>Raw_Transactions!E353</f>
        <v/>
      </c>
      <c r="F353" s="4">
        <f>Raw_Transactions!F353</f>
        <v/>
      </c>
      <c r="G353" s="4">
        <f>Raw_Transactions!G353</f>
        <v/>
      </c>
      <c r="H353" s="4">
        <f>XLOOKUP(B353,Raw_Risk_Profiles!$A:$A,Raw_Risk_Profiles!$B:$B,"Not Found")</f>
        <v/>
      </c>
      <c r="I353" s="4">
        <f>XLOOKUP(B353,Raw_Risk_Profiles!$A:$A,Raw_Risk_Profiles!$C:$C,"Missing")</f>
        <v/>
      </c>
      <c r="J353" s="4">
        <f>XLOOKUP(B353,Raw_Risk_Profiles!$A:$A,Raw_Risk_Profiles!$D:$D,"")</f>
        <v/>
      </c>
      <c r="K353" s="4">
        <f>IFERROR(INDEX(Raw_Risk_Profiles!$E:$E,MATCH(B353,Raw_Risk_Profiles!$A:$A,0)),"Unknown")</f>
        <v/>
      </c>
      <c r="L353" s="4">
        <f>IFERROR(XLOOKUP(A353,Raw_Alerts!$B:$B,Raw_Alerts!$A:$A),"No Alert")</f>
        <v/>
      </c>
      <c r="M353" s="4">
        <f>IFERROR(XLOOKUP(A353,Raw_Alerts!$B:$B,Raw_Alerts!$C:$C),"")</f>
        <v/>
      </c>
      <c r="N353" s="4">
        <f>IFERROR(XLOOKUP(A353,Raw_Alerts!$B:$B,Raw_Alerts!$D:$D),"")</f>
        <v/>
      </c>
      <c r="O353" s="4">
        <f>IFERROR(XLOOKUP(A353,Raw_Alerts!$B:$B,Raw_Alerts!$F:$F),"")</f>
        <v/>
      </c>
      <c r="P353" s="4">
        <f>IF(H353="Not Found","CRITICAL: No Risk Profile",IF(I353="Missing","WARN: Missing KYC",IF(I353="Expired","WARN: KYC Expired",IF(I353="Pending","INFO: KYC Pending","OK"))))</f>
        <v/>
      </c>
    </row>
    <row r="354">
      <c r="A354" s="2">
        <f>Raw_Transactions!A354</f>
        <v/>
      </c>
      <c r="B354" s="2">
        <f>Raw_Transactions!B354</f>
        <v/>
      </c>
      <c r="C354" s="2">
        <f>Raw_Transactions!C354</f>
        <v/>
      </c>
      <c r="D354" s="3">
        <f>Raw_Transactions!D354</f>
        <v/>
      </c>
      <c r="E354" s="2">
        <f>Raw_Transactions!E354</f>
        <v/>
      </c>
      <c r="F354" s="2">
        <f>Raw_Transactions!F354</f>
        <v/>
      </c>
      <c r="G354" s="2">
        <f>Raw_Transactions!G354</f>
        <v/>
      </c>
      <c r="H354" s="2">
        <f>XLOOKUP(B354,Raw_Risk_Profiles!$A:$A,Raw_Risk_Profiles!$B:$B,"Not Found")</f>
        <v/>
      </c>
      <c r="I354" s="2">
        <f>XLOOKUP(B354,Raw_Risk_Profiles!$A:$A,Raw_Risk_Profiles!$C:$C,"Missing")</f>
        <v/>
      </c>
      <c r="J354" s="2">
        <f>XLOOKUP(B354,Raw_Risk_Profiles!$A:$A,Raw_Risk_Profiles!$D:$D,"")</f>
        <v/>
      </c>
      <c r="K354" s="2">
        <f>IFERROR(INDEX(Raw_Risk_Profiles!$E:$E,MATCH(B354,Raw_Risk_Profiles!$A:$A,0)),"Unknown")</f>
        <v/>
      </c>
      <c r="L354" s="2">
        <f>IFERROR(XLOOKUP(A354,Raw_Alerts!$B:$B,Raw_Alerts!$A:$A),"No Alert")</f>
        <v/>
      </c>
      <c r="M354" s="2">
        <f>IFERROR(XLOOKUP(A354,Raw_Alerts!$B:$B,Raw_Alerts!$C:$C),"")</f>
        <v/>
      </c>
      <c r="N354" s="2">
        <f>IFERROR(XLOOKUP(A354,Raw_Alerts!$B:$B,Raw_Alerts!$D:$D),"")</f>
        <v/>
      </c>
      <c r="O354" s="2">
        <f>IFERROR(XLOOKUP(A354,Raw_Alerts!$B:$B,Raw_Alerts!$F:$F),"")</f>
        <v/>
      </c>
      <c r="P354" s="2">
        <f>IF(H354="Not Found","CRITICAL: No Risk Profile",IF(I354="Missing","WARN: Missing KYC",IF(I354="Expired","WARN: KYC Expired",IF(I354="Pending","INFO: KYC Pending","OK"))))</f>
        <v/>
      </c>
    </row>
    <row r="355">
      <c r="A355" s="4">
        <f>Raw_Transactions!A355</f>
        <v/>
      </c>
      <c r="B355" s="4">
        <f>Raw_Transactions!B355</f>
        <v/>
      </c>
      <c r="C355" s="4">
        <f>Raw_Transactions!C355</f>
        <v/>
      </c>
      <c r="D355" s="5">
        <f>Raw_Transactions!D355</f>
        <v/>
      </c>
      <c r="E355" s="4">
        <f>Raw_Transactions!E355</f>
        <v/>
      </c>
      <c r="F355" s="4">
        <f>Raw_Transactions!F355</f>
        <v/>
      </c>
      <c r="G355" s="4">
        <f>Raw_Transactions!G355</f>
        <v/>
      </c>
      <c r="H355" s="4">
        <f>XLOOKUP(B355,Raw_Risk_Profiles!$A:$A,Raw_Risk_Profiles!$B:$B,"Not Found")</f>
        <v/>
      </c>
      <c r="I355" s="4">
        <f>XLOOKUP(B355,Raw_Risk_Profiles!$A:$A,Raw_Risk_Profiles!$C:$C,"Missing")</f>
        <v/>
      </c>
      <c r="J355" s="4">
        <f>XLOOKUP(B355,Raw_Risk_Profiles!$A:$A,Raw_Risk_Profiles!$D:$D,"")</f>
        <v/>
      </c>
      <c r="K355" s="4">
        <f>IFERROR(INDEX(Raw_Risk_Profiles!$E:$E,MATCH(B355,Raw_Risk_Profiles!$A:$A,0)),"Unknown")</f>
        <v/>
      </c>
      <c r="L355" s="4">
        <f>IFERROR(XLOOKUP(A355,Raw_Alerts!$B:$B,Raw_Alerts!$A:$A),"No Alert")</f>
        <v/>
      </c>
      <c r="M355" s="4">
        <f>IFERROR(XLOOKUP(A355,Raw_Alerts!$B:$B,Raw_Alerts!$C:$C),"")</f>
        <v/>
      </c>
      <c r="N355" s="4">
        <f>IFERROR(XLOOKUP(A355,Raw_Alerts!$B:$B,Raw_Alerts!$D:$D),"")</f>
        <v/>
      </c>
      <c r="O355" s="4">
        <f>IFERROR(XLOOKUP(A355,Raw_Alerts!$B:$B,Raw_Alerts!$F:$F),"")</f>
        <v/>
      </c>
      <c r="P355" s="4">
        <f>IF(H355="Not Found","CRITICAL: No Risk Profile",IF(I355="Missing","WARN: Missing KYC",IF(I355="Expired","WARN: KYC Expired",IF(I355="Pending","INFO: KYC Pending","OK"))))</f>
        <v/>
      </c>
    </row>
    <row r="356">
      <c r="A356" s="2">
        <f>Raw_Transactions!A356</f>
        <v/>
      </c>
      <c r="B356" s="2">
        <f>Raw_Transactions!B356</f>
        <v/>
      </c>
      <c r="C356" s="2">
        <f>Raw_Transactions!C356</f>
        <v/>
      </c>
      <c r="D356" s="3">
        <f>Raw_Transactions!D356</f>
        <v/>
      </c>
      <c r="E356" s="2">
        <f>Raw_Transactions!E356</f>
        <v/>
      </c>
      <c r="F356" s="2">
        <f>Raw_Transactions!F356</f>
        <v/>
      </c>
      <c r="G356" s="2">
        <f>Raw_Transactions!G356</f>
        <v/>
      </c>
      <c r="H356" s="2">
        <f>XLOOKUP(B356,Raw_Risk_Profiles!$A:$A,Raw_Risk_Profiles!$B:$B,"Not Found")</f>
        <v/>
      </c>
      <c r="I356" s="2">
        <f>XLOOKUP(B356,Raw_Risk_Profiles!$A:$A,Raw_Risk_Profiles!$C:$C,"Missing")</f>
        <v/>
      </c>
      <c r="J356" s="2">
        <f>XLOOKUP(B356,Raw_Risk_Profiles!$A:$A,Raw_Risk_Profiles!$D:$D,"")</f>
        <v/>
      </c>
      <c r="K356" s="2">
        <f>IFERROR(INDEX(Raw_Risk_Profiles!$E:$E,MATCH(B356,Raw_Risk_Profiles!$A:$A,0)),"Unknown")</f>
        <v/>
      </c>
      <c r="L356" s="2">
        <f>IFERROR(XLOOKUP(A356,Raw_Alerts!$B:$B,Raw_Alerts!$A:$A),"No Alert")</f>
        <v/>
      </c>
      <c r="M356" s="2">
        <f>IFERROR(XLOOKUP(A356,Raw_Alerts!$B:$B,Raw_Alerts!$C:$C),"")</f>
        <v/>
      </c>
      <c r="N356" s="2">
        <f>IFERROR(XLOOKUP(A356,Raw_Alerts!$B:$B,Raw_Alerts!$D:$D),"")</f>
        <v/>
      </c>
      <c r="O356" s="2">
        <f>IFERROR(XLOOKUP(A356,Raw_Alerts!$B:$B,Raw_Alerts!$F:$F),"")</f>
        <v/>
      </c>
      <c r="P356" s="2">
        <f>IF(H356="Not Found","CRITICAL: No Risk Profile",IF(I356="Missing","WARN: Missing KYC",IF(I356="Expired","WARN: KYC Expired",IF(I356="Pending","INFO: KYC Pending","OK"))))</f>
        <v/>
      </c>
    </row>
    <row r="357">
      <c r="A357" s="4">
        <f>Raw_Transactions!A357</f>
        <v/>
      </c>
      <c r="B357" s="4">
        <f>Raw_Transactions!B357</f>
        <v/>
      </c>
      <c r="C357" s="4">
        <f>Raw_Transactions!C357</f>
        <v/>
      </c>
      <c r="D357" s="5">
        <f>Raw_Transactions!D357</f>
        <v/>
      </c>
      <c r="E357" s="4">
        <f>Raw_Transactions!E357</f>
        <v/>
      </c>
      <c r="F357" s="4">
        <f>Raw_Transactions!F357</f>
        <v/>
      </c>
      <c r="G357" s="4">
        <f>Raw_Transactions!G357</f>
        <v/>
      </c>
      <c r="H357" s="4">
        <f>XLOOKUP(B357,Raw_Risk_Profiles!$A:$A,Raw_Risk_Profiles!$B:$B,"Not Found")</f>
        <v/>
      </c>
      <c r="I357" s="4">
        <f>XLOOKUP(B357,Raw_Risk_Profiles!$A:$A,Raw_Risk_Profiles!$C:$C,"Missing")</f>
        <v/>
      </c>
      <c r="J357" s="4">
        <f>XLOOKUP(B357,Raw_Risk_Profiles!$A:$A,Raw_Risk_Profiles!$D:$D,"")</f>
        <v/>
      </c>
      <c r="K357" s="4">
        <f>IFERROR(INDEX(Raw_Risk_Profiles!$E:$E,MATCH(B357,Raw_Risk_Profiles!$A:$A,0)),"Unknown")</f>
        <v/>
      </c>
      <c r="L357" s="4">
        <f>IFERROR(XLOOKUP(A357,Raw_Alerts!$B:$B,Raw_Alerts!$A:$A),"No Alert")</f>
        <v/>
      </c>
      <c r="M357" s="4">
        <f>IFERROR(XLOOKUP(A357,Raw_Alerts!$B:$B,Raw_Alerts!$C:$C),"")</f>
        <v/>
      </c>
      <c r="N357" s="4">
        <f>IFERROR(XLOOKUP(A357,Raw_Alerts!$B:$B,Raw_Alerts!$D:$D),"")</f>
        <v/>
      </c>
      <c r="O357" s="4">
        <f>IFERROR(XLOOKUP(A357,Raw_Alerts!$B:$B,Raw_Alerts!$F:$F),"")</f>
        <v/>
      </c>
      <c r="P357" s="4">
        <f>IF(H357="Not Found","CRITICAL: No Risk Profile",IF(I357="Missing","WARN: Missing KYC",IF(I357="Expired","WARN: KYC Expired",IF(I357="Pending","INFO: KYC Pending","OK"))))</f>
        <v/>
      </c>
    </row>
    <row r="358">
      <c r="A358" s="2">
        <f>Raw_Transactions!A358</f>
        <v/>
      </c>
      <c r="B358" s="2">
        <f>Raw_Transactions!B358</f>
        <v/>
      </c>
      <c r="C358" s="2">
        <f>Raw_Transactions!C358</f>
        <v/>
      </c>
      <c r="D358" s="3">
        <f>Raw_Transactions!D358</f>
        <v/>
      </c>
      <c r="E358" s="2">
        <f>Raw_Transactions!E358</f>
        <v/>
      </c>
      <c r="F358" s="2">
        <f>Raw_Transactions!F358</f>
        <v/>
      </c>
      <c r="G358" s="2">
        <f>Raw_Transactions!G358</f>
        <v/>
      </c>
      <c r="H358" s="2">
        <f>XLOOKUP(B358,Raw_Risk_Profiles!$A:$A,Raw_Risk_Profiles!$B:$B,"Not Found")</f>
        <v/>
      </c>
      <c r="I358" s="2">
        <f>XLOOKUP(B358,Raw_Risk_Profiles!$A:$A,Raw_Risk_Profiles!$C:$C,"Missing")</f>
        <v/>
      </c>
      <c r="J358" s="2">
        <f>XLOOKUP(B358,Raw_Risk_Profiles!$A:$A,Raw_Risk_Profiles!$D:$D,"")</f>
        <v/>
      </c>
      <c r="K358" s="2">
        <f>IFERROR(INDEX(Raw_Risk_Profiles!$E:$E,MATCH(B358,Raw_Risk_Profiles!$A:$A,0)),"Unknown")</f>
        <v/>
      </c>
      <c r="L358" s="2">
        <f>IFERROR(XLOOKUP(A358,Raw_Alerts!$B:$B,Raw_Alerts!$A:$A),"No Alert")</f>
        <v/>
      </c>
      <c r="M358" s="2">
        <f>IFERROR(XLOOKUP(A358,Raw_Alerts!$B:$B,Raw_Alerts!$C:$C),"")</f>
        <v/>
      </c>
      <c r="N358" s="2">
        <f>IFERROR(XLOOKUP(A358,Raw_Alerts!$B:$B,Raw_Alerts!$D:$D),"")</f>
        <v/>
      </c>
      <c r="O358" s="2">
        <f>IFERROR(XLOOKUP(A358,Raw_Alerts!$B:$B,Raw_Alerts!$F:$F),"")</f>
        <v/>
      </c>
      <c r="P358" s="2">
        <f>IF(H358="Not Found","CRITICAL: No Risk Profile",IF(I358="Missing","WARN: Missing KYC",IF(I358="Expired","WARN: KYC Expired",IF(I358="Pending","INFO: KYC Pending","OK"))))</f>
        <v/>
      </c>
    </row>
    <row r="359">
      <c r="A359" s="4">
        <f>Raw_Transactions!A359</f>
        <v/>
      </c>
      <c r="B359" s="4">
        <f>Raw_Transactions!B359</f>
        <v/>
      </c>
      <c r="C359" s="4">
        <f>Raw_Transactions!C359</f>
        <v/>
      </c>
      <c r="D359" s="5">
        <f>Raw_Transactions!D359</f>
        <v/>
      </c>
      <c r="E359" s="4">
        <f>Raw_Transactions!E359</f>
        <v/>
      </c>
      <c r="F359" s="4">
        <f>Raw_Transactions!F359</f>
        <v/>
      </c>
      <c r="G359" s="4">
        <f>Raw_Transactions!G359</f>
        <v/>
      </c>
      <c r="H359" s="4">
        <f>XLOOKUP(B359,Raw_Risk_Profiles!$A:$A,Raw_Risk_Profiles!$B:$B,"Not Found")</f>
        <v/>
      </c>
      <c r="I359" s="4">
        <f>XLOOKUP(B359,Raw_Risk_Profiles!$A:$A,Raw_Risk_Profiles!$C:$C,"Missing")</f>
        <v/>
      </c>
      <c r="J359" s="4">
        <f>XLOOKUP(B359,Raw_Risk_Profiles!$A:$A,Raw_Risk_Profiles!$D:$D,"")</f>
        <v/>
      </c>
      <c r="K359" s="4">
        <f>IFERROR(INDEX(Raw_Risk_Profiles!$E:$E,MATCH(B359,Raw_Risk_Profiles!$A:$A,0)),"Unknown")</f>
        <v/>
      </c>
      <c r="L359" s="4">
        <f>IFERROR(XLOOKUP(A359,Raw_Alerts!$B:$B,Raw_Alerts!$A:$A),"No Alert")</f>
        <v/>
      </c>
      <c r="M359" s="4">
        <f>IFERROR(XLOOKUP(A359,Raw_Alerts!$B:$B,Raw_Alerts!$C:$C),"")</f>
        <v/>
      </c>
      <c r="N359" s="4">
        <f>IFERROR(XLOOKUP(A359,Raw_Alerts!$B:$B,Raw_Alerts!$D:$D),"")</f>
        <v/>
      </c>
      <c r="O359" s="4">
        <f>IFERROR(XLOOKUP(A359,Raw_Alerts!$B:$B,Raw_Alerts!$F:$F),"")</f>
        <v/>
      </c>
      <c r="P359" s="4">
        <f>IF(H359="Not Found","CRITICAL: No Risk Profile",IF(I359="Missing","WARN: Missing KYC",IF(I359="Expired","WARN: KYC Expired",IF(I359="Pending","INFO: KYC Pending","OK"))))</f>
        <v/>
      </c>
    </row>
    <row r="360">
      <c r="A360" s="2">
        <f>Raw_Transactions!A360</f>
        <v/>
      </c>
      <c r="B360" s="2">
        <f>Raw_Transactions!B360</f>
        <v/>
      </c>
      <c r="C360" s="2">
        <f>Raw_Transactions!C360</f>
        <v/>
      </c>
      <c r="D360" s="3">
        <f>Raw_Transactions!D360</f>
        <v/>
      </c>
      <c r="E360" s="2">
        <f>Raw_Transactions!E360</f>
        <v/>
      </c>
      <c r="F360" s="2">
        <f>Raw_Transactions!F360</f>
        <v/>
      </c>
      <c r="G360" s="2">
        <f>Raw_Transactions!G360</f>
        <v/>
      </c>
      <c r="H360" s="2">
        <f>XLOOKUP(B360,Raw_Risk_Profiles!$A:$A,Raw_Risk_Profiles!$B:$B,"Not Found")</f>
        <v/>
      </c>
      <c r="I360" s="2">
        <f>XLOOKUP(B360,Raw_Risk_Profiles!$A:$A,Raw_Risk_Profiles!$C:$C,"Missing")</f>
        <v/>
      </c>
      <c r="J360" s="2">
        <f>XLOOKUP(B360,Raw_Risk_Profiles!$A:$A,Raw_Risk_Profiles!$D:$D,"")</f>
        <v/>
      </c>
      <c r="K360" s="2">
        <f>IFERROR(INDEX(Raw_Risk_Profiles!$E:$E,MATCH(B360,Raw_Risk_Profiles!$A:$A,0)),"Unknown")</f>
        <v/>
      </c>
      <c r="L360" s="2">
        <f>IFERROR(XLOOKUP(A360,Raw_Alerts!$B:$B,Raw_Alerts!$A:$A),"No Alert")</f>
        <v/>
      </c>
      <c r="M360" s="2">
        <f>IFERROR(XLOOKUP(A360,Raw_Alerts!$B:$B,Raw_Alerts!$C:$C),"")</f>
        <v/>
      </c>
      <c r="N360" s="2">
        <f>IFERROR(XLOOKUP(A360,Raw_Alerts!$B:$B,Raw_Alerts!$D:$D),"")</f>
        <v/>
      </c>
      <c r="O360" s="2">
        <f>IFERROR(XLOOKUP(A360,Raw_Alerts!$B:$B,Raw_Alerts!$F:$F),"")</f>
        <v/>
      </c>
      <c r="P360" s="2">
        <f>IF(H360="Not Found","CRITICAL: No Risk Profile",IF(I360="Missing","WARN: Missing KYC",IF(I360="Expired","WARN: KYC Expired",IF(I360="Pending","INFO: KYC Pending","OK"))))</f>
        <v/>
      </c>
    </row>
    <row r="361">
      <c r="A361" s="4">
        <f>Raw_Transactions!A361</f>
        <v/>
      </c>
      <c r="B361" s="4">
        <f>Raw_Transactions!B361</f>
        <v/>
      </c>
      <c r="C361" s="4">
        <f>Raw_Transactions!C361</f>
        <v/>
      </c>
      <c r="D361" s="5">
        <f>Raw_Transactions!D361</f>
        <v/>
      </c>
      <c r="E361" s="4">
        <f>Raw_Transactions!E361</f>
        <v/>
      </c>
      <c r="F361" s="4">
        <f>Raw_Transactions!F361</f>
        <v/>
      </c>
      <c r="G361" s="4">
        <f>Raw_Transactions!G361</f>
        <v/>
      </c>
      <c r="H361" s="4">
        <f>XLOOKUP(B361,Raw_Risk_Profiles!$A:$A,Raw_Risk_Profiles!$B:$B,"Not Found")</f>
        <v/>
      </c>
      <c r="I361" s="4">
        <f>XLOOKUP(B361,Raw_Risk_Profiles!$A:$A,Raw_Risk_Profiles!$C:$C,"Missing")</f>
        <v/>
      </c>
      <c r="J361" s="4">
        <f>XLOOKUP(B361,Raw_Risk_Profiles!$A:$A,Raw_Risk_Profiles!$D:$D,"")</f>
        <v/>
      </c>
      <c r="K361" s="4">
        <f>IFERROR(INDEX(Raw_Risk_Profiles!$E:$E,MATCH(B361,Raw_Risk_Profiles!$A:$A,0)),"Unknown")</f>
        <v/>
      </c>
      <c r="L361" s="4">
        <f>IFERROR(XLOOKUP(A361,Raw_Alerts!$B:$B,Raw_Alerts!$A:$A),"No Alert")</f>
        <v/>
      </c>
      <c r="M361" s="4">
        <f>IFERROR(XLOOKUP(A361,Raw_Alerts!$B:$B,Raw_Alerts!$C:$C),"")</f>
        <v/>
      </c>
      <c r="N361" s="4">
        <f>IFERROR(XLOOKUP(A361,Raw_Alerts!$B:$B,Raw_Alerts!$D:$D),"")</f>
        <v/>
      </c>
      <c r="O361" s="4">
        <f>IFERROR(XLOOKUP(A361,Raw_Alerts!$B:$B,Raw_Alerts!$F:$F),"")</f>
        <v/>
      </c>
      <c r="P361" s="4">
        <f>IF(H361="Not Found","CRITICAL: No Risk Profile",IF(I361="Missing","WARN: Missing KYC",IF(I361="Expired","WARN: KYC Expired",IF(I361="Pending","INFO: KYC Pending","OK"))))</f>
        <v/>
      </c>
    </row>
    <row r="362">
      <c r="A362" s="2">
        <f>Raw_Transactions!A362</f>
        <v/>
      </c>
      <c r="B362" s="2">
        <f>Raw_Transactions!B362</f>
        <v/>
      </c>
      <c r="C362" s="2">
        <f>Raw_Transactions!C362</f>
        <v/>
      </c>
      <c r="D362" s="3">
        <f>Raw_Transactions!D362</f>
        <v/>
      </c>
      <c r="E362" s="2">
        <f>Raw_Transactions!E362</f>
        <v/>
      </c>
      <c r="F362" s="2">
        <f>Raw_Transactions!F362</f>
        <v/>
      </c>
      <c r="G362" s="2">
        <f>Raw_Transactions!G362</f>
        <v/>
      </c>
      <c r="H362" s="2">
        <f>XLOOKUP(B362,Raw_Risk_Profiles!$A:$A,Raw_Risk_Profiles!$B:$B,"Not Found")</f>
        <v/>
      </c>
      <c r="I362" s="2">
        <f>XLOOKUP(B362,Raw_Risk_Profiles!$A:$A,Raw_Risk_Profiles!$C:$C,"Missing")</f>
        <v/>
      </c>
      <c r="J362" s="2">
        <f>XLOOKUP(B362,Raw_Risk_Profiles!$A:$A,Raw_Risk_Profiles!$D:$D,"")</f>
        <v/>
      </c>
      <c r="K362" s="2">
        <f>IFERROR(INDEX(Raw_Risk_Profiles!$E:$E,MATCH(B362,Raw_Risk_Profiles!$A:$A,0)),"Unknown")</f>
        <v/>
      </c>
      <c r="L362" s="2">
        <f>IFERROR(XLOOKUP(A362,Raw_Alerts!$B:$B,Raw_Alerts!$A:$A),"No Alert")</f>
        <v/>
      </c>
      <c r="M362" s="2">
        <f>IFERROR(XLOOKUP(A362,Raw_Alerts!$B:$B,Raw_Alerts!$C:$C),"")</f>
        <v/>
      </c>
      <c r="N362" s="2">
        <f>IFERROR(XLOOKUP(A362,Raw_Alerts!$B:$B,Raw_Alerts!$D:$D),"")</f>
        <v/>
      </c>
      <c r="O362" s="2">
        <f>IFERROR(XLOOKUP(A362,Raw_Alerts!$B:$B,Raw_Alerts!$F:$F),"")</f>
        <v/>
      </c>
      <c r="P362" s="2">
        <f>IF(H362="Not Found","CRITICAL: No Risk Profile",IF(I362="Missing","WARN: Missing KYC",IF(I362="Expired","WARN: KYC Expired",IF(I362="Pending","INFO: KYC Pending","OK"))))</f>
        <v/>
      </c>
    </row>
    <row r="363">
      <c r="A363" s="4">
        <f>Raw_Transactions!A363</f>
        <v/>
      </c>
      <c r="B363" s="4">
        <f>Raw_Transactions!B363</f>
        <v/>
      </c>
      <c r="C363" s="4">
        <f>Raw_Transactions!C363</f>
        <v/>
      </c>
      <c r="D363" s="5">
        <f>Raw_Transactions!D363</f>
        <v/>
      </c>
      <c r="E363" s="4">
        <f>Raw_Transactions!E363</f>
        <v/>
      </c>
      <c r="F363" s="4">
        <f>Raw_Transactions!F363</f>
        <v/>
      </c>
      <c r="G363" s="4">
        <f>Raw_Transactions!G363</f>
        <v/>
      </c>
      <c r="H363" s="4">
        <f>XLOOKUP(B363,Raw_Risk_Profiles!$A:$A,Raw_Risk_Profiles!$B:$B,"Not Found")</f>
        <v/>
      </c>
      <c r="I363" s="4">
        <f>XLOOKUP(B363,Raw_Risk_Profiles!$A:$A,Raw_Risk_Profiles!$C:$C,"Missing")</f>
        <v/>
      </c>
      <c r="J363" s="4">
        <f>XLOOKUP(B363,Raw_Risk_Profiles!$A:$A,Raw_Risk_Profiles!$D:$D,"")</f>
        <v/>
      </c>
      <c r="K363" s="4">
        <f>IFERROR(INDEX(Raw_Risk_Profiles!$E:$E,MATCH(B363,Raw_Risk_Profiles!$A:$A,0)),"Unknown")</f>
        <v/>
      </c>
      <c r="L363" s="4">
        <f>IFERROR(XLOOKUP(A363,Raw_Alerts!$B:$B,Raw_Alerts!$A:$A),"No Alert")</f>
        <v/>
      </c>
      <c r="M363" s="4">
        <f>IFERROR(XLOOKUP(A363,Raw_Alerts!$B:$B,Raw_Alerts!$C:$C),"")</f>
        <v/>
      </c>
      <c r="N363" s="4">
        <f>IFERROR(XLOOKUP(A363,Raw_Alerts!$B:$B,Raw_Alerts!$D:$D),"")</f>
        <v/>
      </c>
      <c r="O363" s="4">
        <f>IFERROR(XLOOKUP(A363,Raw_Alerts!$B:$B,Raw_Alerts!$F:$F),"")</f>
        <v/>
      </c>
      <c r="P363" s="4">
        <f>IF(H363="Not Found","CRITICAL: No Risk Profile",IF(I363="Missing","WARN: Missing KYC",IF(I363="Expired","WARN: KYC Expired",IF(I363="Pending","INFO: KYC Pending","OK"))))</f>
        <v/>
      </c>
    </row>
    <row r="364">
      <c r="A364" s="2">
        <f>Raw_Transactions!A364</f>
        <v/>
      </c>
      <c r="B364" s="2">
        <f>Raw_Transactions!B364</f>
        <v/>
      </c>
      <c r="C364" s="2">
        <f>Raw_Transactions!C364</f>
        <v/>
      </c>
      <c r="D364" s="3">
        <f>Raw_Transactions!D364</f>
        <v/>
      </c>
      <c r="E364" s="2">
        <f>Raw_Transactions!E364</f>
        <v/>
      </c>
      <c r="F364" s="2">
        <f>Raw_Transactions!F364</f>
        <v/>
      </c>
      <c r="G364" s="2">
        <f>Raw_Transactions!G364</f>
        <v/>
      </c>
      <c r="H364" s="2">
        <f>XLOOKUP(B364,Raw_Risk_Profiles!$A:$A,Raw_Risk_Profiles!$B:$B,"Not Found")</f>
        <v/>
      </c>
      <c r="I364" s="2">
        <f>XLOOKUP(B364,Raw_Risk_Profiles!$A:$A,Raw_Risk_Profiles!$C:$C,"Missing")</f>
        <v/>
      </c>
      <c r="J364" s="2">
        <f>XLOOKUP(B364,Raw_Risk_Profiles!$A:$A,Raw_Risk_Profiles!$D:$D,"")</f>
        <v/>
      </c>
      <c r="K364" s="2">
        <f>IFERROR(INDEX(Raw_Risk_Profiles!$E:$E,MATCH(B364,Raw_Risk_Profiles!$A:$A,0)),"Unknown")</f>
        <v/>
      </c>
      <c r="L364" s="2">
        <f>IFERROR(XLOOKUP(A364,Raw_Alerts!$B:$B,Raw_Alerts!$A:$A),"No Alert")</f>
        <v/>
      </c>
      <c r="M364" s="2">
        <f>IFERROR(XLOOKUP(A364,Raw_Alerts!$B:$B,Raw_Alerts!$C:$C),"")</f>
        <v/>
      </c>
      <c r="N364" s="2">
        <f>IFERROR(XLOOKUP(A364,Raw_Alerts!$B:$B,Raw_Alerts!$D:$D),"")</f>
        <v/>
      </c>
      <c r="O364" s="2">
        <f>IFERROR(XLOOKUP(A364,Raw_Alerts!$B:$B,Raw_Alerts!$F:$F),"")</f>
        <v/>
      </c>
      <c r="P364" s="2">
        <f>IF(H364="Not Found","CRITICAL: No Risk Profile",IF(I364="Missing","WARN: Missing KYC",IF(I364="Expired","WARN: KYC Expired",IF(I364="Pending","INFO: KYC Pending","OK"))))</f>
        <v/>
      </c>
    </row>
    <row r="365">
      <c r="A365" s="4">
        <f>Raw_Transactions!A365</f>
        <v/>
      </c>
      <c r="B365" s="4">
        <f>Raw_Transactions!B365</f>
        <v/>
      </c>
      <c r="C365" s="4">
        <f>Raw_Transactions!C365</f>
        <v/>
      </c>
      <c r="D365" s="5">
        <f>Raw_Transactions!D365</f>
        <v/>
      </c>
      <c r="E365" s="4">
        <f>Raw_Transactions!E365</f>
        <v/>
      </c>
      <c r="F365" s="4">
        <f>Raw_Transactions!F365</f>
        <v/>
      </c>
      <c r="G365" s="4">
        <f>Raw_Transactions!G365</f>
        <v/>
      </c>
      <c r="H365" s="4">
        <f>XLOOKUP(B365,Raw_Risk_Profiles!$A:$A,Raw_Risk_Profiles!$B:$B,"Not Found")</f>
        <v/>
      </c>
      <c r="I365" s="4">
        <f>XLOOKUP(B365,Raw_Risk_Profiles!$A:$A,Raw_Risk_Profiles!$C:$C,"Missing")</f>
        <v/>
      </c>
      <c r="J365" s="4">
        <f>XLOOKUP(B365,Raw_Risk_Profiles!$A:$A,Raw_Risk_Profiles!$D:$D,"")</f>
        <v/>
      </c>
      <c r="K365" s="4">
        <f>IFERROR(INDEX(Raw_Risk_Profiles!$E:$E,MATCH(B365,Raw_Risk_Profiles!$A:$A,0)),"Unknown")</f>
        <v/>
      </c>
      <c r="L365" s="4">
        <f>IFERROR(XLOOKUP(A365,Raw_Alerts!$B:$B,Raw_Alerts!$A:$A),"No Alert")</f>
        <v/>
      </c>
      <c r="M365" s="4">
        <f>IFERROR(XLOOKUP(A365,Raw_Alerts!$B:$B,Raw_Alerts!$C:$C),"")</f>
        <v/>
      </c>
      <c r="N365" s="4">
        <f>IFERROR(XLOOKUP(A365,Raw_Alerts!$B:$B,Raw_Alerts!$D:$D),"")</f>
        <v/>
      </c>
      <c r="O365" s="4">
        <f>IFERROR(XLOOKUP(A365,Raw_Alerts!$B:$B,Raw_Alerts!$F:$F),"")</f>
        <v/>
      </c>
      <c r="P365" s="4">
        <f>IF(H365="Not Found","CRITICAL: No Risk Profile",IF(I365="Missing","WARN: Missing KYC",IF(I365="Expired","WARN: KYC Expired",IF(I365="Pending","INFO: KYC Pending","OK"))))</f>
        <v/>
      </c>
    </row>
    <row r="366">
      <c r="A366" s="2">
        <f>Raw_Transactions!A366</f>
        <v/>
      </c>
      <c r="B366" s="2">
        <f>Raw_Transactions!B366</f>
        <v/>
      </c>
      <c r="C366" s="2">
        <f>Raw_Transactions!C366</f>
        <v/>
      </c>
      <c r="D366" s="3">
        <f>Raw_Transactions!D366</f>
        <v/>
      </c>
      <c r="E366" s="2">
        <f>Raw_Transactions!E366</f>
        <v/>
      </c>
      <c r="F366" s="2">
        <f>Raw_Transactions!F366</f>
        <v/>
      </c>
      <c r="G366" s="2">
        <f>Raw_Transactions!G366</f>
        <v/>
      </c>
      <c r="H366" s="2">
        <f>XLOOKUP(B366,Raw_Risk_Profiles!$A:$A,Raw_Risk_Profiles!$B:$B,"Not Found")</f>
        <v/>
      </c>
      <c r="I366" s="2">
        <f>XLOOKUP(B366,Raw_Risk_Profiles!$A:$A,Raw_Risk_Profiles!$C:$C,"Missing")</f>
        <v/>
      </c>
      <c r="J366" s="2">
        <f>XLOOKUP(B366,Raw_Risk_Profiles!$A:$A,Raw_Risk_Profiles!$D:$D,"")</f>
        <v/>
      </c>
      <c r="K366" s="2">
        <f>IFERROR(INDEX(Raw_Risk_Profiles!$E:$E,MATCH(B366,Raw_Risk_Profiles!$A:$A,0)),"Unknown")</f>
        <v/>
      </c>
      <c r="L366" s="2">
        <f>IFERROR(XLOOKUP(A366,Raw_Alerts!$B:$B,Raw_Alerts!$A:$A),"No Alert")</f>
        <v/>
      </c>
      <c r="M366" s="2">
        <f>IFERROR(XLOOKUP(A366,Raw_Alerts!$B:$B,Raw_Alerts!$C:$C),"")</f>
        <v/>
      </c>
      <c r="N366" s="2">
        <f>IFERROR(XLOOKUP(A366,Raw_Alerts!$B:$B,Raw_Alerts!$D:$D),"")</f>
        <v/>
      </c>
      <c r="O366" s="2">
        <f>IFERROR(XLOOKUP(A366,Raw_Alerts!$B:$B,Raw_Alerts!$F:$F),"")</f>
        <v/>
      </c>
      <c r="P366" s="2">
        <f>IF(H366="Not Found","CRITICAL: No Risk Profile",IF(I366="Missing","WARN: Missing KYC",IF(I366="Expired","WARN: KYC Expired",IF(I366="Pending","INFO: KYC Pending","OK"))))</f>
        <v/>
      </c>
    </row>
    <row r="367">
      <c r="A367" s="4">
        <f>Raw_Transactions!A367</f>
        <v/>
      </c>
      <c r="B367" s="4">
        <f>Raw_Transactions!B367</f>
        <v/>
      </c>
      <c r="C367" s="4">
        <f>Raw_Transactions!C367</f>
        <v/>
      </c>
      <c r="D367" s="5">
        <f>Raw_Transactions!D367</f>
        <v/>
      </c>
      <c r="E367" s="4">
        <f>Raw_Transactions!E367</f>
        <v/>
      </c>
      <c r="F367" s="4">
        <f>Raw_Transactions!F367</f>
        <v/>
      </c>
      <c r="G367" s="4">
        <f>Raw_Transactions!G367</f>
        <v/>
      </c>
      <c r="H367" s="4">
        <f>XLOOKUP(B367,Raw_Risk_Profiles!$A:$A,Raw_Risk_Profiles!$B:$B,"Not Found")</f>
        <v/>
      </c>
      <c r="I367" s="4">
        <f>XLOOKUP(B367,Raw_Risk_Profiles!$A:$A,Raw_Risk_Profiles!$C:$C,"Missing")</f>
        <v/>
      </c>
      <c r="J367" s="4">
        <f>XLOOKUP(B367,Raw_Risk_Profiles!$A:$A,Raw_Risk_Profiles!$D:$D,"")</f>
        <v/>
      </c>
      <c r="K367" s="4">
        <f>IFERROR(INDEX(Raw_Risk_Profiles!$E:$E,MATCH(B367,Raw_Risk_Profiles!$A:$A,0)),"Unknown")</f>
        <v/>
      </c>
      <c r="L367" s="4">
        <f>IFERROR(XLOOKUP(A367,Raw_Alerts!$B:$B,Raw_Alerts!$A:$A),"No Alert")</f>
        <v/>
      </c>
      <c r="M367" s="4">
        <f>IFERROR(XLOOKUP(A367,Raw_Alerts!$B:$B,Raw_Alerts!$C:$C),"")</f>
        <v/>
      </c>
      <c r="N367" s="4">
        <f>IFERROR(XLOOKUP(A367,Raw_Alerts!$B:$B,Raw_Alerts!$D:$D),"")</f>
        <v/>
      </c>
      <c r="O367" s="4">
        <f>IFERROR(XLOOKUP(A367,Raw_Alerts!$B:$B,Raw_Alerts!$F:$F),"")</f>
        <v/>
      </c>
      <c r="P367" s="4">
        <f>IF(H367="Not Found","CRITICAL: No Risk Profile",IF(I367="Missing","WARN: Missing KYC",IF(I367="Expired","WARN: KYC Expired",IF(I367="Pending","INFO: KYC Pending","OK"))))</f>
        <v/>
      </c>
    </row>
    <row r="368">
      <c r="A368" s="2">
        <f>Raw_Transactions!A368</f>
        <v/>
      </c>
      <c r="B368" s="2">
        <f>Raw_Transactions!B368</f>
        <v/>
      </c>
      <c r="C368" s="2">
        <f>Raw_Transactions!C368</f>
        <v/>
      </c>
      <c r="D368" s="3">
        <f>Raw_Transactions!D368</f>
        <v/>
      </c>
      <c r="E368" s="2">
        <f>Raw_Transactions!E368</f>
        <v/>
      </c>
      <c r="F368" s="2">
        <f>Raw_Transactions!F368</f>
        <v/>
      </c>
      <c r="G368" s="2">
        <f>Raw_Transactions!G368</f>
        <v/>
      </c>
      <c r="H368" s="2">
        <f>XLOOKUP(B368,Raw_Risk_Profiles!$A:$A,Raw_Risk_Profiles!$B:$B,"Not Found")</f>
        <v/>
      </c>
      <c r="I368" s="2">
        <f>XLOOKUP(B368,Raw_Risk_Profiles!$A:$A,Raw_Risk_Profiles!$C:$C,"Missing")</f>
        <v/>
      </c>
      <c r="J368" s="2">
        <f>XLOOKUP(B368,Raw_Risk_Profiles!$A:$A,Raw_Risk_Profiles!$D:$D,"")</f>
        <v/>
      </c>
      <c r="K368" s="2">
        <f>IFERROR(INDEX(Raw_Risk_Profiles!$E:$E,MATCH(B368,Raw_Risk_Profiles!$A:$A,0)),"Unknown")</f>
        <v/>
      </c>
      <c r="L368" s="2">
        <f>IFERROR(XLOOKUP(A368,Raw_Alerts!$B:$B,Raw_Alerts!$A:$A),"No Alert")</f>
        <v/>
      </c>
      <c r="M368" s="2">
        <f>IFERROR(XLOOKUP(A368,Raw_Alerts!$B:$B,Raw_Alerts!$C:$C),"")</f>
        <v/>
      </c>
      <c r="N368" s="2">
        <f>IFERROR(XLOOKUP(A368,Raw_Alerts!$B:$B,Raw_Alerts!$D:$D),"")</f>
        <v/>
      </c>
      <c r="O368" s="2">
        <f>IFERROR(XLOOKUP(A368,Raw_Alerts!$B:$B,Raw_Alerts!$F:$F),"")</f>
        <v/>
      </c>
      <c r="P368" s="2">
        <f>IF(H368="Not Found","CRITICAL: No Risk Profile",IF(I368="Missing","WARN: Missing KYC",IF(I368="Expired","WARN: KYC Expired",IF(I368="Pending","INFO: KYC Pending","OK"))))</f>
        <v/>
      </c>
    </row>
    <row r="369">
      <c r="A369" s="4">
        <f>Raw_Transactions!A369</f>
        <v/>
      </c>
      <c r="B369" s="4">
        <f>Raw_Transactions!B369</f>
        <v/>
      </c>
      <c r="C369" s="4">
        <f>Raw_Transactions!C369</f>
        <v/>
      </c>
      <c r="D369" s="5">
        <f>Raw_Transactions!D369</f>
        <v/>
      </c>
      <c r="E369" s="4">
        <f>Raw_Transactions!E369</f>
        <v/>
      </c>
      <c r="F369" s="4">
        <f>Raw_Transactions!F369</f>
        <v/>
      </c>
      <c r="G369" s="4">
        <f>Raw_Transactions!G369</f>
        <v/>
      </c>
      <c r="H369" s="4">
        <f>XLOOKUP(B369,Raw_Risk_Profiles!$A:$A,Raw_Risk_Profiles!$B:$B,"Not Found")</f>
        <v/>
      </c>
      <c r="I369" s="4">
        <f>XLOOKUP(B369,Raw_Risk_Profiles!$A:$A,Raw_Risk_Profiles!$C:$C,"Missing")</f>
        <v/>
      </c>
      <c r="J369" s="4">
        <f>XLOOKUP(B369,Raw_Risk_Profiles!$A:$A,Raw_Risk_Profiles!$D:$D,"")</f>
        <v/>
      </c>
      <c r="K369" s="4">
        <f>IFERROR(INDEX(Raw_Risk_Profiles!$E:$E,MATCH(B369,Raw_Risk_Profiles!$A:$A,0)),"Unknown")</f>
        <v/>
      </c>
      <c r="L369" s="4">
        <f>IFERROR(XLOOKUP(A369,Raw_Alerts!$B:$B,Raw_Alerts!$A:$A),"No Alert")</f>
        <v/>
      </c>
      <c r="M369" s="4">
        <f>IFERROR(XLOOKUP(A369,Raw_Alerts!$B:$B,Raw_Alerts!$C:$C),"")</f>
        <v/>
      </c>
      <c r="N369" s="4">
        <f>IFERROR(XLOOKUP(A369,Raw_Alerts!$B:$B,Raw_Alerts!$D:$D),"")</f>
        <v/>
      </c>
      <c r="O369" s="4">
        <f>IFERROR(XLOOKUP(A369,Raw_Alerts!$B:$B,Raw_Alerts!$F:$F),"")</f>
        <v/>
      </c>
      <c r="P369" s="4">
        <f>IF(H369="Not Found","CRITICAL: No Risk Profile",IF(I369="Missing","WARN: Missing KYC",IF(I369="Expired","WARN: KYC Expired",IF(I369="Pending","INFO: KYC Pending","OK"))))</f>
        <v/>
      </c>
    </row>
    <row r="370">
      <c r="A370" s="2">
        <f>Raw_Transactions!A370</f>
        <v/>
      </c>
      <c r="B370" s="2">
        <f>Raw_Transactions!B370</f>
        <v/>
      </c>
      <c r="C370" s="2">
        <f>Raw_Transactions!C370</f>
        <v/>
      </c>
      <c r="D370" s="3">
        <f>Raw_Transactions!D370</f>
        <v/>
      </c>
      <c r="E370" s="2">
        <f>Raw_Transactions!E370</f>
        <v/>
      </c>
      <c r="F370" s="2">
        <f>Raw_Transactions!F370</f>
        <v/>
      </c>
      <c r="G370" s="2">
        <f>Raw_Transactions!G370</f>
        <v/>
      </c>
      <c r="H370" s="2">
        <f>XLOOKUP(B370,Raw_Risk_Profiles!$A:$A,Raw_Risk_Profiles!$B:$B,"Not Found")</f>
        <v/>
      </c>
      <c r="I370" s="2">
        <f>XLOOKUP(B370,Raw_Risk_Profiles!$A:$A,Raw_Risk_Profiles!$C:$C,"Missing")</f>
        <v/>
      </c>
      <c r="J370" s="2">
        <f>XLOOKUP(B370,Raw_Risk_Profiles!$A:$A,Raw_Risk_Profiles!$D:$D,"")</f>
        <v/>
      </c>
      <c r="K370" s="2">
        <f>IFERROR(INDEX(Raw_Risk_Profiles!$E:$E,MATCH(B370,Raw_Risk_Profiles!$A:$A,0)),"Unknown")</f>
        <v/>
      </c>
      <c r="L370" s="2">
        <f>IFERROR(XLOOKUP(A370,Raw_Alerts!$B:$B,Raw_Alerts!$A:$A),"No Alert")</f>
        <v/>
      </c>
      <c r="M370" s="2">
        <f>IFERROR(XLOOKUP(A370,Raw_Alerts!$B:$B,Raw_Alerts!$C:$C),"")</f>
        <v/>
      </c>
      <c r="N370" s="2">
        <f>IFERROR(XLOOKUP(A370,Raw_Alerts!$B:$B,Raw_Alerts!$D:$D),"")</f>
        <v/>
      </c>
      <c r="O370" s="2">
        <f>IFERROR(XLOOKUP(A370,Raw_Alerts!$B:$B,Raw_Alerts!$F:$F),"")</f>
        <v/>
      </c>
      <c r="P370" s="2">
        <f>IF(H370="Not Found","CRITICAL: No Risk Profile",IF(I370="Missing","WARN: Missing KYC",IF(I370="Expired","WARN: KYC Expired",IF(I370="Pending","INFO: KYC Pending","OK"))))</f>
        <v/>
      </c>
    </row>
    <row r="371">
      <c r="A371" s="4">
        <f>Raw_Transactions!A371</f>
        <v/>
      </c>
      <c r="B371" s="4">
        <f>Raw_Transactions!B371</f>
        <v/>
      </c>
      <c r="C371" s="4">
        <f>Raw_Transactions!C371</f>
        <v/>
      </c>
      <c r="D371" s="5">
        <f>Raw_Transactions!D371</f>
        <v/>
      </c>
      <c r="E371" s="4">
        <f>Raw_Transactions!E371</f>
        <v/>
      </c>
      <c r="F371" s="4">
        <f>Raw_Transactions!F371</f>
        <v/>
      </c>
      <c r="G371" s="4">
        <f>Raw_Transactions!G371</f>
        <v/>
      </c>
      <c r="H371" s="4">
        <f>XLOOKUP(B371,Raw_Risk_Profiles!$A:$A,Raw_Risk_Profiles!$B:$B,"Not Found")</f>
        <v/>
      </c>
      <c r="I371" s="4">
        <f>XLOOKUP(B371,Raw_Risk_Profiles!$A:$A,Raw_Risk_Profiles!$C:$C,"Missing")</f>
        <v/>
      </c>
      <c r="J371" s="4">
        <f>XLOOKUP(B371,Raw_Risk_Profiles!$A:$A,Raw_Risk_Profiles!$D:$D,"")</f>
        <v/>
      </c>
      <c r="K371" s="4">
        <f>IFERROR(INDEX(Raw_Risk_Profiles!$E:$E,MATCH(B371,Raw_Risk_Profiles!$A:$A,0)),"Unknown")</f>
        <v/>
      </c>
      <c r="L371" s="4">
        <f>IFERROR(XLOOKUP(A371,Raw_Alerts!$B:$B,Raw_Alerts!$A:$A),"No Alert")</f>
        <v/>
      </c>
      <c r="M371" s="4">
        <f>IFERROR(XLOOKUP(A371,Raw_Alerts!$B:$B,Raw_Alerts!$C:$C),"")</f>
        <v/>
      </c>
      <c r="N371" s="4">
        <f>IFERROR(XLOOKUP(A371,Raw_Alerts!$B:$B,Raw_Alerts!$D:$D),"")</f>
        <v/>
      </c>
      <c r="O371" s="4">
        <f>IFERROR(XLOOKUP(A371,Raw_Alerts!$B:$B,Raw_Alerts!$F:$F),"")</f>
        <v/>
      </c>
      <c r="P371" s="4">
        <f>IF(H371="Not Found","CRITICAL: No Risk Profile",IF(I371="Missing","WARN: Missing KYC",IF(I371="Expired","WARN: KYC Expired",IF(I371="Pending","INFO: KYC Pending","OK"))))</f>
        <v/>
      </c>
    </row>
    <row r="372">
      <c r="A372" s="2">
        <f>Raw_Transactions!A372</f>
        <v/>
      </c>
      <c r="B372" s="2">
        <f>Raw_Transactions!B372</f>
        <v/>
      </c>
      <c r="C372" s="2">
        <f>Raw_Transactions!C372</f>
        <v/>
      </c>
      <c r="D372" s="3">
        <f>Raw_Transactions!D372</f>
        <v/>
      </c>
      <c r="E372" s="2">
        <f>Raw_Transactions!E372</f>
        <v/>
      </c>
      <c r="F372" s="2">
        <f>Raw_Transactions!F372</f>
        <v/>
      </c>
      <c r="G372" s="2">
        <f>Raw_Transactions!G372</f>
        <v/>
      </c>
      <c r="H372" s="2">
        <f>XLOOKUP(B372,Raw_Risk_Profiles!$A:$A,Raw_Risk_Profiles!$B:$B,"Not Found")</f>
        <v/>
      </c>
      <c r="I372" s="2">
        <f>XLOOKUP(B372,Raw_Risk_Profiles!$A:$A,Raw_Risk_Profiles!$C:$C,"Missing")</f>
        <v/>
      </c>
      <c r="J372" s="2">
        <f>XLOOKUP(B372,Raw_Risk_Profiles!$A:$A,Raw_Risk_Profiles!$D:$D,"")</f>
        <v/>
      </c>
      <c r="K372" s="2">
        <f>IFERROR(INDEX(Raw_Risk_Profiles!$E:$E,MATCH(B372,Raw_Risk_Profiles!$A:$A,0)),"Unknown")</f>
        <v/>
      </c>
      <c r="L372" s="2">
        <f>IFERROR(XLOOKUP(A372,Raw_Alerts!$B:$B,Raw_Alerts!$A:$A),"No Alert")</f>
        <v/>
      </c>
      <c r="M372" s="2">
        <f>IFERROR(XLOOKUP(A372,Raw_Alerts!$B:$B,Raw_Alerts!$C:$C),"")</f>
        <v/>
      </c>
      <c r="N372" s="2">
        <f>IFERROR(XLOOKUP(A372,Raw_Alerts!$B:$B,Raw_Alerts!$D:$D),"")</f>
        <v/>
      </c>
      <c r="O372" s="2">
        <f>IFERROR(XLOOKUP(A372,Raw_Alerts!$B:$B,Raw_Alerts!$F:$F),"")</f>
        <v/>
      </c>
      <c r="P372" s="2">
        <f>IF(H372="Not Found","CRITICAL: No Risk Profile",IF(I372="Missing","WARN: Missing KYC",IF(I372="Expired","WARN: KYC Expired",IF(I372="Pending","INFO: KYC Pending","OK"))))</f>
        <v/>
      </c>
    </row>
    <row r="373">
      <c r="A373" s="4">
        <f>Raw_Transactions!A373</f>
        <v/>
      </c>
      <c r="B373" s="4">
        <f>Raw_Transactions!B373</f>
        <v/>
      </c>
      <c r="C373" s="4">
        <f>Raw_Transactions!C373</f>
        <v/>
      </c>
      <c r="D373" s="5">
        <f>Raw_Transactions!D373</f>
        <v/>
      </c>
      <c r="E373" s="4">
        <f>Raw_Transactions!E373</f>
        <v/>
      </c>
      <c r="F373" s="4">
        <f>Raw_Transactions!F373</f>
        <v/>
      </c>
      <c r="G373" s="4">
        <f>Raw_Transactions!G373</f>
        <v/>
      </c>
      <c r="H373" s="4">
        <f>XLOOKUP(B373,Raw_Risk_Profiles!$A:$A,Raw_Risk_Profiles!$B:$B,"Not Found")</f>
        <v/>
      </c>
      <c r="I373" s="4">
        <f>XLOOKUP(B373,Raw_Risk_Profiles!$A:$A,Raw_Risk_Profiles!$C:$C,"Missing")</f>
        <v/>
      </c>
      <c r="J373" s="4">
        <f>XLOOKUP(B373,Raw_Risk_Profiles!$A:$A,Raw_Risk_Profiles!$D:$D,"")</f>
        <v/>
      </c>
      <c r="K373" s="4">
        <f>IFERROR(INDEX(Raw_Risk_Profiles!$E:$E,MATCH(B373,Raw_Risk_Profiles!$A:$A,0)),"Unknown")</f>
        <v/>
      </c>
      <c r="L373" s="4">
        <f>IFERROR(XLOOKUP(A373,Raw_Alerts!$B:$B,Raw_Alerts!$A:$A),"No Alert")</f>
        <v/>
      </c>
      <c r="M373" s="4">
        <f>IFERROR(XLOOKUP(A373,Raw_Alerts!$B:$B,Raw_Alerts!$C:$C),"")</f>
        <v/>
      </c>
      <c r="N373" s="4">
        <f>IFERROR(XLOOKUP(A373,Raw_Alerts!$B:$B,Raw_Alerts!$D:$D),"")</f>
        <v/>
      </c>
      <c r="O373" s="4">
        <f>IFERROR(XLOOKUP(A373,Raw_Alerts!$B:$B,Raw_Alerts!$F:$F),"")</f>
        <v/>
      </c>
      <c r="P373" s="4">
        <f>IF(H373="Not Found","CRITICAL: No Risk Profile",IF(I373="Missing","WARN: Missing KYC",IF(I373="Expired","WARN: KYC Expired",IF(I373="Pending","INFO: KYC Pending","OK"))))</f>
        <v/>
      </c>
    </row>
    <row r="374">
      <c r="A374" s="2">
        <f>Raw_Transactions!A374</f>
        <v/>
      </c>
      <c r="B374" s="2">
        <f>Raw_Transactions!B374</f>
        <v/>
      </c>
      <c r="C374" s="2">
        <f>Raw_Transactions!C374</f>
        <v/>
      </c>
      <c r="D374" s="3">
        <f>Raw_Transactions!D374</f>
        <v/>
      </c>
      <c r="E374" s="2">
        <f>Raw_Transactions!E374</f>
        <v/>
      </c>
      <c r="F374" s="2">
        <f>Raw_Transactions!F374</f>
        <v/>
      </c>
      <c r="G374" s="2">
        <f>Raw_Transactions!G374</f>
        <v/>
      </c>
      <c r="H374" s="2">
        <f>XLOOKUP(B374,Raw_Risk_Profiles!$A:$A,Raw_Risk_Profiles!$B:$B,"Not Found")</f>
        <v/>
      </c>
      <c r="I374" s="2">
        <f>XLOOKUP(B374,Raw_Risk_Profiles!$A:$A,Raw_Risk_Profiles!$C:$C,"Missing")</f>
        <v/>
      </c>
      <c r="J374" s="2">
        <f>XLOOKUP(B374,Raw_Risk_Profiles!$A:$A,Raw_Risk_Profiles!$D:$D,"")</f>
        <v/>
      </c>
      <c r="K374" s="2">
        <f>IFERROR(INDEX(Raw_Risk_Profiles!$E:$E,MATCH(B374,Raw_Risk_Profiles!$A:$A,0)),"Unknown")</f>
        <v/>
      </c>
      <c r="L374" s="2">
        <f>IFERROR(XLOOKUP(A374,Raw_Alerts!$B:$B,Raw_Alerts!$A:$A),"No Alert")</f>
        <v/>
      </c>
      <c r="M374" s="2">
        <f>IFERROR(XLOOKUP(A374,Raw_Alerts!$B:$B,Raw_Alerts!$C:$C),"")</f>
        <v/>
      </c>
      <c r="N374" s="2">
        <f>IFERROR(XLOOKUP(A374,Raw_Alerts!$B:$B,Raw_Alerts!$D:$D),"")</f>
        <v/>
      </c>
      <c r="O374" s="2">
        <f>IFERROR(XLOOKUP(A374,Raw_Alerts!$B:$B,Raw_Alerts!$F:$F),"")</f>
        <v/>
      </c>
      <c r="P374" s="2">
        <f>IF(H374="Not Found","CRITICAL: No Risk Profile",IF(I374="Missing","WARN: Missing KYC",IF(I374="Expired","WARN: KYC Expired",IF(I374="Pending","INFO: KYC Pending","OK"))))</f>
        <v/>
      </c>
    </row>
    <row r="375">
      <c r="A375" s="4">
        <f>Raw_Transactions!A375</f>
        <v/>
      </c>
      <c r="B375" s="4">
        <f>Raw_Transactions!B375</f>
        <v/>
      </c>
      <c r="C375" s="4">
        <f>Raw_Transactions!C375</f>
        <v/>
      </c>
      <c r="D375" s="5">
        <f>Raw_Transactions!D375</f>
        <v/>
      </c>
      <c r="E375" s="4">
        <f>Raw_Transactions!E375</f>
        <v/>
      </c>
      <c r="F375" s="4">
        <f>Raw_Transactions!F375</f>
        <v/>
      </c>
      <c r="G375" s="4">
        <f>Raw_Transactions!G375</f>
        <v/>
      </c>
      <c r="H375" s="4">
        <f>XLOOKUP(B375,Raw_Risk_Profiles!$A:$A,Raw_Risk_Profiles!$B:$B,"Not Found")</f>
        <v/>
      </c>
      <c r="I375" s="4">
        <f>XLOOKUP(B375,Raw_Risk_Profiles!$A:$A,Raw_Risk_Profiles!$C:$C,"Missing")</f>
        <v/>
      </c>
      <c r="J375" s="4">
        <f>XLOOKUP(B375,Raw_Risk_Profiles!$A:$A,Raw_Risk_Profiles!$D:$D,"")</f>
        <v/>
      </c>
      <c r="K375" s="4">
        <f>IFERROR(INDEX(Raw_Risk_Profiles!$E:$E,MATCH(B375,Raw_Risk_Profiles!$A:$A,0)),"Unknown")</f>
        <v/>
      </c>
      <c r="L375" s="4">
        <f>IFERROR(XLOOKUP(A375,Raw_Alerts!$B:$B,Raw_Alerts!$A:$A),"No Alert")</f>
        <v/>
      </c>
      <c r="M375" s="4">
        <f>IFERROR(XLOOKUP(A375,Raw_Alerts!$B:$B,Raw_Alerts!$C:$C),"")</f>
        <v/>
      </c>
      <c r="N375" s="4">
        <f>IFERROR(XLOOKUP(A375,Raw_Alerts!$B:$B,Raw_Alerts!$D:$D),"")</f>
        <v/>
      </c>
      <c r="O375" s="4">
        <f>IFERROR(XLOOKUP(A375,Raw_Alerts!$B:$B,Raw_Alerts!$F:$F),"")</f>
        <v/>
      </c>
      <c r="P375" s="4">
        <f>IF(H375="Not Found","CRITICAL: No Risk Profile",IF(I375="Missing","WARN: Missing KYC",IF(I375="Expired","WARN: KYC Expired",IF(I375="Pending","INFO: KYC Pending","OK"))))</f>
        <v/>
      </c>
    </row>
    <row r="376">
      <c r="A376" s="2">
        <f>Raw_Transactions!A376</f>
        <v/>
      </c>
      <c r="B376" s="2">
        <f>Raw_Transactions!B376</f>
        <v/>
      </c>
      <c r="C376" s="2">
        <f>Raw_Transactions!C376</f>
        <v/>
      </c>
      <c r="D376" s="3">
        <f>Raw_Transactions!D376</f>
        <v/>
      </c>
      <c r="E376" s="2">
        <f>Raw_Transactions!E376</f>
        <v/>
      </c>
      <c r="F376" s="2">
        <f>Raw_Transactions!F376</f>
        <v/>
      </c>
      <c r="G376" s="2">
        <f>Raw_Transactions!G376</f>
        <v/>
      </c>
      <c r="H376" s="2">
        <f>XLOOKUP(B376,Raw_Risk_Profiles!$A:$A,Raw_Risk_Profiles!$B:$B,"Not Found")</f>
        <v/>
      </c>
      <c r="I376" s="2">
        <f>XLOOKUP(B376,Raw_Risk_Profiles!$A:$A,Raw_Risk_Profiles!$C:$C,"Missing")</f>
        <v/>
      </c>
      <c r="J376" s="2">
        <f>XLOOKUP(B376,Raw_Risk_Profiles!$A:$A,Raw_Risk_Profiles!$D:$D,"")</f>
        <v/>
      </c>
      <c r="K376" s="2">
        <f>IFERROR(INDEX(Raw_Risk_Profiles!$E:$E,MATCH(B376,Raw_Risk_Profiles!$A:$A,0)),"Unknown")</f>
        <v/>
      </c>
      <c r="L376" s="2">
        <f>IFERROR(XLOOKUP(A376,Raw_Alerts!$B:$B,Raw_Alerts!$A:$A),"No Alert")</f>
        <v/>
      </c>
      <c r="M376" s="2">
        <f>IFERROR(XLOOKUP(A376,Raw_Alerts!$B:$B,Raw_Alerts!$C:$C),"")</f>
        <v/>
      </c>
      <c r="N376" s="2">
        <f>IFERROR(XLOOKUP(A376,Raw_Alerts!$B:$B,Raw_Alerts!$D:$D),"")</f>
        <v/>
      </c>
      <c r="O376" s="2">
        <f>IFERROR(XLOOKUP(A376,Raw_Alerts!$B:$B,Raw_Alerts!$F:$F),"")</f>
        <v/>
      </c>
      <c r="P376" s="2">
        <f>IF(H376="Not Found","CRITICAL: No Risk Profile",IF(I376="Missing","WARN: Missing KYC",IF(I376="Expired","WARN: KYC Expired",IF(I376="Pending","INFO: KYC Pending","OK"))))</f>
        <v/>
      </c>
    </row>
    <row r="377">
      <c r="A377" s="4">
        <f>Raw_Transactions!A377</f>
        <v/>
      </c>
      <c r="B377" s="4">
        <f>Raw_Transactions!B377</f>
        <v/>
      </c>
      <c r="C377" s="4">
        <f>Raw_Transactions!C377</f>
        <v/>
      </c>
      <c r="D377" s="5">
        <f>Raw_Transactions!D377</f>
        <v/>
      </c>
      <c r="E377" s="4">
        <f>Raw_Transactions!E377</f>
        <v/>
      </c>
      <c r="F377" s="4">
        <f>Raw_Transactions!F377</f>
        <v/>
      </c>
      <c r="G377" s="4">
        <f>Raw_Transactions!G377</f>
        <v/>
      </c>
      <c r="H377" s="4">
        <f>XLOOKUP(B377,Raw_Risk_Profiles!$A:$A,Raw_Risk_Profiles!$B:$B,"Not Found")</f>
        <v/>
      </c>
      <c r="I377" s="4">
        <f>XLOOKUP(B377,Raw_Risk_Profiles!$A:$A,Raw_Risk_Profiles!$C:$C,"Missing")</f>
        <v/>
      </c>
      <c r="J377" s="4">
        <f>XLOOKUP(B377,Raw_Risk_Profiles!$A:$A,Raw_Risk_Profiles!$D:$D,"")</f>
        <v/>
      </c>
      <c r="K377" s="4">
        <f>IFERROR(INDEX(Raw_Risk_Profiles!$E:$E,MATCH(B377,Raw_Risk_Profiles!$A:$A,0)),"Unknown")</f>
        <v/>
      </c>
      <c r="L377" s="4">
        <f>IFERROR(XLOOKUP(A377,Raw_Alerts!$B:$B,Raw_Alerts!$A:$A),"No Alert")</f>
        <v/>
      </c>
      <c r="M377" s="4">
        <f>IFERROR(XLOOKUP(A377,Raw_Alerts!$B:$B,Raw_Alerts!$C:$C),"")</f>
        <v/>
      </c>
      <c r="N377" s="4">
        <f>IFERROR(XLOOKUP(A377,Raw_Alerts!$B:$B,Raw_Alerts!$D:$D),"")</f>
        <v/>
      </c>
      <c r="O377" s="4">
        <f>IFERROR(XLOOKUP(A377,Raw_Alerts!$B:$B,Raw_Alerts!$F:$F),"")</f>
        <v/>
      </c>
      <c r="P377" s="4">
        <f>IF(H377="Not Found","CRITICAL: No Risk Profile",IF(I377="Missing","WARN: Missing KYC",IF(I377="Expired","WARN: KYC Expired",IF(I377="Pending","INFO: KYC Pending","OK"))))</f>
        <v/>
      </c>
    </row>
    <row r="378">
      <c r="A378" s="2">
        <f>Raw_Transactions!A378</f>
        <v/>
      </c>
      <c r="B378" s="2">
        <f>Raw_Transactions!B378</f>
        <v/>
      </c>
      <c r="C378" s="2">
        <f>Raw_Transactions!C378</f>
        <v/>
      </c>
      <c r="D378" s="3">
        <f>Raw_Transactions!D378</f>
        <v/>
      </c>
      <c r="E378" s="2">
        <f>Raw_Transactions!E378</f>
        <v/>
      </c>
      <c r="F378" s="2">
        <f>Raw_Transactions!F378</f>
        <v/>
      </c>
      <c r="G378" s="2">
        <f>Raw_Transactions!G378</f>
        <v/>
      </c>
      <c r="H378" s="2">
        <f>XLOOKUP(B378,Raw_Risk_Profiles!$A:$A,Raw_Risk_Profiles!$B:$B,"Not Found")</f>
        <v/>
      </c>
      <c r="I378" s="2">
        <f>XLOOKUP(B378,Raw_Risk_Profiles!$A:$A,Raw_Risk_Profiles!$C:$C,"Missing")</f>
        <v/>
      </c>
      <c r="J378" s="2">
        <f>XLOOKUP(B378,Raw_Risk_Profiles!$A:$A,Raw_Risk_Profiles!$D:$D,"")</f>
        <v/>
      </c>
      <c r="K378" s="2">
        <f>IFERROR(INDEX(Raw_Risk_Profiles!$E:$E,MATCH(B378,Raw_Risk_Profiles!$A:$A,0)),"Unknown")</f>
        <v/>
      </c>
      <c r="L378" s="2">
        <f>IFERROR(XLOOKUP(A378,Raw_Alerts!$B:$B,Raw_Alerts!$A:$A),"No Alert")</f>
        <v/>
      </c>
      <c r="M378" s="2">
        <f>IFERROR(XLOOKUP(A378,Raw_Alerts!$B:$B,Raw_Alerts!$C:$C),"")</f>
        <v/>
      </c>
      <c r="N378" s="2">
        <f>IFERROR(XLOOKUP(A378,Raw_Alerts!$B:$B,Raw_Alerts!$D:$D),"")</f>
        <v/>
      </c>
      <c r="O378" s="2">
        <f>IFERROR(XLOOKUP(A378,Raw_Alerts!$B:$B,Raw_Alerts!$F:$F),"")</f>
        <v/>
      </c>
      <c r="P378" s="2">
        <f>IF(H378="Not Found","CRITICAL: No Risk Profile",IF(I378="Missing","WARN: Missing KYC",IF(I378="Expired","WARN: KYC Expired",IF(I378="Pending","INFO: KYC Pending","OK"))))</f>
        <v/>
      </c>
    </row>
    <row r="379">
      <c r="A379" s="4">
        <f>Raw_Transactions!A379</f>
        <v/>
      </c>
      <c r="B379" s="4">
        <f>Raw_Transactions!B379</f>
        <v/>
      </c>
      <c r="C379" s="4">
        <f>Raw_Transactions!C379</f>
        <v/>
      </c>
      <c r="D379" s="5">
        <f>Raw_Transactions!D379</f>
        <v/>
      </c>
      <c r="E379" s="4">
        <f>Raw_Transactions!E379</f>
        <v/>
      </c>
      <c r="F379" s="4">
        <f>Raw_Transactions!F379</f>
        <v/>
      </c>
      <c r="G379" s="4">
        <f>Raw_Transactions!G379</f>
        <v/>
      </c>
      <c r="H379" s="4">
        <f>XLOOKUP(B379,Raw_Risk_Profiles!$A:$A,Raw_Risk_Profiles!$B:$B,"Not Found")</f>
        <v/>
      </c>
      <c r="I379" s="4">
        <f>XLOOKUP(B379,Raw_Risk_Profiles!$A:$A,Raw_Risk_Profiles!$C:$C,"Missing")</f>
        <v/>
      </c>
      <c r="J379" s="4">
        <f>XLOOKUP(B379,Raw_Risk_Profiles!$A:$A,Raw_Risk_Profiles!$D:$D,"")</f>
        <v/>
      </c>
      <c r="K379" s="4">
        <f>IFERROR(INDEX(Raw_Risk_Profiles!$E:$E,MATCH(B379,Raw_Risk_Profiles!$A:$A,0)),"Unknown")</f>
        <v/>
      </c>
      <c r="L379" s="4">
        <f>IFERROR(XLOOKUP(A379,Raw_Alerts!$B:$B,Raw_Alerts!$A:$A),"No Alert")</f>
        <v/>
      </c>
      <c r="M379" s="4">
        <f>IFERROR(XLOOKUP(A379,Raw_Alerts!$B:$B,Raw_Alerts!$C:$C),"")</f>
        <v/>
      </c>
      <c r="N379" s="4">
        <f>IFERROR(XLOOKUP(A379,Raw_Alerts!$B:$B,Raw_Alerts!$D:$D),"")</f>
        <v/>
      </c>
      <c r="O379" s="4">
        <f>IFERROR(XLOOKUP(A379,Raw_Alerts!$B:$B,Raw_Alerts!$F:$F),"")</f>
        <v/>
      </c>
      <c r="P379" s="4">
        <f>IF(H379="Not Found","CRITICAL: No Risk Profile",IF(I379="Missing","WARN: Missing KYC",IF(I379="Expired","WARN: KYC Expired",IF(I379="Pending","INFO: KYC Pending","OK"))))</f>
        <v/>
      </c>
    </row>
    <row r="380">
      <c r="A380" s="2">
        <f>Raw_Transactions!A380</f>
        <v/>
      </c>
      <c r="B380" s="2">
        <f>Raw_Transactions!B380</f>
        <v/>
      </c>
      <c r="C380" s="2">
        <f>Raw_Transactions!C380</f>
        <v/>
      </c>
      <c r="D380" s="3">
        <f>Raw_Transactions!D380</f>
        <v/>
      </c>
      <c r="E380" s="2">
        <f>Raw_Transactions!E380</f>
        <v/>
      </c>
      <c r="F380" s="2">
        <f>Raw_Transactions!F380</f>
        <v/>
      </c>
      <c r="G380" s="2">
        <f>Raw_Transactions!G380</f>
        <v/>
      </c>
      <c r="H380" s="2">
        <f>XLOOKUP(B380,Raw_Risk_Profiles!$A:$A,Raw_Risk_Profiles!$B:$B,"Not Found")</f>
        <v/>
      </c>
      <c r="I380" s="2">
        <f>XLOOKUP(B380,Raw_Risk_Profiles!$A:$A,Raw_Risk_Profiles!$C:$C,"Missing")</f>
        <v/>
      </c>
      <c r="J380" s="2">
        <f>XLOOKUP(B380,Raw_Risk_Profiles!$A:$A,Raw_Risk_Profiles!$D:$D,"")</f>
        <v/>
      </c>
      <c r="K380" s="2">
        <f>IFERROR(INDEX(Raw_Risk_Profiles!$E:$E,MATCH(B380,Raw_Risk_Profiles!$A:$A,0)),"Unknown")</f>
        <v/>
      </c>
      <c r="L380" s="2">
        <f>IFERROR(XLOOKUP(A380,Raw_Alerts!$B:$B,Raw_Alerts!$A:$A),"No Alert")</f>
        <v/>
      </c>
      <c r="M380" s="2">
        <f>IFERROR(XLOOKUP(A380,Raw_Alerts!$B:$B,Raw_Alerts!$C:$C),"")</f>
        <v/>
      </c>
      <c r="N380" s="2">
        <f>IFERROR(XLOOKUP(A380,Raw_Alerts!$B:$B,Raw_Alerts!$D:$D),"")</f>
        <v/>
      </c>
      <c r="O380" s="2">
        <f>IFERROR(XLOOKUP(A380,Raw_Alerts!$B:$B,Raw_Alerts!$F:$F),"")</f>
        <v/>
      </c>
      <c r="P380" s="2">
        <f>IF(H380="Not Found","CRITICAL: No Risk Profile",IF(I380="Missing","WARN: Missing KYC",IF(I380="Expired","WARN: KYC Expired",IF(I380="Pending","INFO: KYC Pending","OK"))))</f>
        <v/>
      </c>
    </row>
    <row r="381">
      <c r="A381" s="4">
        <f>Raw_Transactions!A381</f>
        <v/>
      </c>
      <c r="B381" s="4">
        <f>Raw_Transactions!B381</f>
        <v/>
      </c>
      <c r="C381" s="4">
        <f>Raw_Transactions!C381</f>
        <v/>
      </c>
      <c r="D381" s="5">
        <f>Raw_Transactions!D381</f>
        <v/>
      </c>
      <c r="E381" s="4">
        <f>Raw_Transactions!E381</f>
        <v/>
      </c>
      <c r="F381" s="4">
        <f>Raw_Transactions!F381</f>
        <v/>
      </c>
      <c r="G381" s="4">
        <f>Raw_Transactions!G381</f>
        <v/>
      </c>
      <c r="H381" s="4">
        <f>XLOOKUP(B381,Raw_Risk_Profiles!$A:$A,Raw_Risk_Profiles!$B:$B,"Not Found")</f>
        <v/>
      </c>
      <c r="I381" s="4">
        <f>XLOOKUP(B381,Raw_Risk_Profiles!$A:$A,Raw_Risk_Profiles!$C:$C,"Missing")</f>
        <v/>
      </c>
      <c r="J381" s="4">
        <f>XLOOKUP(B381,Raw_Risk_Profiles!$A:$A,Raw_Risk_Profiles!$D:$D,"")</f>
        <v/>
      </c>
      <c r="K381" s="4">
        <f>IFERROR(INDEX(Raw_Risk_Profiles!$E:$E,MATCH(B381,Raw_Risk_Profiles!$A:$A,0)),"Unknown")</f>
        <v/>
      </c>
      <c r="L381" s="4">
        <f>IFERROR(XLOOKUP(A381,Raw_Alerts!$B:$B,Raw_Alerts!$A:$A),"No Alert")</f>
        <v/>
      </c>
      <c r="M381" s="4">
        <f>IFERROR(XLOOKUP(A381,Raw_Alerts!$B:$B,Raw_Alerts!$C:$C),"")</f>
        <v/>
      </c>
      <c r="N381" s="4">
        <f>IFERROR(XLOOKUP(A381,Raw_Alerts!$B:$B,Raw_Alerts!$D:$D),"")</f>
        <v/>
      </c>
      <c r="O381" s="4">
        <f>IFERROR(XLOOKUP(A381,Raw_Alerts!$B:$B,Raw_Alerts!$F:$F),"")</f>
        <v/>
      </c>
      <c r="P381" s="4">
        <f>IF(H381="Not Found","CRITICAL: No Risk Profile",IF(I381="Missing","WARN: Missing KYC",IF(I381="Expired","WARN: KYC Expired",IF(I381="Pending","INFO: KYC Pending","OK"))))</f>
        <v/>
      </c>
    </row>
    <row r="382">
      <c r="A382" s="2">
        <f>Raw_Transactions!A382</f>
        <v/>
      </c>
      <c r="B382" s="2">
        <f>Raw_Transactions!B382</f>
        <v/>
      </c>
      <c r="C382" s="2">
        <f>Raw_Transactions!C382</f>
        <v/>
      </c>
      <c r="D382" s="3">
        <f>Raw_Transactions!D382</f>
        <v/>
      </c>
      <c r="E382" s="2">
        <f>Raw_Transactions!E382</f>
        <v/>
      </c>
      <c r="F382" s="2">
        <f>Raw_Transactions!F382</f>
        <v/>
      </c>
      <c r="G382" s="2">
        <f>Raw_Transactions!G382</f>
        <v/>
      </c>
      <c r="H382" s="2">
        <f>XLOOKUP(B382,Raw_Risk_Profiles!$A:$A,Raw_Risk_Profiles!$B:$B,"Not Found")</f>
        <v/>
      </c>
      <c r="I382" s="2">
        <f>XLOOKUP(B382,Raw_Risk_Profiles!$A:$A,Raw_Risk_Profiles!$C:$C,"Missing")</f>
        <v/>
      </c>
      <c r="J382" s="2">
        <f>XLOOKUP(B382,Raw_Risk_Profiles!$A:$A,Raw_Risk_Profiles!$D:$D,"")</f>
        <v/>
      </c>
      <c r="K382" s="2">
        <f>IFERROR(INDEX(Raw_Risk_Profiles!$E:$E,MATCH(B382,Raw_Risk_Profiles!$A:$A,0)),"Unknown")</f>
        <v/>
      </c>
      <c r="L382" s="2">
        <f>IFERROR(XLOOKUP(A382,Raw_Alerts!$B:$B,Raw_Alerts!$A:$A),"No Alert")</f>
        <v/>
      </c>
      <c r="M382" s="2">
        <f>IFERROR(XLOOKUP(A382,Raw_Alerts!$B:$B,Raw_Alerts!$C:$C),"")</f>
        <v/>
      </c>
      <c r="N382" s="2">
        <f>IFERROR(XLOOKUP(A382,Raw_Alerts!$B:$B,Raw_Alerts!$D:$D),"")</f>
        <v/>
      </c>
      <c r="O382" s="2">
        <f>IFERROR(XLOOKUP(A382,Raw_Alerts!$B:$B,Raw_Alerts!$F:$F),"")</f>
        <v/>
      </c>
      <c r="P382" s="2">
        <f>IF(H382="Not Found","CRITICAL: No Risk Profile",IF(I382="Missing","WARN: Missing KYC",IF(I382="Expired","WARN: KYC Expired",IF(I382="Pending","INFO: KYC Pending","OK"))))</f>
        <v/>
      </c>
    </row>
    <row r="383">
      <c r="A383" s="4">
        <f>Raw_Transactions!A383</f>
        <v/>
      </c>
      <c r="B383" s="4">
        <f>Raw_Transactions!B383</f>
        <v/>
      </c>
      <c r="C383" s="4">
        <f>Raw_Transactions!C383</f>
        <v/>
      </c>
      <c r="D383" s="5">
        <f>Raw_Transactions!D383</f>
        <v/>
      </c>
      <c r="E383" s="4">
        <f>Raw_Transactions!E383</f>
        <v/>
      </c>
      <c r="F383" s="4">
        <f>Raw_Transactions!F383</f>
        <v/>
      </c>
      <c r="G383" s="4">
        <f>Raw_Transactions!G383</f>
        <v/>
      </c>
      <c r="H383" s="4">
        <f>XLOOKUP(B383,Raw_Risk_Profiles!$A:$A,Raw_Risk_Profiles!$B:$B,"Not Found")</f>
        <v/>
      </c>
      <c r="I383" s="4">
        <f>XLOOKUP(B383,Raw_Risk_Profiles!$A:$A,Raw_Risk_Profiles!$C:$C,"Missing")</f>
        <v/>
      </c>
      <c r="J383" s="4">
        <f>XLOOKUP(B383,Raw_Risk_Profiles!$A:$A,Raw_Risk_Profiles!$D:$D,"")</f>
        <v/>
      </c>
      <c r="K383" s="4">
        <f>IFERROR(INDEX(Raw_Risk_Profiles!$E:$E,MATCH(B383,Raw_Risk_Profiles!$A:$A,0)),"Unknown")</f>
        <v/>
      </c>
      <c r="L383" s="4">
        <f>IFERROR(XLOOKUP(A383,Raw_Alerts!$B:$B,Raw_Alerts!$A:$A),"No Alert")</f>
        <v/>
      </c>
      <c r="M383" s="4">
        <f>IFERROR(XLOOKUP(A383,Raw_Alerts!$B:$B,Raw_Alerts!$C:$C),"")</f>
        <v/>
      </c>
      <c r="N383" s="4">
        <f>IFERROR(XLOOKUP(A383,Raw_Alerts!$B:$B,Raw_Alerts!$D:$D),"")</f>
        <v/>
      </c>
      <c r="O383" s="4">
        <f>IFERROR(XLOOKUP(A383,Raw_Alerts!$B:$B,Raw_Alerts!$F:$F),"")</f>
        <v/>
      </c>
      <c r="P383" s="4">
        <f>IF(H383="Not Found","CRITICAL: No Risk Profile",IF(I383="Missing","WARN: Missing KYC",IF(I383="Expired","WARN: KYC Expired",IF(I383="Pending","INFO: KYC Pending","OK"))))</f>
        <v/>
      </c>
    </row>
    <row r="384">
      <c r="A384" s="2">
        <f>Raw_Transactions!A384</f>
        <v/>
      </c>
      <c r="B384" s="2">
        <f>Raw_Transactions!B384</f>
        <v/>
      </c>
      <c r="C384" s="2">
        <f>Raw_Transactions!C384</f>
        <v/>
      </c>
      <c r="D384" s="3">
        <f>Raw_Transactions!D384</f>
        <v/>
      </c>
      <c r="E384" s="2">
        <f>Raw_Transactions!E384</f>
        <v/>
      </c>
      <c r="F384" s="2">
        <f>Raw_Transactions!F384</f>
        <v/>
      </c>
      <c r="G384" s="2">
        <f>Raw_Transactions!G384</f>
        <v/>
      </c>
      <c r="H384" s="2">
        <f>XLOOKUP(B384,Raw_Risk_Profiles!$A:$A,Raw_Risk_Profiles!$B:$B,"Not Found")</f>
        <v/>
      </c>
      <c r="I384" s="2">
        <f>XLOOKUP(B384,Raw_Risk_Profiles!$A:$A,Raw_Risk_Profiles!$C:$C,"Missing")</f>
        <v/>
      </c>
      <c r="J384" s="2">
        <f>XLOOKUP(B384,Raw_Risk_Profiles!$A:$A,Raw_Risk_Profiles!$D:$D,"")</f>
        <v/>
      </c>
      <c r="K384" s="2">
        <f>IFERROR(INDEX(Raw_Risk_Profiles!$E:$E,MATCH(B384,Raw_Risk_Profiles!$A:$A,0)),"Unknown")</f>
        <v/>
      </c>
      <c r="L384" s="2">
        <f>IFERROR(XLOOKUP(A384,Raw_Alerts!$B:$B,Raw_Alerts!$A:$A),"No Alert")</f>
        <v/>
      </c>
      <c r="M384" s="2">
        <f>IFERROR(XLOOKUP(A384,Raw_Alerts!$B:$B,Raw_Alerts!$C:$C),"")</f>
        <v/>
      </c>
      <c r="N384" s="2">
        <f>IFERROR(XLOOKUP(A384,Raw_Alerts!$B:$B,Raw_Alerts!$D:$D),"")</f>
        <v/>
      </c>
      <c r="O384" s="2">
        <f>IFERROR(XLOOKUP(A384,Raw_Alerts!$B:$B,Raw_Alerts!$F:$F),"")</f>
        <v/>
      </c>
      <c r="P384" s="2">
        <f>IF(H384="Not Found","CRITICAL: No Risk Profile",IF(I384="Missing","WARN: Missing KYC",IF(I384="Expired","WARN: KYC Expired",IF(I384="Pending","INFO: KYC Pending","OK"))))</f>
        <v/>
      </c>
    </row>
    <row r="385">
      <c r="A385" s="4">
        <f>Raw_Transactions!A385</f>
        <v/>
      </c>
      <c r="B385" s="4">
        <f>Raw_Transactions!B385</f>
        <v/>
      </c>
      <c r="C385" s="4">
        <f>Raw_Transactions!C385</f>
        <v/>
      </c>
      <c r="D385" s="5">
        <f>Raw_Transactions!D385</f>
        <v/>
      </c>
      <c r="E385" s="4">
        <f>Raw_Transactions!E385</f>
        <v/>
      </c>
      <c r="F385" s="4">
        <f>Raw_Transactions!F385</f>
        <v/>
      </c>
      <c r="G385" s="4">
        <f>Raw_Transactions!G385</f>
        <v/>
      </c>
      <c r="H385" s="4">
        <f>XLOOKUP(B385,Raw_Risk_Profiles!$A:$A,Raw_Risk_Profiles!$B:$B,"Not Found")</f>
        <v/>
      </c>
      <c r="I385" s="4">
        <f>XLOOKUP(B385,Raw_Risk_Profiles!$A:$A,Raw_Risk_Profiles!$C:$C,"Missing")</f>
        <v/>
      </c>
      <c r="J385" s="4">
        <f>XLOOKUP(B385,Raw_Risk_Profiles!$A:$A,Raw_Risk_Profiles!$D:$D,"")</f>
        <v/>
      </c>
      <c r="K385" s="4">
        <f>IFERROR(INDEX(Raw_Risk_Profiles!$E:$E,MATCH(B385,Raw_Risk_Profiles!$A:$A,0)),"Unknown")</f>
        <v/>
      </c>
      <c r="L385" s="4">
        <f>IFERROR(XLOOKUP(A385,Raw_Alerts!$B:$B,Raw_Alerts!$A:$A),"No Alert")</f>
        <v/>
      </c>
      <c r="M385" s="4">
        <f>IFERROR(XLOOKUP(A385,Raw_Alerts!$B:$B,Raw_Alerts!$C:$C),"")</f>
        <v/>
      </c>
      <c r="N385" s="4">
        <f>IFERROR(XLOOKUP(A385,Raw_Alerts!$B:$B,Raw_Alerts!$D:$D),"")</f>
        <v/>
      </c>
      <c r="O385" s="4">
        <f>IFERROR(XLOOKUP(A385,Raw_Alerts!$B:$B,Raw_Alerts!$F:$F),"")</f>
        <v/>
      </c>
      <c r="P385" s="4">
        <f>IF(H385="Not Found","CRITICAL: No Risk Profile",IF(I385="Missing","WARN: Missing KYC",IF(I385="Expired","WARN: KYC Expired",IF(I385="Pending","INFO: KYC Pending","OK"))))</f>
        <v/>
      </c>
    </row>
    <row r="386">
      <c r="A386" s="2">
        <f>Raw_Transactions!A386</f>
        <v/>
      </c>
      <c r="B386" s="2">
        <f>Raw_Transactions!B386</f>
        <v/>
      </c>
      <c r="C386" s="2">
        <f>Raw_Transactions!C386</f>
        <v/>
      </c>
      <c r="D386" s="3">
        <f>Raw_Transactions!D386</f>
        <v/>
      </c>
      <c r="E386" s="2">
        <f>Raw_Transactions!E386</f>
        <v/>
      </c>
      <c r="F386" s="2">
        <f>Raw_Transactions!F386</f>
        <v/>
      </c>
      <c r="G386" s="2">
        <f>Raw_Transactions!G386</f>
        <v/>
      </c>
      <c r="H386" s="2">
        <f>XLOOKUP(B386,Raw_Risk_Profiles!$A:$A,Raw_Risk_Profiles!$B:$B,"Not Found")</f>
        <v/>
      </c>
      <c r="I386" s="2">
        <f>XLOOKUP(B386,Raw_Risk_Profiles!$A:$A,Raw_Risk_Profiles!$C:$C,"Missing")</f>
        <v/>
      </c>
      <c r="J386" s="2">
        <f>XLOOKUP(B386,Raw_Risk_Profiles!$A:$A,Raw_Risk_Profiles!$D:$D,"")</f>
        <v/>
      </c>
      <c r="K386" s="2">
        <f>IFERROR(INDEX(Raw_Risk_Profiles!$E:$E,MATCH(B386,Raw_Risk_Profiles!$A:$A,0)),"Unknown")</f>
        <v/>
      </c>
      <c r="L386" s="2">
        <f>IFERROR(XLOOKUP(A386,Raw_Alerts!$B:$B,Raw_Alerts!$A:$A),"No Alert")</f>
        <v/>
      </c>
      <c r="M386" s="2">
        <f>IFERROR(XLOOKUP(A386,Raw_Alerts!$B:$B,Raw_Alerts!$C:$C),"")</f>
        <v/>
      </c>
      <c r="N386" s="2">
        <f>IFERROR(XLOOKUP(A386,Raw_Alerts!$B:$B,Raw_Alerts!$D:$D),"")</f>
        <v/>
      </c>
      <c r="O386" s="2">
        <f>IFERROR(XLOOKUP(A386,Raw_Alerts!$B:$B,Raw_Alerts!$F:$F),"")</f>
        <v/>
      </c>
      <c r="P386" s="2">
        <f>IF(H386="Not Found","CRITICAL: No Risk Profile",IF(I386="Missing","WARN: Missing KYC",IF(I386="Expired","WARN: KYC Expired",IF(I386="Pending","INFO: KYC Pending","OK"))))</f>
        <v/>
      </c>
    </row>
    <row r="387">
      <c r="A387" s="4">
        <f>Raw_Transactions!A387</f>
        <v/>
      </c>
      <c r="B387" s="4">
        <f>Raw_Transactions!B387</f>
        <v/>
      </c>
      <c r="C387" s="4">
        <f>Raw_Transactions!C387</f>
        <v/>
      </c>
      <c r="D387" s="5">
        <f>Raw_Transactions!D387</f>
        <v/>
      </c>
      <c r="E387" s="4">
        <f>Raw_Transactions!E387</f>
        <v/>
      </c>
      <c r="F387" s="4">
        <f>Raw_Transactions!F387</f>
        <v/>
      </c>
      <c r="G387" s="4">
        <f>Raw_Transactions!G387</f>
        <v/>
      </c>
      <c r="H387" s="4">
        <f>XLOOKUP(B387,Raw_Risk_Profiles!$A:$A,Raw_Risk_Profiles!$B:$B,"Not Found")</f>
        <v/>
      </c>
      <c r="I387" s="4">
        <f>XLOOKUP(B387,Raw_Risk_Profiles!$A:$A,Raw_Risk_Profiles!$C:$C,"Missing")</f>
        <v/>
      </c>
      <c r="J387" s="4">
        <f>XLOOKUP(B387,Raw_Risk_Profiles!$A:$A,Raw_Risk_Profiles!$D:$D,"")</f>
        <v/>
      </c>
      <c r="K387" s="4">
        <f>IFERROR(INDEX(Raw_Risk_Profiles!$E:$E,MATCH(B387,Raw_Risk_Profiles!$A:$A,0)),"Unknown")</f>
        <v/>
      </c>
      <c r="L387" s="4">
        <f>IFERROR(XLOOKUP(A387,Raw_Alerts!$B:$B,Raw_Alerts!$A:$A),"No Alert")</f>
        <v/>
      </c>
      <c r="M387" s="4">
        <f>IFERROR(XLOOKUP(A387,Raw_Alerts!$B:$B,Raw_Alerts!$C:$C),"")</f>
        <v/>
      </c>
      <c r="N387" s="4">
        <f>IFERROR(XLOOKUP(A387,Raw_Alerts!$B:$B,Raw_Alerts!$D:$D),"")</f>
        <v/>
      </c>
      <c r="O387" s="4">
        <f>IFERROR(XLOOKUP(A387,Raw_Alerts!$B:$B,Raw_Alerts!$F:$F),"")</f>
        <v/>
      </c>
      <c r="P387" s="4">
        <f>IF(H387="Not Found","CRITICAL: No Risk Profile",IF(I387="Missing","WARN: Missing KYC",IF(I387="Expired","WARN: KYC Expired",IF(I387="Pending","INFO: KYC Pending","OK"))))</f>
        <v/>
      </c>
    </row>
    <row r="388">
      <c r="A388" s="2">
        <f>Raw_Transactions!A388</f>
        <v/>
      </c>
      <c r="B388" s="2">
        <f>Raw_Transactions!B388</f>
        <v/>
      </c>
      <c r="C388" s="2">
        <f>Raw_Transactions!C388</f>
        <v/>
      </c>
      <c r="D388" s="3">
        <f>Raw_Transactions!D388</f>
        <v/>
      </c>
      <c r="E388" s="2">
        <f>Raw_Transactions!E388</f>
        <v/>
      </c>
      <c r="F388" s="2">
        <f>Raw_Transactions!F388</f>
        <v/>
      </c>
      <c r="G388" s="2">
        <f>Raw_Transactions!G388</f>
        <v/>
      </c>
      <c r="H388" s="2">
        <f>XLOOKUP(B388,Raw_Risk_Profiles!$A:$A,Raw_Risk_Profiles!$B:$B,"Not Found")</f>
        <v/>
      </c>
      <c r="I388" s="2">
        <f>XLOOKUP(B388,Raw_Risk_Profiles!$A:$A,Raw_Risk_Profiles!$C:$C,"Missing")</f>
        <v/>
      </c>
      <c r="J388" s="2">
        <f>XLOOKUP(B388,Raw_Risk_Profiles!$A:$A,Raw_Risk_Profiles!$D:$D,"")</f>
        <v/>
      </c>
      <c r="K388" s="2">
        <f>IFERROR(INDEX(Raw_Risk_Profiles!$E:$E,MATCH(B388,Raw_Risk_Profiles!$A:$A,0)),"Unknown")</f>
        <v/>
      </c>
      <c r="L388" s="2">
        <f>IFERROR(XLOOKUP(A388,Raw_Alerts!$B:$B,Raw_Alerts!$A:$A),"No Alert")</f>
        <v/>
      </c>
      <c r="M388" s="2">
        <f>IFERROR(XLOOKUP(A388,Raw_Alerts!$B:$B,Raw_Alerts!$C:$C),"")</f>
        <v/>
      </c>
      <c r="N388" s="2">
        <f>IFERROR(XLOOKUP(A388,Raw_Alerts!$B:$B,Raw_Alerts!$D:$D),"")</f>
        <v/>
      </c>
      <c r="O388" s="2">
        <f>IFERROR(XLOOKUP(A388,Raw_Alerts!$B:$B,Raw_Alerts!$F:$F),"")</f>
        <v/>
      </c>
      <c r="P388" s="2">
        <f>IF(H388="Not Found","CRITICAL: No Risk Profile",IF(I388="Missing","WARN: Missing KYC",IF(I388="Expired","WARN: KYC Expired",IF(I388="Pending","INFO: KYC Pending","OK"))))</f>
        <v/>
      </c>
    </row>
    <row r="389">
      <c r="A389" s="4">
        <f>Raw_Transactions!A389</f>
        <v/>
      </c>
      <c r="B389" s="4">
        <f>Raw_Transactions!B389</f>
        <v/>
      </c>
      <c r="C389" s="4">
        <f>Raw_Transactions!C389</f>
        <v/>
      </c>
      <c r="D389" s="5">
        <f>Raw_Transactions!D389</f>
        <v/>
      </c>
      <c r="E389" s="4">
        <f>Raw_Transactions!E389</f>
        <v/>
      </c>
      <c r="F389" s="4">
        <f>Raw_Transactions!F389</f>
        <v/>
      </c>
      <c r="G389" s="4">
        <f>Raw_Transactions!G389</f>
        <v/>
      </c>
      <c r="H389" s="4">
        <f>XLOOKUP(B389,Raw_Risk_Profiles!$A:$A,Raw_Risk_Profiles!$B:$B,"Not Found")</f>
        <v/>
      </c>
      <c r="I389" s="4">
        <f>XLOOKUP(B389,Raw_Risk_Profiles!$A:$A,Raw_Risk_Profiles!$C:$C,"Missing")</f>
        <v/>
      </c>
      <c r="J389" s="4">
        <f>XLOOKUP(B389,Raw_Risk_Profiles!$A:$A,Raw_Risk_Profiles!$D:$D,"")</f>
        <v/>
      </c>
      <c r="K389" s="4">
        <f>IFERROR(INDEX(Raw_Risk_Profiles!$E:$E,MATCH(B389,Raw_Risk_Profiles!$A:$A,0)),"Unknown")</f>
        <v/>
      </c>
      <c r="L389" s="4">
        <f>IFERROR(XLOOKUP(A389,Raw_Alerts!$B:$B,Raw_Alerts!$A:$A),"No Alert")</f>
        <v/>
      </c>
      <c r="M389" s="4">
        <f>IFERROR(XLOOKUP(A389,Raw_Alerts!$B:$B,Raw_Alerts!$C:$C),"")</f>
        <v/>
      </c>
      <c r="N389" s="4">
        <f>IFERROR(XLOOKUP(A389,Raw_Alerts!$B:$B,Raw_Alerts!$D:$D),"")</f>
        <v/>
      </c>
      <c r="O389" s="4">
        <f>IFERROR(XLOOKUP(A389,Raw_Alerts!$B:$B,Raw_Alerts!$F:$F),"")</f>
        <v/>
      </c>
      <c r="P389" s="4">
        <f>IF(H389="Not Found","CRITICAL: No Risk Profile",IF(I389="Missing","WARN: Missing KYC",IF(I389="Expired","WARN: KYC Expired",IF(I389="Pending","INFO: KYC Pending","OK"))))</f>
        <v/>
      </c>
    </row>
    <row r="390">
      <c r="A390" s="2">
        <f>Raw_Transactions!A390</f>
        <v/>
      </c>
      <c r="B390" s="2">
        <f>Raw_Transactions!B390</f>
        <v/>
      </c>
      <c r="C390" s="2">
        <f>Raw_Transactions!C390</f>
        <v/>
      </c>
      <c r="D390" s="3">
        <f>Raw_Transactions!D390</f>
        <v/>
      </c>
      <c r="E390" s="2">
        <f>Raw_Transactions!E390</f>
        <v/>
      </c>
      <c r="F390" s="2">
        <f>Raw_Transactions!F390</f>
        <v/>
      </c>
      <c r="G390" s="2">
        <f>Raw_Transactions!G390</f>
        <v/>
      </c>
      <c r="H390" s="2">
        <f>XLOOKUP(B390,Raw_Risk_Profiles!$A:$A,Raw_Risk_Profiles!$B:$B,"Not Found")</f>
        <v/>
      </c>
      <c r="I390" s="2">
        <f>XLOOKUP(B390,Raw_Risk_Profiles!$A:$A,Raw_Risk_Profiles!$C:$C,"Missing")</f>
        <v/>
      </c>
      <c r="J390" s="2">
        <f>XLOOKUP(B390,Raw_Risk_Profiles!$A:$A,Raw_Risk_Profiles!$D:$D,"")</f>
        <v/>
      </c>
      <c r="K390" s="2">
        <f>IFERROR(INDEX(Raw_Risk_Profiles!$E:$E,MATCH(B390,Raw_Risk_Profiles!$A:$A,0)),"Unknown")</f>
        <v/>
      </c>
      <c r="L390" s="2">
        <f>IFERROR(XLOOKUP(A390,Raw_Alerts!$B:$B,Raw_Alerts!$A:$A),"No Alert")</f>
        <v/>
      </c>
      <c r="M390" s="2">
        <f>IFERROR(XLOOKUP(A390,Raw_Alerts!$B:$B,Raw_Alerts!$C:$C),"")</f>
        <v/>
      </c>
      <c r="N390" s="2">
        <f>IFERROR(XLOOKUP(A390,Raw_Alerts!$B:$B,Raw_Alerts!$D:$D),"")</f>
        <v/>
      </c>
      <c r="O390" s="2">
        <f>IFERROR(XLOOKUP(A390,Raw_Alerts!$B:$B,Raw_Alerts!$F:$F),"")</f>
        <v/>
      </c>
      <c r="P390" s="2">
        <f>IF(H390="Not Found","CRITICAL: No Risk Profile",IF(I390="Missing","WARN: Missing KYC",IF(I390="Expired","WARN: KYC Expired",IF(I390="Pending","INFO: KYC Pending","OK"))))</f>
        <v/>
      </c>
    </row>
    <row r="391">
      <c r="A391" s="4">
        <f>Raw_Transactions!A391</f>
        <v/>
      </c>
      <c r="B391" s="4">
        <f>Raw_Transactions!B391</f>
        <v/>
      </c>
      <c r="C391" s="4">
        <f>Raw_Transactions!C391</f>
        <v/>
      </c>
      <c r="D391" s="5">
        <f>Raw_Transactions!D391</f>
        <v/>
      </c>
      <c r="E391" s="4">
        <f>Raw_Transactions!E391</f>
        <v/>
      </c>
      <c r="F391" s="4">
        <f>Raw_Transactions!F391</f>
        <v/>
      </c>
      <c r="G391" s="4">
        <f>Raw_Transactions!G391</f>
        <v/>
      </c>
      <c r="H391" s="4">
        <f>XLOOKUP(B391,Raw_Risk_Profiles!$A:$A,Raw_Risk_Profiles!$B:$B,"Not Found")</f>
        <v/>
      </c>
      <c r="I391" s="4">
        <f>XLOOKUP(B391,Raw_Risk_Profiles!$A:$A,Raw_Risk_Profiles!$C:$C,"Missing")</f>
        <v/>
      </c>
      <c r="J391" s="4">
        <f>XLOOKUP(B391,Raw_Risk_Profiles!$A:$A,Raw_Risk_Profiles!$D:$D,"")</f>
        <v/>
      </c>
      <c r="K391" s="4">
        <f>IFERROR(INDEX(Raw_Risk_Profiles!$E:$E,MATCH(B391,Raw_Risk_Profiles!$A:$A,0)),"Unknown")</f>
        <v/>
      </c>
      <c r="L391" s="4">
        <f>IFERROR(XLOOKUP(A391,Raw_Alerts!$B:$B,Raw_Alerts!$A:$A),"No Alert")</f>
        <v/>
      </c>
      <c r="M391" s="4">
        <f>IFERROR(XLOOKUP(A391,Raw_Alerts!$B:$B,Raw_Alerts!$C:$C),"")</f>
        <v/>
      </c>
      <c r="N391" s="4">
        <f>IFERROR(XLOOKUP(A391,Raw_Alerts!$B:$B,Raw_Alerts!$D:$D),"")</f>
        <v/>
      </c>
      <c r="O391" s="4">
        <f>IFERROR(XLOOKUP(A391,Raw_Alerts!$B:$B,Raw_Alerts!$F:$F),"")</f>
        <v/>
      </c>
      <c r="P391" s="4">
        <f>IF(H391="Not Found","CRITICAL: No Risk Profile",IF(I391="Missing","WARN: Missing KYC",IF(I391="Expired","WARN: KYC Expired",IF(I391="Pending","INFO: KYC Pending","OK"))))</f>
        <v/>
      </c>
    </row>
    <row r="392">
      <c r="A392" s="2">
        <f>Raw_Transactions!A392</f>
        <v/>
      </c>
      <c r="B392" s="2">
        <f>Raw_Transactions!B392</f>
        <v/>
      </c>
      <c r="C392" s="2">
        <f>Raw_Transactions!C392</f>
        <v/>
      </c>
      <c r="D392" s="3">
        <f>Raw_Transactions!D392</f>
        <v/>
      </c>
      <c r="E392" s="2">
        <f>Raw_Transactions!E392</f>
        <v/>
      </c>
      <c r="F392" s="2">
        <f>Raw_Transactions!F392</f>
        <v/>
      </c>
      <c r="G392" s="2">
        <f>Raw_Transactions!G392</f>
        <v/>
      </c>
      <c r="H392" s="2">
        <f>XLOOKUP(B392,Raw_Risk_Profiles!$A:$A,Raw_Risk_Profiles!$B:$B,"Not Found")</f>
        <v/>
      </c>
      <c r="I392" s="2">
        <f>XLOOKUP(B392,Raw_Risk_Profiles!$A:$A,Raw_Risk_Profiles!$C:$C,"Missing")</f>
        <v/>
      </c>
      <c r="J392" s="2">
        <f>XLOOKUP(B392,Raw_Risk_Profiles!$A:$A,Raw_Risk_Profiles!$D:$D,"")</f>
        <v/>
      </c>
      <c r="K392" s="2">
        <f>IFERROR(INDEX(Raw_Risk_Profiles!$E:$E,MATCH(B392,Raw_Risk_Profiles!$A:$A,0)),"Unknown")</f>
        <v/>
      </c>
      <c r="L392" s="2">
        <f>IFERROR(XLOOKUP(A392,Raw_Alerts!$B:$B,Raw_Alerts!$A:$A),"No Alert")</f>
        <v/>
      </c>
      <c r="M392" s="2">
        <f>IFERROR(XLOOKUP(A392,Raw_Alerts!$B:$B,Raw_Alerts!$C:$C),"")</f>
        <v/>
      </c>
      <c r="N392" s="2">
        <f>IFERROR(XLOOKUP(A392,Raw_Alerts!$B:$B,Raw_Alerts!$D:$D),"")</f>
        <v/>
      </c>
      <c r="O392" s="2">
        <f>IFERROR(XLOOKUP(A392,Raw_Alerts!$B:$B,Raw_Alerts!$F:$F),"")</f>
        <v/>
      </c>
      <c r="P392" s="2">
        <f>IF(H392="Not Found","CRITICAL: No Risk Profile",IF(I392="Missing","WARN: Missing KYC",IF(I392="Expired","WARN: KYC Expired",IF(I392="Pending","INFO: KYC Pending","OK"))))</f>
        <v/>
      </c>
    </row>
    <row r="393">
      <c r="A393" s="4">
        <f>Raw_Transactions!A393</f>
        <v/>
      </c>
      <c r="B393" s="4">
        <f>Raw_Transactions!B393</f>
        <v/>
      </c>
      <c r="C393" s="4">
        <f>Raw_Transactions!C393</f>
        <v/>
      </c>
      <c r="D393" s="5">
        <f>Raw_Transactions!D393</f>
        <v/>
      </c>
      <c r="E393" s="4">
        <f>Raw_Transactions!E393</f>
        <v/>
      </c>
      <c r="F393" s="4">
        <f>Raw_Transactions!F393</f>
        <v/>
      </c>
      <c r="G393" s="4">
        <f>Raw_Transactions!G393</f>
        <v/>
      </c>
      <c r="H393" s="4">
        <f>XLOOKUP(B393,Raw_Risk_Profiles!$A:$A,Raw_Risk_Profiles!$B:$B,"Not Found")</f>
        <v/>
      </c>
      <c r="I393" s="4">
        <f>XLOOKUP(B393,Raw_Risk_Profiles!$A:$A,Raw_Risk_Profiles!$C:$C,"Missing")</f>
        <v/>
      </c>
      <c r="J393" s="4">
        <f>XLOOKUP(B393,Raw_Risk_Profiles!$A:$A,Raw_Risk_Profiles!$D:$D,"")</f>
        <v/>
      </c>
      <c r="K393" s="4">
        <f>IFERROR(INDEX(Raw_Risk_Profiles!$E:$E,MATCH(B393,Raw_Risk_Profiles!$A:$A,0)),"Unknown")</f>
        <v/>
      </c>
      <c r="L393" s="4">
        <f>IFERROR(XLOOKUP(A393,Raw_Alerts!$B:$B,Raw_Alerts!$A:$A),"No Alert")</f>
        <v/>
      </c>
      <c r="M393" s="4">
        <f>IFERROR(XLOOKUP(A393,Raw_Alerts!$B:$B,Raw_Alerts!$C:$C),"")</f>
        <v/>
      </c>
      <c r="N393" s="4">
        <f>IFERROR(XLOOKUP(A393,Raw_Alerts!$B:$B,Raw_Alerts!$D:$D),"")</f>
        <v/>
      </c>
      <c r="O393" s="4">
        <f>IFERROR(XLOOKUP(A393,Raw_Alerts!$B:$B,Raw_Alerts!$F:$F),"")</f>
        <v/>
      </c>
      <c r="P393" s="4">
        <f>IF(H393="Not Found","CRITICAL: No Risk Profile",IF(I393="Missing","WARN: Missing KYC",IF(I393="Expired","WARN: KYC Expired",IF(I393="Pending","INFO: KYC Pending","OK"))))</f>
        <v/>
      </c>
    </row>
    <row r="394">
      <c r="A394" s="2">
        <f>Raw_Transactions!A394</f>
        <v/>
      </c>
      <c r="B394" s="2">
        <f>Raw_Transactions!B394</f>
        <v/>
      </c>
      <c r="C394" s="2">
        <f>Raw_Transactions!C394</f>
        <v/>
      </c>
      <c r="D394" s="3">
        <f>Raw_Transactions!D394</f>
        <v/>
      </c>
      <c r="E394" s="2">
        <f>Raw_Transactions!E394</f>
        <v/>
      </c>
      <c r="F394" s="2">
        <f>Raw_Transactions!F394</f>
        <v/>
      </c>
      <c r="G394" s="2">
        <f>Raw_Transactions!G394</f>
        <v/>
      </c>
      <c r="H394" s="2">
        <f>XLOOKUP(B394,Raw_Risk_Profiles!$A:$A,Raw_Risk_Profiles!$B:$B,"Not Found")</f>
        <v/>
      </c>
      <c r="I394" s="2">
        <f>XLOOKUP(B394,Raw_Risk_Profiles!$A:$A,Raw_Risk_Profiles!$C:$C,"Missing")</f>
        <v/>
      </c>
      <c r="J394" s="2">
        <f>XLOOKUP(B394,Raw_Risk_Profiles!$A:$A,Raw_Risk_Profiles!$D:$D,"")</f>
        <v/>
      </c>
      <c r="K394" s="2">
        <f>IFERROR(INDEX(Raw_Risk_Profiles!$E:$E,MATCH(B394,Raw_Risk_Profiles!$A:$A,0)),"Unknown")</f>
        <v/>
      </c>
      <c r="L394" s="2">
        <f>IFERROR(XLOOKUP(A394,Raw_Alerts!$B:$B,Raw_Alerts!$A:$A),"No Alert")</f>
        <v/>
      </c>
      <c r="M394" s="2">
        <f>IFERROR(XLOOKUP(A394,Raw_Alerts!$B:$B,Raw_Alerts!$C:$C),"")</f>
        <v/>
      </c>
      <c r="N394" s="2">
        <f>IFERROR(XLOOKUP(A394,Raw_Alerts!$B:$B,Raw_Alerts!$D:$D),"")</f>
        <v/>
      </c>
      <c r="O394" s="2">
        <f>IFERROR(XLOOKUP(A394,Raw_Alerts!$B:$B,Raw_Alerts!$F:$F),"")</f>
        <v/>
      </c>
      <c r="P394" s="2">
        <f>IF(H394="Not Found","CRITICAL: No Risk Profile",IF(I394="Missing","WARN: Missing KYC",IF(I394="Expired","WARN: KYC Expired",IF(I394="Pending","INFO: KYC Pending","OK"))))</f>
        <v/>
      </c>
    </row>
    <row r="395">
      <c r="A395" s="4">
        <f>Raw_Transactions!A395</f>
        <v/>
      </c>
      <c r="B395" s="4">
        <f>Raw_Transactions!B395</f>
        <v/>
      </c>
      <c r="C395" s="4">
        <f>Raw_Transactions!C395</f>
        <v/>
      </c>
      <c r="D395" s="5">
        <f>Raw_Transactions!D395</f>
        <v/>
      </c>
      <c r="E395" s="4">
        <f>Raw_Transactions!E395</f>
        <v/>
      </c>
      <c r="F395" s="4">
        <f>Raw_Transactions!F395</f>
        <v/>
      </c>
      <c r="G395" s="4">
        <f>Raw_Transactions!G395</f>
        <v/>
      </c>
      <c r="H395" s="4">
        <f>XLOOKUP(B395,Raw_Risk_Profiles!$A:$A,Raw_Risk_Profiles!$B:$B,"Not Found")</f>
        <v/>
      </c>
      <c r="I395" s="4">
        <f>XLOOKUP(B395,Raw_Risk_Profiles!$A:$A,Raw_Risk_Profiles!$C:$C,"Missing")</f>
        <v/>
      </c>
      <c r="J395" s="4">
        <f>XLOOKUP(B395,Raw_Risk_Profiles!$A:$A,Raw_Risk_Profiles!$D:$D,"")</f>
        <v/>
      </c>
      <c r="K395" s="4">
        <f>IFERROR(INDEX(Raw_Risk_Profiles!$E:$E,MATCH(B395,Raw_Risk_Profiles!$A:$A,0)),"Unknown")</f>
        <v/>
      </c>
      <c r="L395" s="4">
        <f>IFERROR(XLOOKUP(A395,Raw_Alerts!$B:$B,Raw_Alerts!$A:$A),"No Alert")</f>
        <v/>
      </c>
      <c r="M395" s="4">
        <f>IFERROR(XLOOKUP(A395,Raw_Alerts!$B:$B,Raw_Alerts!$C:$C),"")</f>
        <v/>
      </c>
      <c r="N395" s="4">
        <f>IFERROR(XLOOKUP(A395,Raw_Alerts!$B:$B,Raw_Alerts!$D:$D),"")</f>
        <v/>
      </c>
      <c r="O395" s="4">
        <f>IFERROR(XLOOKUP(A395,Raw_Alerts!$B:$B,Raw_Alerts!$F:$F),"")</f>
        <v/>
      </c>
      <c r="P395" s="4">
        <f>IF(H395="Not Found","CRITICAL: No Risk Profile",IF(I395="Missing","WARN: Missing KYC",IF(I395="Expired","WARN: KYC Expired",IF(I395="Pending","INFO: KYC Pending","OK"))))</f>
        <v/>
      </c>
    </row>
    <row r="396">
      <c r="A396" s="2">
        <f>Raw_Transactions!A396</f>
        <v/>
      </c>
      <c r="B396" s="2">
        <f>Raw_Transactions!B396</f>
        <v/>
      </c>
      <c r="C396" s="2">
        <f>Raw_Transactions!C396</f>
        <v/>
      </c>
      <c r="D396" s="3">
        <f>Raw_Transactions!D396</f>
        <v/>
      </c>
      <c r="E396" s="2">
        <f>Raw_Transactions!E396</f>
        <v/>
      </c>
      <c r="F396" s="2">
        <f>Raw_Transactions!F396</f>
        <v/>
      </c>
      <c r="G396" s="2">
        <f>Raw_Transactions!G396</f>
        <v/>
      </c>
      <c r="H396" s="2">
        <f>XLOOKUP(B396,Raw_Risk_Profiles!$A:$A,Raw_Risk_Profiles!$B:$B,"Not Found")</f>
        <v/>
      </c>
      <c r="I396" s="2">
        <f>XLOOKUP(B396,Raw_Risk_Profiles!$A:$A,Raw_Risk_Profiles!$C:$C,"Missing")</f>
        <v/>
      </c>
      <c r="J396" s="2">
        <f>XLOOKUP(B396,Raw_Risk_Profiles!$A:$A,Raw_Risk_Profiles!$D:$D,"")</f>
        <v/>
      </c>
      <c r="K396" s="2">
        <f>IFERROR(INDEX(Raw_Risk_Profiles!$E:$E,MATCH(B396,Raw_Risk_Profiles!$A:$A,0)),"Unknown")</f>
        <v/>
      </c>
      <c r="L396" s="2">
        <f>IFERROR(XLOOKUP(A396,Raw_Alerts!$B:$B,Raw_Alerts!$A:$A),"No Alert")</f>
        <v/>
      </c>
      <c r="M396" s="2">
        <f>IFERROR(XLOOKUP(A396,Raw_Alerts!$B:$B,Raw_Alerts!$C:$C),"")</f>
        <v/>
      </c>
      <c r="N396" s="2">
        <f>IFERROR(XLOOKUP(A396,Raw_Alerts!$B:$B,Raw_Alerts!$D:$D),"")</f>
        <v/>
      </c>
      <c r="O396" s="2">
        <f>IFERROR(XLOOKUP(A396,Raw_Alerts!$B:$B,Raw_Alerts!$F:$F),"")</f>
        <v/>
      </c>
      <c r="P396" s="2">
        <f>IF(H396="Not Found","CRITICAL: No Risk Profile",IF(I396="Missing","WARN: Missing KYC",IF(I396="Expired","WARN: KYC Expired",IF(I396="Pending","INFO: KYC Pending","OK"))))</f>
        <v/>
      </c>
    </row>
    <row r="397">
      <c r="A397" s="4">
        <f>Raw_Transactions!A397</f>
        <v/>
      </c>
      <c r="B397" s="4">
        <f>Raw_Transactions!B397</f>
        <v/>
      </c>
      <c r="C397" s="4">
        <f>Raw_Transactions!C397</f>
        <v/>
      </c>
      <c r="D397" s="5">
        <f>Raw_Transactions!D397</f>
        <v/>
      </c>
      <c r="E397" s="4">
        <f>Raw_Transactions!E397</f>
        <v/>
      </c>
      <c r="F397" s="4">
        <f>Raw_Transactions!F397</f>
        <v/>
      </c>
      <c r="G397" s="4">
        <f>Raw_Transactions!G397</f>
        <v/>
      </c>
      <c r="H397" s="4">
        <f>XLOOKUP(B397,Raw_Risk_Profiles!$A:$A,Raw_Risk_Profiles!$B:$B,"Not Found")</f>
        <v/>
      </c>
      <c r="I397" s="4">
        <f>XLOOKUP(B397,Raw_Risk_Profiles!$A:$A,Raw_Risk_Profiles!$C:$C,"Missing")</f>
        <v/>
      </c>
      <c r="J397" s="4">
        <f>XLOOKUP(B397,Raw_Risk_Profiles!$A:$A,Raw_Risk_Profiles!$D:$D,"")</f>
        <v/>
      </c>
      <c r="K397" s="4">
        <f>IFERROR(INDEX(Raw_Risk_Profiles!$E:$E,MATCH(B397,Raw_Risk_Profiles!$A:$A,0)),"Unknown")</f>
        <v/>
      </c>
      <c r="L397" s="4">
        <f>IFERROR(XLOOKUP(A397,Raw_Alerts!$B:$B,Raw_Alerts!$A:$A),"No Alert")</f>
        <v/>
      </c>
      <c r="M397" s="4">
        <f>IFERROR(XLOOKUP(A397,Raw_Alerts!$B:$B,Raw_Alerts!$C:$C),"")</f>
        <v/>
      </c>
      <c r="N397" s="4">
        <f>IFERROR(XLOOKUP(A397,Raw_Alerts!$B:$B,Raw_Alerts!$D:$D),"")</f>
        <v/>
      </c>
      <c r="O397" s="4">
        <f>IFERROR(XLOOKUP(A397,Raw_Alerts!$B:$B,Raw_Alerts!$F:$F),"")</f>
        <v/>
      </c>
      <c r="P397" s="4">
        <f>IF(H397="Not Found","CRITICAL: No Risk Profile",IF(I397="Missing","WARN: Missing KYC",IF(I397="Expired","WARN: KYC Expired",IF(I397="Pending","INFO: KYC Pending","OK"))))</f>
        <v/>
      </c>
    </row>
    <row r="398">
      <c r="A398" s="2">
        <f>Raw_Transactions!A398</f>
        <v/>
      </c>
      <c r="B398" s="2">
        <f>Raw_Transactions!B398</f>
        <v/>
      </c>
      <c r="C398" s="2">
        <f>Raw_Transactions!C398</f>
        <v/>
      </c>
      <c r="D398" s="3">
        <f>Raw_Transactions!D398</f>
        <v/>
      </c>
      <c r="E398" s="2">
        <f>Raw_Transactions!E398</f>
        <v/>
      </c>
      <c r="F398" s="2">
        <f>Raw_Transactions!F398</f>
        <v/>
      </c>
      <c r="G398" s="2">
        <f>Raw_Transactions!G398</f>
        <v/>
      </c>
      <c r="H398" s="2">
        <f>XLOOKUP(B398,Raw_Risk_Profiles!$A:$A,Raw_Risk_Profiles!$B:$B,"Not Found")</f>
        <v/>
      </c>
      <c r="I398" s="2">
        <f>XLOOKUP(B398,Raw_Risk_Profiles!$A:$A,Raw_Risk_Profiles!$C:$C,"Missing")</f>
        <v/>
      </c>
      <c r="J398" s="2">
        <f>XLOOKUP(B398,Raw_Risk_Profiles!$A:$A,Raw_Risk_Profiles!$D:$D,"")</f>
        <v/>
      </c>
      <c r="K398" s="2">
        <f>IFERROR(INDEX(Raw_Risk_Profiles!$E:$E,MATCH(B398,Raw_Risk_Profiles!$A:$A,0)),"Unknown")</f>
        <v/>
      </c>
      <c r="L398" s="2">
        <f>IFERROR(XLOOKUP(A398,Raw_Alerts!$B:$B,Raw_Alerts!$A:$A),"No Alert")</f>
        <v/>
      </c>
      <c r="M398" s="2">
        <f>IFERROR(XLOOKUP(A398,Raw_Alerts!$B:$B,Raw_Alerts!$C:$C),"")</f>
        <v/>
      </c>
      <c r="N398" s="2">
        <f>IFERROR(XLOOKUP(A398,Raw_Alerts!$B:$B,Raw_Alerts!$D:$D),"")</f>
        <v/>
      </c>
      <c r="O398" s="2">
        <f>IFERROR(XLOOKUP(A398,Raw_Alerts!$B:$B,Raw_Alerts!$F:$F),"")</f>
        <v/>
      </c>
      <c r="P398" s="2">
        <f>IF(H398="Not Found","CRITICAL: No Risk Profile",IF(I398="Missing","WARN: Missing KYC",IF(I398="Expired","WARN: KYC Expired",IF(I398="Pending","INFO: KYC Pending","OK"))))</f>
        <v/>
      </c>
    </row>
    <row r="399">
      <c r="A399" s="4">
        <f>Raw_Transactions!A399</f>
        <v/>
      </c>
      <c r="B399" s="4">
        <f>Raw_Transactions!B399</f>
        <v/>
      </c>
      <c r="C399" s="4">
        <f>Raw_Transactions!C399</f>
        <v/>
      </c>
      <c r="D399" s="5">
        <f>Raw_Transactions!D399</f>
        <v/>
      </c>
      <c r="E399" s="4">
        <f>Raw_Transactions!E399</f>
        <v/>
      </c>
      <c r="F399" s="4">
        <f>Raw_Transactions!F399</f>
        <v/>
      </c>
      <c r="G399" s="4">
        <f>Raw_Transactions!G399</f>
        <v/>
      </c>
      <c r="H399" s="4">
        <f>XLOOKUP(B399,Raw_Risk_Profiles!$A:$A,Raw_Risk_Profiles!$B:$B,"Not Found")</f>
        <v/>
      </c>
      <c r="I399" s="4">
        <f>XLOOKUP(B399,Raw_Risk_Profiles!$A:$A,Raw_Risk_Profiles!$C:$C,"Missing")</f>
        <v/>
      </c>
      <c r="J399" s="4">
        <f>XLOOKUP(B399,Raw_Risk_Profiles!$A:$A,Raw_Risk_Profiles!$D:$D,"")</f>
        <v/>
      </c>
      <c r="K399" s="4">
        <f>IFERROR(INDEX(Raw_Risk_Profiles!$E:$E,MATCH(B399,Raw_Risk_Profiles!$A:$A,0)),"Unknown")</f>
        <v/>
      </c>
      <c r="L399" s="4">
        <f>IFERROR(XLOOKUP(A399,Raw_Alerts!$B:$B,Raw_Alerts!$A:$A),"No Alert")</f>
        <v/>
      </c>
      <c r="M399" s="4">
        <f>IFERROR(XLOOKUP(A399,Raw_Alerts!$B:$B,Raw_Alerts!$C:$C),"")</f>
        <v/>
      </c>
      <c r="N399" s="4">
        <f>IFERROR(XLOOKUP(A399,Raw_Alerts!$B:$B,Raw_Alerts!$D:$D),"")</f>
        <v/>
      </c>
      <c r="O399" s="4">
        <f>IFERROR(XLOOKUP(A399,Raw_Alerts!$B:$B,Raw_Alerts!$F:$F),"")</f>
        <v/>
      </c>
      <c r="P399" s="4">
        <f>IF(H399="Not Found","CRITICAL: No Risk Profile",IF(I399="Missing","WARN: Missing KYC",IF(I399="Expired","WARN: KYC Expired",IF(I399="Pending","INFO: KYC Pending","OK"))))</f>
        <v/>
      </c>
    </row>
    <row r="400">
      <c r="A400" s="2">
        <f>Raw_Transactions!A400</f>
        <v/>
      </c>
      <c r="B400" s="2">
        <f>Raw_Transactions!B400</f>
        <v/>
      </c>
      <c r="C400" s="2">
        <f>Raw_Transactions!C400</f>
        <v/>
      </c>
      <c r="D400" s="3">
        <f>Raw_Transactions!D400</f>
        <v/>
      </c>
      <c r="E400" s="2">
        <f>Raw_Transactions!E400</f>
        <v/>
      </c>
      <c r="F400" s="2">
        <f>Raw_Transactions!F400</f>
        <v/>
      </c>
      <c r="G400" s="2">
        <f>Raw_Transactions!G400</f>
        <v/>
      </c>
      <c r="H400" s="2">
        <f>XLOOKUP(B400,Raw_Risk_Profiles!$A:$A,Raw_Risk_Profiles!$B:$B,"Not Found")</f>
        <v/>
      </c>
      <c r="I400" s="2">
        <f>XLOOKUP(B400,Raw_Risk_Profiles!$A:$A,Raw_Risk_Profiles!$C:$C,"Missing")</f>
        <v/>
      </c>
      <c r="J400" s="2">
        <f>XLOOKUP(B400,Raw_Risk_Profiles!$A:$A,Raw_Risk_Profiles!$D:$D,"")</f>
        <v/>
      </c>
      <c r="K400" s="2">
        <f>IFERROR(INDEX(Raw_Risk_Profiles!$E:$E,MATCH(B400,Raw_Risk_Profiles!$A:$A,0)),"Unknown")</f>
        <v/>
      </c>
      <c r="L400" s="2">
        <f>IFERROR(XLOOKUP(A400,Raw_Alerts!$B:$B,Raw_Alerts!$A:$A),"No Alert")</f>
        <v/>
      </c>
      <c r="M400" s="2">
        <f>IFERROR(XLOOKUP(A400,Raw_Alerts!$B:$B,Raw_Alerts!$C:$C),"")</f>
        <v/>
      </c>
      <c r="N400" s="2">
        <f>IFERROR(XLOOKUP(A400,Raw_Alerts!$B:$B,Raw_Alerts!$D:$D),"")</f>
        <v/>
      </c>
      <c r="O400" s="2">
        <f>IFERROR(XLOOKUP(A400,Raw_Alerts!$B:$B,Raw_Alerts!$F:$F),"")</f>
        <v/>
      </c>
      <c r="P400" s="2">
        <f>IF(H400="Not Found","CRITICAL: No Risk Profile",IF(I400="Missing","WARN: Missing KYC",IF(I400="Expired","WARN: KYC Expired",IF(I400="Pending","INFO: KYC Pending","OK"))))</f>
        <v/>
      </c>
    </row>
    <row r="401">
      <c r="A401" s="4">
        <f>Raw_Transactions!A401</f>
        <v/>
      </c>
      <c r="B401" s="4">
        <f>Raw_Transactions!B401</f>
        <v/>
      </c>
      <c r="C401" s="4">
        <f>Raw_Transactions!C401</f>
        <v/>
      </c>
      <c r="D401" s="5">
        <f>Raw_Transactions!D401</f>
        <v/>
      </c>
      <c r="E401" s="4">
        <f>Raw_Transactions!E401</f>
        <v/>
      </c>
      <c r="F401" s="4">
        <f>Raw_Transactions!F401</f>
        <v/>
      </c>
      <c r="G401" s="4">
        <f>Raw_Transactions!G401</f>
        <v/>
      </c>
      <c r="H401" s="4">
        <f>XLOOKUP(B401,Raw_Risk_Profiles!$A:$A,Raw_Risk_Profiles!$B:$B,"Not Found")</f>
        <v/>
      </c>
      <c r="I401" s="4">
        <f>XLOOKUP(B401,Raw_Risk_Profiles!$A:$A,Raw_Risk_Profiles!$C:$C,"Missing")</f>
        <v/>
      </c>
      <c r="J401" s="4">
        <f>XLOOKUP(B401,Raw_Risk_Profiles!$A:$A,Raw_Risk_Profiles!$D:$D,"")</f>
        <v/>
      </c>
      <c r="K401" s="4">
        <f>IFERROR(INDEX(Raw_Risk_Profiles!$E:$E,MATCH(B401,Raw_Risk_Profiles!$A:$A,0)),"Unknown")</f>
        <v/>
      </c>
      <c r="L401" s="4">
        <f>IFERROR(XLOOKUP(A401,Raw_Alerts!$B:$B,Raw_Alerts!$A:$A),"No Alert")</f>
        <v/>
      </c>
      <c r="M401" s="4">
        <f>IFERROR(XLOOKUP(A401,Raw_Alerts!$B:$B,Raw_Alerts!$C:$C),"")</f>
        <v/>
      </c>
      <c r="N401" s="4">
        <f>IFERROR(XLOOKUP(A401,Raw_Alerts!$B:$B,Raw_Alerts!$D:$D),"")</f>
        <v/>
      </c>
      <c r="O401" s="4">
        <f>IFERROR(XLOOKUP(A401,Raw_Alerts!$B:$B,Raw_Alerts!$F:$F),"")</f>
        <v/>
      </c>
      <c r="P401" s="4">
        <f>IF(H401="Not Found","CRITICAL: No Risk Profile",IF(I401="Missing","WARN: Missing KYC",IF(I401="Expired","WARN: KYC Expired",IF(I401="Pending","INFO: KYC Pending","OK"))))</f>
        <v/>
      </c>
    </row>
    <row r="402">
      <c r="A402" s="2">
        <f>Raw_Transactions!A402</f>
        <v/>
      </c>
      <c r="B402" s="2">
        <f>Raw_Transactions!B402</f>
        <v/>
      </c>
      <c r="C402" s="2">
        <f>Raw_Transactions!C402</f>
        <v/>
      </c>
      <c r="D402" s="3">
        <f>Raw_Transactions!D402</f>
        <v/>
      </c>
      <c r="E402" s="2">
        <f>Raw_Transactions!E402</f>
        <v/>
      </c>
      <c r="F402" s="2">
        <f>Raw_Transactions!F402</f>
        <v/>
      </c>
      <c r="G402" s="2">
        <f>Raw_Transactions!G402</f>
        <v/>
      </c>
      <c r="H402" s="2">
        <f>XLOOKUP(B402,Raw_Risk_Profiles!$A:$A,Raw_Risk_Profiles!$B:$B,"Not Found")</f>
        <v/>
      </c>
      <c r="I402" s="2">
        <f>XLOOKUP(B402,Raw_Risk_Profiles!$A:$A,Raw_Risk_Profiles!$C:$C,"Missing")</f>
        <v/>
      </c>
      <c r="J402" s="2">
        <f>XLOOKUP(B402,Raw_Risk_Profiles!$A:$A,Raw_Risk_Profiles!$D:$D,"")</f>
        <v/>
      </c>
      <c r="K402" s="2">
        <f>IFERROR(INDEX(Raw_Risk_Profiles!$E:$E,MATCH(B402,Raw_Risk_Profiles!$A:$A,0)),"Unknown")</f>
        <v/>
      </c>
      <c r="L402" s="2">
        <f>IFERROR(XLOOKUP(A402,Raw_Alerts!$B:$B,Raw_Alerts!$A:$A),"No Alert")</f>
        <v/>
      </c>
      <c r="M402" s="2">
        <f>IFERROR(XLOOKUP(A402,Raw_Alerts!$B:$B,Raw_Alerts!$C:$C),"")</f>
        <v/>
      </c>
      <c r="N402" s="2">
        <f>IFERROR(XLOOKUP(A402,Raw_Alerts!$B:$B,Raw_Alerts!$D:$D),"")</f>
        <v/>
      </c>
      <c r="O402" s="2">
        <f>IFERROR(XLOOKUP(A402,Raw_Alerts!$B:$B,Raw_Alerts!$F:$F),"")</f>
        <v/>
      </c>
      <c r="P402" s="2">
        <f>IF(H402="Not Found","CRITICAL: No Risk Profile",IF(I402="Missing","WARN: Missing KYC",IF(I402="Expired","WARN: KYC Expired",IF(I402="Pending","INFO: KYC Pending","OK"))))</f>
        <v/>
      </c>
    </row>
    <row r="403">
      <c r="A403" s="4">
        <f>Raw_Transactions!A403</f>
        <v/>
      </c>
      <c r="B403" s="4">
        <f>Raw_Transactions!B403</f>
        <v/>
      </c>
      <c r="C403" s="4">
        <f>Raw_Transactions!C403</f>
        <v/>
      </c>
      <c r="D403" s="5">
        <f>Raw_Transactions!D403</f>
        <v/>
      </c>
      <c r="E403" s="4">
        <f>Raw_Transactions!E403</f>
        <v/>
      </c>
      <c r="F403" s="4">
        <f>Raw_Transactions!F403</f>
        <v/>
      </c>
      <c r="G403" s="4">
        <f>Raw_Transactions!G403</f>
        <v/>
      </c>
      <c r="H403" s="4">
        <f>XLOOKUP(B403,Raw_Risk_Profiles!$A:$A,Raw_Risk_Profiles!$B:$B,"Not Found")</f>
        <v/>
      </c>
      <c r="I403" s="4">
        <f>XLOOKUP(B403,Raw_Risk_Profiles!$A:$A,Raw_Risk_Profiles!$C:$C,"Missing")</f>
        <v/>
      </c>
      <c r="J403" s="4">
        <f>XLOOKUP(B403,Raw_Risk_Profiles!$A:$A,Raw_Risk_Profiles!$D:$D,"")</f>
        <v/>
      </c>
      <c r="K403" s="4">
        <f>IFERROR(INDEX(Raw_Risk_Profiles!$E:$E,MATCH(B403,Raw_Risk_Profiles!$A:$A,0)),"Unknown")</f>
        <v/>
      </c>
      <c r="L403" s="4">
        <f>IFERROR(XLOOKUP(A403,Raw_Alerts!$B:$B,Raw_Alerts!$A:$A),"No Alert")</f>
        <v/>
      </c>
      <c r="M403" s="4">
        <f>IFERROR(XLOOKUP(A403,Raw_Alerts!$B:$B,Raw_Alerts!$C:$C),"")</f>
        <v/>
      </c>
      <c r="N403" s="4">
        <f>IFERROR(XLOOKUP(A403,Raw_Alerts!$B:$B,Raw_Alerts!$D:$D),"")</f>
        <v/>
      </c>
      <c r="O403" s="4">
        <f>IFERROR(XLOOKUP(A403,Raw_Alerts!$B:$B,Raw_Alerts!$F:$F),"")</f>
        <v/>
      </c>
      <c r="P403" s="4">
        <f>IF(H403="Not Found","CRITICAL: No Risk Profile",IF(I403="Missing","WARN: Missing KYC",IF(I403="Expired","WARN: KYC Expired",IF(I403="Pending","INFO: KYC Pending","OK"))))</f>
        <v/>
      </c>
    </row>
    <row r="404">
      <c r="A404" s="2">
        <f>Raw_Transactions!A404</f>
        <v/>
      </c>
      <c r="B404" s="2">
        <f>Raw_Transactions!B404</f>
        <v/>
      </c>
      <c r="C404" s="2">
        <f>Raw_Transactions!C404</f>
        <v/>
      </c>
      <c r="D404" s="3">
        <f>Raw_Transactions!D404</f>
        <v/>
      </c>
      <c r="E404" s="2">
        <f>Raw_Transactions!E404</f>
        <v/>
      </c>
      <c r="F404" s="2">
        <f>Raw_Transactions!F404</f>
        <v/>
      </c>
      <c r="G404" s="2">
        <f>Raw_Transactions!G404</f>
        <v/>
      </c>
      <c r="H404" s="2">
        <f>XLOOKUP(B404,Raw_Risk_Profiles!$A:$A,Raw_Risk_Profiles!$B:$B,"Not Found")</f>
        <v/>
      </c>
      <c r="I404" s="2">
        <f>XLOOKUP(B404,Raw_Risk_Profiles!$A:$A,Raw_Risk_Profiles!$C:$C,"Missing")</f>
        <v/>
      </c>
      <c r="J404" s="2">
        <f>XLOOKUP(B404,Raw_Risk_Profiles!$A:$A,Raw_Risk_Profiles!$D:$D,"")</f>
        <v/>
      </c>
      <c r="K404" s="2">
        <f>IFERROR(INDEX(Raw_Risk_Profiles!$E:$E,MATCH(B404,Raw_Risk_Profiles!$A:$A,0)),"Unknown")</f>
        <v/>
      </c>
      <c r="L404" s="2">
        <f>IFERROR(XLOOKUP(A404,Raw_Alerts!$B:$B,Raw_Alerts!$A:$A),"No Alert")</f>
        <v/>
      </c>
      <c r="M404" s="2">
        <f>IFERROR(XLOOKUP(A404,Raw_Alerts!$B:$B,Raw_Alerts!$C:$C),"")</f>
        <v/>
      </c>
      <c r="N404" s="2">
        <f>IFERROR(XLOOKUP(A404,Raw_Alerts!$B:$B,Raw_Alerts!$D:$D),"")</f>
        <v/>
      </c>
      <c r="O404" s="2">
        <f>IFERROR(XLOOKUP(A404,Raw_Alerts!$B:$B,Raw_Alerts!$F:$F),"")</f>
        <v/>
      </c>
      <c r="P404" s="2">
        <f>IF(H404="Not Found","CRITICAL: No Risk Profile",IF(I404="Missing","WARN: Missing KYC",IF(I404="Expired","WARN: KYC Expired",IF(I404="Pending","INFO: KYC Pending","OK"))))</f>
        <v/>
      </c>
    </row>
    <row r="405">
      <c r="A405" s="4">
        <f>Raw_Transactions!A405</f>
        <v/>
      </c>
      <c r="B405" s="4">
        <f>Raw_Transactions!B405</f>
        <v/>
      </c>
      <c r="C405" s="4">
        <f>Raw_Transactions!C405</f>
        <v/>
      </c>
      <c r="D405" s="5">
        <f>Raw_Transactions!D405</f>
        <v/>
      </c>
      <c r="E405" s="4">
        <f>Raw_Transactions!E405</f>
        <v/>
      </c>
      <c r="F405" s="4">
        <f>Raw_Transactions!F405</f>
        <v/>
      </c>
      <c r="G405" s="4">
        <f>Raw_Transactions!G405</f>
        <v/>
      </c>
      <c r="H405" s="4">
        <f>XLOOKUP(B405,Raw_Risk_Profiles!$A:$A,Raw_Risk_Profiles!$B:$B,"Not Found")</f>
        <v/>
      </c>
      <c r="I405" s="4">
        <f>XLOOKUP(B405,Raw_Risk_Profiles!$A:$A,Raw_Risk_Profiles!$C:$C,"Missing")</f>
        <v/>
      </c>
      <c r="J405" s="4">
        <f>XLOOKUP(B405,Raw_Risk_Profiles!$A:$A,Raw_Risk_Profiles!$D:$D,"")</f>
        <v/>
      </c>
      <c r="K405" s="4">
        <f>IFERROR(INDEX(Raw_Risk_Profiles!$E:$E,MATCH(B405,Raw_Risk_Profiles!$A:$A,0)),"Unknown")</f>
        <v/>
      </c>
      <c r="L405" s="4">
        <f>IFERROR(XLOOKUP(A405,Raw_Alerts!$B:$B,Raw_Alerts!$A:$A),"No Alert")</f>
        <v/>
      </c>
      <c r="M405" s="4">
        <f>IFERROR(XLOOKUP(A405,Raw_Alerts!$B:$B,Raw_Alerts!$C:$C),"")</f>
        <v/>
      </c>
      <c r="N405" s="4">
        <f>IFERROR(XLOOKUP(A405,Raw_Alerts!$B:$B,Raw_Alerts!$D:$D),"")</f>
        <v/>
      </c>
      <c r="O405" s="4">
        <f>IFERROR(XLOOKUP(A405,Raw_Alerts!$B:$B,Raw_Alerts!$F:$F),"")</f>
        <v/>
      </c>
      <c r="P405" s="4">
        <f>IF(H405="Not Found","CRITICAL: No Risk Profile",IF(I405="Missing","WARN: Missing KYC",IF(I405="Expired","WARN: KYC Expired",IF(I405="Pending","INFO: KYC Pending","OK"))))</f>
        <v/>
      </c>
    </row>
    <row r="406">
      <c r="A406" s="2">
        <f>Raw_Transactions!A406</f>
        <v/>
      </c>
      <c r="B406" s="2">
        <f>Raw_Transactions!B406</f>
        <v/>
      </c>
      <c r="C406" s="2">
        <f>Raw_Transactions!C406</f>
        <v/>
      </c>
      <c r="D406" s="3">
        <f>Raw_Transactions!D406</f>
        <v/>
      </c>
      <c r="E406" s="2">
        <f>Raw_Transactions!E406</f>
        <v/>
      </c>
      <c r="F406" s="2">
        <f>Raw_Transactions!F406</f>
        <v/>
      </c>
      <c r="G406" s="2">
        <f>Raw_Transactions!G406</f>
        <v/>
      </c>
      <c r="H406" s="2">
        <f>XLOOKUP(B406,Raw_Risk_Profiles!$A:$A,Raw_Risk_Profiles!$B:$B,"Not Found")</f>
        <v/>
      </c>
      <c r="I406" s="2">
        <f>XLOOKUP(B406,Raw_Risk_Profiles!$A:$A,Raw_Risk_Profiles!$C:$C,"Missing")</f>
        <v/>
      </c>
      <c r="J406" s="2">
        <f>XLOOKUP(B406,Raw_Risk_Profiles!$A:$A,Raw_Risk_Profiles!$D:$D,"")</f>
        <v/>
      </c>
      <c r="K406" s="2">
        <f>IFERROR(INDEX(Raw_Risk_Profiles!$E:$E,MATCH(B406,Raw_Risk_Profiles!$A:$A,0)),"Unknown")</f>
        <v/>
      </c>
      <c r="L406" s="2">
        <f>IFERROR(XLOOKUP(A406,Raw_Alerts!$B:$B,Raw_Alerts!$A:$A),"No Alert")</f>
        <v/>
      </c>
      <c r="M406" s="2">
        <f>IFERROR(XLOOKUP(A406,Raw_Alerts!$B:$B,Raw_Alerts!$C:$C),"")</f>
        <v/>
      </c>
      <c r="N406" s="2">
        <f>IFERROR(XLOOKUP(A406,Raw_Alerts!$B:$B,Raw_Alerts!$D:$D),"")</f>
        <v/>
      </c>
      <c r="O406" s="2">
        <f>IFERROR(XLOOKUP(A406,Raw_Alerts!$B:$B,Raw_Alerts!$F:$F),"")</f>
        <v/>
      </c>
      <c r="P406" s="2">
        <f>IF(H406="Not Found","CRITICAL: No Risk Profile",IF(I406="Missing","WARN: Missing KYC",IF(I406="Expired","WARN: KYC Expired",IF(I406="Pending","INFO: KYC Pending","OK"))))</f>
        <v/>
      </c>
    </row>
    <row r="407">
      <c r="A407" s="4">
        <f>Raw_Transactions!A407</f>
        <v/>
      </c>
      <c r="B407" s="4">
        <f>Raw_Transactions!B407</f>
        <v/>
      </c>
      <c r="C407" s="4">
        <f>Raw_Transactions!C407</f>
        <v/>
      </c>
      <c r="D407" s="5">
        <f>Raw_Transactions!D407</f>
        <v/>
      </c>
      <c r="E407" s="4">
        <f>Raw_Transactions!E407</f>
        <v/>
      </c>
      <c r="F407" s="4">
        <f>Raw_Transactions!F407</f>
        <v/>
      </c>
      <c r="G407" s="4">
        <f>Raw_Transactions!G407</f>
        <v/>
      </c>
      <c r="H407" s="4">
        <f>XLOOKUP(B407,Raw_Risk_Profiles!$A:$A,Raw_Risk_Profiles!$B:$B,"Not Found")</f>
        <v/>
      </c>
      <c r="I407" s="4">
        <f>XLOOKUP(B407,Raw_Risk_Profiles!$A:$A,Raw_Risk_Profiles!$C:$C,"Missing")</f>
        <v/>
      </c>
      <c r="J407" s="4">
        <f>XLOOKUP(B407,Raw_Risk_Profiles!$A:$A,Raw_Risk_Profiles!$D:$D,"")</f>
        <v/>
      </c>
      <c r="K407" s="4">
        <f>IFERROR(INDEX(Raw_Risk_Profiles!$E:$E,MATCH(B407,Raw_Risk_Profiles!$A:$A,0)),"Unknown")</f>
        <v/>
      </c>
      <c r="L407" s="4">
        <f>IFERROR(XLOOKUP(A407,Raw_Alerts!$B:$B,Raw_Alerts!$A:$A),"No Alert")</f>
        <v/>
      </c>
      <c r="M407" s="4">
        <f>IFERROR(XLOOKUP(A407,Raw_Alerts!$B:$B,Raw_Alerts!$C:$C),"")</f>
        <v/>
      </c>
      <c r="N407" s="4">
        <f>IFERROR(XLOOKUP(A407,Raw_Alerts!$B:$B,Raw_Alerts!$D:$D),"")</f>
        <v/>
      </c>
      <c r="O407" s="4">
        <f>IFERROR(XLOOKUP(A407,Raw_Alerts!$B:$B,Raw_Alerts!$F:$F),"")</f>
        <v/>
      </c>
      <c r="P407" s="4">
        <f>IF(H407="Not Found","CRITICAL: No Risk Profile",IF(I407="Missing","WARN: Missing KYC",IF(I407="Expired","WARN: KYC Expired",IF(I407="Pending","INFO: KYC Pending","OK"))))</f>
        <v/>
      </c>
    </row>
    <row r="408">
      <c r="A408" s="2">
        <f>Raw_Transactions!A408</f>
        <v/>
      </c>
      <c r="B408" s="2">
        <f>Raw_Transactions!B408</f>
        <v/>
      </c>
      <c r="C408" s="2">
        <f>Raw_Transactions!C408</f>
        <v/>
      </c>
      <c r="D408" s="3">
        <f>Raw_Transactions!D408</f>
        <v/>
      </c>
      <c r="E408" s="2">
        <f>Raw_Transactions!E408</f>
        <v/>
      </c>
      <c r="F408" s="2">
        <f>Raw_Transactions!F408</f>
        <v/>
      </c>
      <c r="G408" s="2">
        <f>Raw_Transactions!G408</f>
        <v/>
      </c>
      <c r="H408" s="2">
        <f>XLOOKUP(B408,Raw_Risk_Profiles!$A:$A,Raw_Risk_Profiles!$B:$B,"Not Found")</f>
        <v/>
      </c>
      <c r="I408" s="2">
        <f>XLOOKUP(B408,Raw_Risk_Profiles!$A:$A,Raw_Risk_Profiles!$C:$C,"Missing")</f>
        <v/>
      </c>
      <c r="J408" s="2">
        <f>XLOOKUP(B408,Raw_Risk_Profiles!$A:$A,Raw_Risk_Profiles!$D:$D,"")</f>
        <v/>
      </c>
      <c r="K408" s="2">
        <f>IFERROR(INDEX(Raw_Risk_Profiles!$E:$E,MATCH(B408,Raw_Risk_Profiles!$A:$A,0)),"Unknown")</f>
        <v/>
      </c>
      <c r="L408" s="2">
        <f>IFERROR(XLOOKUP(A408,Raw_Alerts!$B:$B,Raw_Alerts!$A:$A),"No Alert")</f>
        <v/>
      </c>
      <c r="M408" s="2">
        <f>IFERROR(XLOOKUP(A408,Raw_Alerts!$B:$B,Raw_Alerts!$C:$C),"")</f>
        <v/>
      </c>
      <c r="N408" s="2">
        <f>IFERROR(XLOOKUP(A408,Raw_Alerts!$B:$B,Raw_Alerts!$D:$D),"")</f>
        <v/>
      </c>
      <c r="O408" s="2">
        <f>IFERROR(XLOOKUP(A408,Raw_Alerts!$B:$B,Raw_Alerts!$F:$F),"")</f>
        <v/>
      </c>
      <c r="P408" s="2">
        <f>IF(H408="Not Found","CRITICAL: No Risk Profile",IF(I408="Missing","WARN: Missing KYC",IF(I408="Expired","WARN: KYC Expired",IF(I408="Pending","INFO: KYC Pending","OK"))))</f>
        <v/>
      </c>
    </row>
    <row r="409">
      <c r="A409" s="4">
        <f>Raw_Transactions!A409</f>
        <v/>
      </c>
      <c r="B409" s="4">
        <f>Raw_Transactions!B409</f>
        <v/>
      </c>
      <c r="C409" s="4">
        <f>Raw_Transactions!C409</f>
        <v/>
      </c>
      <c r="D409" s="5">
        <f>Raw_Transactions!D409</f>
        <v/>
      </c>
      <c r="E409" s="4">
        <f>Raw_Transactions!E409</f>
        <v/>
      </c>
      <c r="F409" s="4">
        <f>Raw_Transactions!F409</f>
        <v/>
      </c>
      <c r="G409" s="4">
        <f>Raw_Transactions!G409</f>
        <v/>
      </c>
      <c r="H409" s="4">
        <f>XLOOKUP(B409,Raw_Risk_Profiles!$A:$A,Raw_Risk_Profiles!$B:$B,"Not Found")</f>
        <v/>
      </c>
      <c r="I409" s="4">
        <f>XLOOKUP(B409,Raw_Risk_Profiles!$A:$A,Raw_Risk_Profiles!$C:$C,"Missing")</f>
        <v/>
      </c>
      <c r="J409" s="4">
        <f>XLOOKUP(B409,Raw_Risk_Profiles!$A:$A,Raw_Risk_Profiles!$D:$D,"")</f>
        <v/>
      </c>
      <c r="K409" s="4">
        <f>IFERROR(INDEX(Raw_Risk_Profiles!$E:$E,MATCH(B409,Raw_Risk_Profiles!$A:$A,0)),"Unknown")</f>
        <v/>
      </c>
      <c r="L409" s="4">
        <f>IFERROR(XLOOKUP(A409,Raw_Alerts!$B:$B,Raw_Alerts!$A:$A),"No Alert")</f>
        <v/>
      </c>
      <c r="M409" s="4">
        <f>IFERROR(XLOOKUP(A409,Raw_Alerts!$B:$B,Raw_Alerts!$C:$C),"")</f>
        <v/>
      </c>
      <c r="N409" s="4">
        <f>IFERROR(XLOOKUP(A409,Raw_Alerts!$B:$B,Raw_Alerts!$D:$D),"")</f>
        <v/>
      </c>
      <c r="O409" s="4">
        <f>IFERROR(XLOOKUP(A409,Raw_Alerts!$B:$B,Raw_Alerts!$F:$F),"")</f>
        <v/>
      </c>
      <c r="P409" s="4">
        <f>IF(H409="Not Found","CRITICAL: No Risk Profile",IF(I409="Missing","WARN: Missing KYC",IF(I409="Expired","WARN: KYC Expired",IF(I409="Pending","INFO: KYC Pending","OK"))))</f>
        <v/>
      </c>
    </row>
    <row r="410">
      <c r="A410" s="2">
        <f>Raw_Transactions!A410</f>
        <v/>
      </c>
      <c r="B410" s="2">
        <f>Raw_Transactions!B410</f>
        <v/>
      </c>
      <c r="C410" s="2">
        <f>Raw_Transactions!C410</f>
        <v/>
      </c>
      <c r="D410" s="3">
        <f>Raw_Transactions!D410</f>
        <v/>
      </c>
      <c r="E410" s="2">
        <f>Raw_Transactions!E410</f>
        <v/>
      </c>
      <c r="F410" s="2">
        <f>Raw_Transactions!F410</f>
        <v/>
      </c>
      <c r="G410" s="2">
        <f>Raw_Transactions!G410</f>
        <v/>
      </c>
      <c r="H410" s="2">
        <f>XLOOKUP(B410,Raw_Risk_Profiles!$A:$A,Raw_Risk_Profiles!$B:$B,"Not Found")</f>
        <v/>
      </c>
      <c r="I410" s="2">
        <f>XLOOKUP(B410,Raw_Risk_Profiles!$A:$A,Raw_Risk_Profiles!$C:$C,"Missing")</f>
        <v/>
      </c>
      <c r="J410" s="2">
        <f>XLOOKUP(B410,Raw_Risk_Profiles!$A:$A,Raw_Risk_Profiles!$D:$D,"")</f>
        <v/>
      </c>
      <c r="K410" s="2">
        <f>IFERROR(INDEX(Raw_Risk_Profiles!$E:$E,MATCH(B410,Raw_Risk_Profiles!$A:$A,0)),"Unknown")</f>
        <v/>
      </c>
      <c r="L410" s="2">
        <f>IFERROR(XLOOKUP(A410,Raw_Alerts!$B:$B,Raw_Alerts!$A:$A),"No Alert")</f>
        <v/>
      </c>
      <c r="M410" s="2">
        <f>IFERROR(XLOOKUP(A410,Raw_Alerts!$B:$B,Raw_Alerts!$C:$C),"")</f>
        <v/>
      </c>
      <c r="N410" s="2">
        <f>IFERROR(XLOOKUP(A410,Raw_Alerts!$B:$B,Raw_Alerts!$D:$D),"")</f>
        <v/>
      </c>
      <c r="O410" s="2">
        <f>IFERROR(XLOOKUP(A410,Raw_Alerts!$B:$B,Raw_Alerts!$F:$F),"")</f>
        <v/>
      </c>
      <c r="P410" s="2">
        <f>IF(H410="Not Found","CRITICAL: No Risk Profile",IF(I410="Missing","WARN: Missing KYC",IF(I410="Expired","WARN: KYC Expired",IF(I410="Pending","INFO: KYC Pending","OK"))))</f>
        <v/>
      </c>
    </row>
    <row r="411">
      <c r="A411" s="4">
        <f>Raw_Transactions!A411</f>
        <v/>
      </c>
      <c r="B411" s="4">
        <f>Raw_Transactions!B411</f>
        <v/>
      </c>
      <c r="C411" s="4">
        <f>Raw_Transactions!C411</f>
        <v/>
      </c>
      <c r="D411" s="5">
        <f>Raw_Transactions!D411</f>
        <v/>
      </c>
      <c r="E411" s="4">
        <f>Raw_Transactions!E411</f>
        <v/>
      </c>
      <c r="F411" s="4">
        <f>Raw_Transactions!F411</f>
        <v/>
      </c>
      <c r="G411" s="4">
        <f>Raw_Transactions!G411</f>
        <v/>
      </c>
      <c r="H411" s="4">
        <f>XLOOKUP(B411,Raw_Risk_Profiles!$A:$A,Raw_Risk_Profiles!$B:$B,"Not Found")</f>
        <v/>
      </c>
      <c r="I411" s="4">
        <f>XLOOKUP(B411,Raw_Risk_Profiles!$A:$A,Raw_Risk_Profiles!$C:$C,"Missing")</f>
        <v/>
      </c>
      <c r="J411" s="4">
        <f>XLOOKUP(B411,Raw_Risk_Profiles!$A:$A,Raw_Risk_Profiles!$D:$D,"")</f>
        <v/>
      </c>
      <c r="K411" s="4">
        <f>IFERROR(INDEX(Raw_Risk_Profiles!$E:$E,MATCH(B411,Raw_Risk_Profiles!$A:$A,0)),"Unknown")</f>
        <v/>
      </c>
      <c r="L411" s="4">
        <f>IFERROR(XLOOKUP(A411,Raw_Alerts!$B:$B,Raw_Alerts!$A:$A),"No Alert")</f>
        <v/>
      </c>
      <c r="M411" s="4">
        <f>IFERROR(XLOOKUP(A411,Raw_Alerts!$B:$B,Raw_Alerts!$C:$C),"")</f>
        <v/>
      </c>
      <c r="N411" s="4">
        <f>IFERROR(XLOOKUP(A411,Raw_Alerts!$B:$B,Raw_Alerts!$D:$D),"")</f>
        <v/>
      </c>
      <c r="O411" s="4">
        <f>IFERROR(XLOOKUP(A411,Raw_Alerts!$B:$B,Raw_Alerts!$F:$F),"")</f>
        <v/>
      </c>
      <c r="P411" s="4">
        <f>IF(H411="Not Found","CRITICAL: No Risk Profile",IF(I411="Missing","WARN: Missing KYC",IF(I411="Expired","WARN: KYC Expired",IF(I411="Pending","INFO: KYC Pending","OK"))))</f>
        <v/>
      </c>
    </row>
    <row r="412">
      <c r="A412" s="2">
        <f>Raw_Transactions!A412</f>
        <v/>
      </c>
      <c r="B412" s="2">
        <f>Raw_Transactions!B412</f>
        <v/>
      </c>
      <c r="C412" s="2">
        <f>Raw_Transactions!C412</f>
        <v/>
      </c>
      <c r="D412" s="3">
        <f>Raw_Transactions!D412</f>
        <v/>
      </c>
      <c r="E412" s="2">
        <f>Raw_Transactions!E412</f>
        <v/>
      </c>
      <c r="F412" s="2">
        <f>Raw_Transactions!F412</f>
        <v/>
      </c>
      <c r="G412" s="2">
        <f>Raw_Transactions!G412</f>
        <v/>
      </c>
      <c r="H412" s="2">
        <f>XLOOKUP(B412,Raw_Risk_Profiles!$A:$A,Raw_Risk_Profiles!$B:$B,"Not Found")</f>
        <v/>
      </c>
      <c r="I412" s="2">
        <f>XLOOKUP(B412,Raw_Risk_Profiles!$A:$A,Raw_Risk_Profiles!$C:$C,"Missing")</f>
        <v/>
      </c>
      <c r="J412" s="2">
        <f>XLOOKUP(B412,Raw_Risk_Profiles!$A:$A,Raw_Risk_Profiles!$D:$D,"")</f>
        <v/>
      </c>
      <c r="K412" s="2">
        <f>IFERROR(INDEX(Raw_Risk_Profiles!$E:$E,MATCH(B412,Raw_Risk_Profiles!$A:$A,0)),"Unknown")</f>
        <v/>
      </c>
      <c r="L412" s="2">
        <f>IFERROR(XLOOKUP(A412,Raw_Alerts!$B:$B,Raw_Alerts!$A:$A),"No Alert")</f>
        <v/>
      </c>
      <c r="M412" s="2">
        <f>IFERROR(XLOOKUP(A412,Raw_Alerts!$B:$B,Raw_Alerts!$C:$C),"")</f>
        <v/>
      </c>
      <c r="N412" s="2">
        <f>IFERROR(XLOOKUP(A412,Raw_Alerts!$B:$B,Raw_Alerts!$D:$D),"")</f>
        <v/>
      </c>
      <c r="O412" s="2">
        <f>IFERROR(XLOOKUP(A412,Raw_Alerts!$B:$B,Raw_Alerts!$F:$F),"")</f>
        <v/>
      </c>
      <c r="P412" s="2">
        <f>IF(H412="Not Found","CRITICAL: No Risk Profile",IF(I412="Missing","WARN: Missing KYC",IF(I412="Expired","WARN: KYC Expired",IF(I412="Pending","INFO: KYC Pending","OK"))))</f>
        <v/>
      </c>
    </row>
    <row r="413">
      <c r="A413" s="4">
        <f>Raw_Transactions!A413</f>
        <v/>
      </c>
      <c r="B413" s="4">
        <f>Raw_Transactions!B413</f>
        <v/>
      </c>
      <c r="C413" s="4">
        <f>Raw_Transactions!C413</f>
        <v/>
      </c>
      <c r="D413" s="5">
        <f>Raw_Transactions!D413</f>
        <v/>
      </c>
      <c r="E413" s="4">
        <f>Raw_Transactions!E413</f>
        <v/>
      </c>
      <c r="F413" s="4">
        <f>Raw_Transactions!F413</f>
        <v/>
      </c>
      <c r="G413" s="4">
        <f>Raw_Transactions!G413</f>
        <v/>
      </c>
      <c r="H413" s="4">
        <f>XLOOKUP(B413,Raw_Risk_Profiles!$A:$A,Raw_Risk_Profiles!$B:$B,"Not Found")</f>
        <v/>
      </c>
      <c r="I413" s="4">
        <f>XLOOKUP(B413,Raw_Risk_Profiles!$A:$A,Raw_Risk_Profiles!$C:$C,"Missing")</f>
        <v/>
      </c>
      <c r="J413" s="4">
        <f>XLOOKUP(B413,Raw_Risk_Profiles!$A:$A,Raw_Risk_Profiles!$D:$D,"")</f>
        <v/>
      </c>
      <c r="K413" s="4">
        <f>IFERROR(INDEX(Raw_Risk_Profiles!$E:$E,MATCH(B413,Raw_Risk_Profiles!$A:$A,0)),"Unknown")</f>
        <v/>
      </c>
      <c r="L413" s="4">
        <f>IFERROR(XLOOKUP(A413,Raw_Alerts!$B:$B,Raw_Alerts!$A:$A),"No Alert")</f>
        <v/>
      </c>
      <c r="M413" s="4">
        <f>IFERROR(XLOOKUP(A413,Raw_Alerts!$B:$B,Raw_Alerts!$C:$C),"")</f>
        <v/>
      </c>
      <c r="N413" s="4">
        <f>IFERROR(XLOOKUP(A413,Raw_Alerts!$B:$B,Raw_Alerts!$D:$D),"")</f>
        <v/>
      </c>
      <c r="O413" s="4">
        <f>IFERROR(XLOOKUP(A413,Raw_Alerts!$B:$B,Raw_Alerts!$F:$F),"")</f>
        <v/>
      </c>
      <c r="P413" s="4">
        <f>IF(H413="Not Found","CRITICAL: No Risk Profile",IF(I413="Missing","WARN: Missing KYC",IF(I413="Expired","WARN: KYC Expired",IF(I413="Pending","INFO: KYC Pending","OK"))))</f>
        <v/>
      </c>
    </row>
    <row r="414">
      <c r="A414" s="2">
        <f>Raw_Transactions!A414</f>
        <v/>
      </c>
      <c r="B414" s="2">
        <f>Raw_Transactions!B414</f>
        <v/>
      </c>
      <c r="C414" s="2">
        <f>Raw_Transactions!C414</f>
        <v/>
      </c>
      <c r="D414" s="3">
        <f>Raw_Transactions!D414</f>
        <v/>
      </c>
      <c r="E414" s="2">
        <f>Raw_Transactions!E414</f>
        <v/>
      </c>
      <c r="F414" s="2">
        <f>Raw_Transactions!F414</f>
        <v/>
      </c>
      <c r="G414" s="2">
        <f>Raw_Transactions!G414</f>
        <v/>
      </c>
      <c r="H414" s="2">
        <f>XLOOKUP(B414,Raw_Risk_Profiles!$A:$A,Raw_Risk_Profiles!$B:$B,"Not Found")</f>
        <v/>
      </c>
      <c r="I414" s="2">
        <f>XLOOKUP(B414,Raw_Risk_Profiles!$A:$A,Raw_Risk_Profiles!$C:$C,"Missing")</f>
        <v/>
      </c>
      <c r="J414" s="2">
        <f>XLOOKUP(B414,Raw_Risk_Profiles!$A:$A,Raw_Risk_Profiles!$D:$D,"")</f>
        <v/>
      </c>
      <c r="K414" s="2">
        <f>IFERROR(INDEX(Raw_Risk_Profiles!$E:$E,MATCH(B414,Raw_Risk_Profiles!$A:$A,0)),"Unknown")</f>
        <v/>
      </c>
      <c r="L414" s="2">
        <f>IFERROR(XLOOKUP(A414,Raw_Alerts!$B:$B,Raw_Alerts!$A:$A),"No Alert")</f>
        <v/>
      </c>
      <c r="M414" s="2">
        <f>IFERROR(XLOOKUP(A414,Raw_Alerts!$B:$B,Raw_Alerts!$C:$C),"")</f>
        <v/>
      </c>
      <c r="N414" s="2">
        <f>IFERROR(XLOOKUP(A414,Raw_Alerts!$B:$B,Raw_Alerts!$D:$D),"")</f>
        <v/>
      </c>
      <c r="O414" s="2">
        <f>IFERROR(XLOOKUP(A414,Raw_Alerts!$B:$B,Raw_Alerts!$F:$F),"")</f>
        <v/>
      </c>
      <c r="P414" s="2">
        <f>IF(H414="Not Found","CRITICAL: No Risk Profile",IF(I414="Missing","WARN: Missing KYC",IF(I414="Expired","WARN: KYC Expired",IF(I414="Pending","INFO: KYC Pending","OK"))))</f>
        <v/>
      </c>
    </row>
    <row r="415">
      <c r="A415" s="4">
        <f>Raw_Transactions!A415</f>
        <v/>
      </c>
      <c r="B415" s="4">
        <f>Raw_Transactions!B415</f>
        <v/>
      </c>
      <c r="C415" s="4">
        <f>Raw_Transactions!C415</f>
        <v/>
      </c>
      <c r="D415" s="5">
        <f>Raw_Transactions!D415</f>
        <v/>
      </c>
      <c r="E415" s="4">
        <f>Raw_Transactions!E415</f>
        <v/>
      </c>
      <c r="F415" s="4">
        <f>Raw_Transactions!F415</f>
        <v/>
      </c>
      <c r="G415" s="4">
        <f>Raw_Transactions!G415</f>
        <v/>
      </c>
      <c r="H415" s="4">
        <f>XLOOKUP(B415,Raw_Risk_Profiles!$A:$A,Raw_Risk_Profiles!$B:$B,"Not Found")</f>
        <v/>
      </c>
      <c r="I415" s="4">
        <f>XLOOKUP(B415,Raw_Risk_Profiles!$A:$A,Raw_Risk_Profiles!$C:$C,"Missing")</f>
        <v/>
      </c>
      <c r="J415" s="4">
        <f>XLOOKUP(B415,Raw_Risk_Profiles!$A:$A,Raw_Risk_Profiles!$D:$D,"")</f>
        <v/>
      </c>
      <c r="K415" s="4">
        <f>IFERROR(INDEX(Raw_Risk_Profiles!$E:$E,MATCH(B415,Raw_Risk_Profiles!$A:$A,0)),"Unknown")</f>
        <v/>
      </c>
      <c r="L415" s="4">
        <f>IFERROR(XLOOKUP(A415,Raw_Alerts!$B:$B,Raw_Alerts!$A:$A),"No Alert")</f>
        <v/>
      </c>
      <c r="M415" s="4">
        <f>IFERROR(XLOOKUP(A415,Raw_Alerts!$B:$B,Raw_Alerts!$C:$C),"")</f>
        <v/>
      </c>
      <c r="N415" s="4">
        <f>IFERROR(XLOOKUP(A415,Raw_Alerts!$B:$B,Raw_Alerts!$D:$D),"")</f>
        <v/>
      </c>
      <c r="O415" s="4">
        <f>IFERROR(XLOOKUP(A415,Raw_Alerts!$B:$B,Raw_Alerts!$F:$F),"")</f>
        <v/>
      </c>
      <c r="P415" s="4">
        <f>IF(H415="Not Found","CRITICAL: No Risk Profile",IF(I415="Missing","WARN: Missing KYC",IF(I415="Expired","WARN: KYC Expired",IF(I415="Pending","INFO: KYC Pending","OK"))))</f>
        <v/>
      </c>
    </row>
    <row r="416">
      <c r="A416" s="2">
        <f>Raw_Transactions!A416</f>
        <v/>
      </c>
      <c r="B416" s="2">
        <f>Raw_Transactions!B416</f>
        <v/>
      </c>
      <c r="C416" s="2">
        <f>Raw_Transactions!C416</f>
        <v/>
      </c>
      <c r="D416" s="3">
        <f>Raw_Transactions!D416</f>
        <v/>
      </c>
      <c r="E416" s="2">
        <f>Raw_Transactions!E416</f>
        <v/>
      </c>
      <c r="F416" s="2">
        <f>Raw_Transactions!F416</f>
        <v/>
      </c>
      <c r="G416" s="2">
        <f>Raw_Transactions!G416</f>
        <v/>
      </c>
      <c r="H416" s="2">
        <f>XLOOKUP(B416,Raw_Risk_Profiles!$A:$A,Raw_Risk_Profiles!$B:$B,"Not Found")</f>
        <v/>
      </c>
      <c r="I416" s="2">
        <f>XLOOKUP(B416,Raw_Risk_Profiles!$A:$A,Raw_Risk_Profiles!$C:$C,"Missing")</f>
        <v/>
      </c>
      <c r="J416" s="2">
        <f>XLOOKUP(B416,Raw_Risk_Profiles!$A:$A,Raw_Risk_Profiles!$D:$D,"")</f>
        <v/>
      </c>
      <c r="K416" s="2">
        <f>IFERROR(INDEX(Raw_Risk_Profiles!$E:$E,MATCH(B416,Raw_Risk_Profiles!$A:$A,0)),"Unknown")</f>
        <v/>
      </c>
      <c r="L416" s="2">
        <f>IFERROR(XLOOKUP(A416,Raw_Alerts!$B:$B,Raw_Alerts!$A:$A),"No Alert")</f>
        <v/>
      </c>
      <c r="M416" s="2">
        <f>IFERROR(XLOOKUP(A416,Raw_Alerts!$B:$B,Raw_Alerts!$C:$C),"")</f>
        <v/>
      </c>
      <c r="N416" s="2">
        <f>IFERROR(XLOOKUP(A416,Raw_Alerts!$B:$B,Raw_Alerts!$D:$D),"")</f>
        <v/>
      </c>
      <c r="O416" s="2">
        <f>IFERROR(XLOOKUP(A416,Raw_Alerts!$B:$B,Raw_Alerts!$F:$F),"")</f>
        <v/>
      </c>
      <c r="P416" s="2">
        <f>IF(H416="Not Found","CRITICAL: No Risk Profile",IF(I416="Missing","WARN: Missing KYC",IF(I416="Expired","WARN: KYC Expired",IF(I416="Pending","INFO: KYC Pending","OK"))))</f>
        <v/>
      </c>
    </row>
    <row r="417">
      <c r="A417" s="4">
        <f>Raw_Transactions!A417</f>
        <v/>
      </c>
      <c r="B417" s="4">
        <f>Raw_Transactions!B417</f>
        <v/>
      </c>
      <c r="C417" s="4">
        <f>Raw_Transactions!C417</f>
        <v/>
      </c>
      <c r="D417" s="5">
        <f>Raw_Transactions!D417</f>
        <v/>
      </c>
      <c r="E417" s="4">
        <f>Raw_Transactions!E417</f>
        <v/>
      </c>
      <c r="F417" s="4">
        <f>Raw_Transactions!F417</f>
        <v/>
      </c>
      <c r="G417" s="4">
        <f>Raw_Transactions!G417</f>
        <v/>
      </c>
      <c r="H417" s="4">
        <f>XLOOKUP(B417,Raw_Risk_Profiles!$A:$A,Raw_Risk_Profiles!$B:$B,"Not Found")</f>
        <v/>
      </c>
      <c r="I417" s="4">
        <f>XLOOKUP(B417,Raw_Risk_Profiles!$A:$A,Raw_Risk_Profiles!$C:$C,"Missing")</f>
        <v/>
      </c>
      <c r="J417" s="4">
        <f>XLOOKUP(B417,Raw_Risk_Profiles!$A:$A,Raw_Risk_Profiles!$D:$D,"")</f>
        <v/>
      </c>
      <c r="K417" s="4">
        <f>IFERROR(INDEX(Raw_Risk_Profiles!$E:$E,MATCH(B417,Raw_Risk_Profiles!$A:$A,0)),"Unknown")</f>
        <v/>
      </c>
      <c r="L417" s="4">
        <f>IFERROR(XLOOKUP(A417,Raw_Alerts!$B:$B,Raw_Alerts!$A:$A),"No Alert")</f>
        <v/>
      </c>
      <c r="M417" s="4">
        <f>IFERROR(XLOOKUP(A417,Raw_Alerts!$B:$B,Raw_Alerts!$C:$C),"")</f>
        <v/>
      </c>
      <c r="N417" s="4">
        <f>IFERROR(XLOOKUP(A417,Raw_Alerts!$B:$B,Raw_Alerts!$D:$D),"")</f>
        <v/>
      </c>
      <c r="O417" s="4">
        <f>IFERROR(XLOOKUP(A417,Raw_Alerts!$B:$B,Raw_Alerts!$F:$F),"")</f>
        <v/>
      </c>
      <c r="P417" s="4">
        <f>IF(H417="Not Found","CRITICAL: No Risk Profile",IF(I417="Missing","WARN: Missing KYC",IF(I417="Expired","WARN: KYC Expired",IF(I417="Pending","INFO: KYC Pending","OK"))))</f>
        <v/>
      </c>
    </row>
    <row r="418">
      <c r="A418" s="2">
        <f>Raw_Transactions!A418</f>
        <v/>
      </c>
      <c r="B418" s="2">
        <f>Raw_Transactions!B418</f>
        <v/>
      </c>
      <c r="C418" s="2">
        <f>Raw_Transactions!C418</f>
        <v/>
      </c>
      <c r="D418" s="3">
        <f>Raw_Transactions!D418</f>
        <v/>
      </c>
      <c r="E418" s="2">
        <f>Raw_Transactions!E418</f>
        <v/>
      </c>
      <c r="F418" s="2">
        <f>Raw_Transactions!F418</f>
        <v/>
      </c>
      <c r="G418" s="2">
        <f>Raw_Transactions!G418</f>
        <v/>
      </c>
      <c r="H418" s="2">
        <f>XLOOKUP(B418,Raw_Risk_Profiles!$A:$A,Raw_Risk_Profiles!$B:$B,"Not Found")</f>
        <v/>
      </c>
      <c r="I418" s="2">
        <f>XLOOKUP(B418,Raw_Risk_Profiles!$A:$A,Raw_Risk_Profiles!$C:$C,"Missing")</f>
        <v/>
      </c>
      <c r="J418" s="2">
        <f>XLOOKUP(B418,Raw_Risk_Profiles!$A:$A,Raw_Risk_Profiles!$D:$D,"")</f>
        <v/>
      </c>
      <c r="K418" s="2">
        <f>IFERROR(INDEX(Raw_Risk_Profiles!$E:$E,MATCH(B418,Raw_Risk_Profiles!$A:$A,0)),"Unknown")</f>
        <v/>
      </c>
      <c r="L418" s="2">
        <f>IFERROR(XLOOKUP(A418,Raw_Alerts!$B:$B,Raw_Alerts!$A:$A),"No Alert")</f>
        <v/>
      </c>
      <c r="M418" s="2">
        <f>IFERROR(XLOOKUP(A418,Raw_Alerts!$B:$B,Raw_Alerts!$C:$C),"")</f>
        <v/>
      </c>
      <c r="N418" s="2">
        <f>IFERROR(XLOOKUP(A418,Raw_Alerts!$B:$B,Raw_Alerts!$D:$D),"")</f>
        <v/>
      </c>
      <c r="O418" s="2">
        <f>IFERROR(XLOOKUP(A418,Raw_Alerts!$B:$B,Raw_Alerts!$F:$F),"")</f>
        <v/>
      </c>
      <c r="P418" s="2">
        <f>IF(H418="Not Found","CRITICAL: No Risk Profile",IF(I418="Missing","WARN: Missing KYC",IF(I418="Expired","WARN: KYC Expired",IF(I418="Pending","INFO: KYC Pending","OK"))))</f>
        <v/>
      </c>
    </row>
    <row r="419">
      <c r="A419" s="4">
        <f>Raw_Transactions!A419</f>
        <v/>
      </c>
      <c r="B419" s="4">
        <f>Raw_Transactions!B419</f>
        <v/>
      </c>
      <c r="C419" s="4">
        <f>Raw_Transactions!C419</f>
        <v/>
      </c>
      <c r="D419" s="5">
        <f>Raw_Transactions!D419</f>
        <v/>
      </c>
      <c r="E419" s="4">
        <f>Raw_Transactions!E419</f>
        <v/>
      </c>
      <c r="F419" s="4">
        <f>Raw_Transactions!F419</f>
        <v/>
      </c>
      <c r="G419" s="4">
        <f>Raw_Transactions!G419</f>
        <v/>
      </c>
      <c r="H419" s="4">
        <f>XLOOKUP(B419,Raw_Risk_Profiles!$A:$A,Raw_Risk_Profiles!$B:$B,"Not Found")</f>
        <v/>
      </c>
      <c r="I419" s="4">
        <f>XLOOKUP(B419,Raw_Risk_Profiles!$A:$A,Raw_Risk_Profiles!$C:$C,"Missing")</f>
        <v/>
      </c>
      <c r="J419" s="4">
        <f>XLOOKUP(B419,Raw_Risk_Profiles!$A:$A,Raw_Risk_Profiles!$D:$D,"")</f>
        <v/>
      </c>
      <c r="K419" s="4">
        <f>IFERROR(INDEX(Raw_Risk_Profiles!$E:$E,MATCH(B419,Raw_Risk_Profiles!$A:$A,0)),"Unknown")</f>
        <v/>
      </c>
      <c r="L419" s="4">
        <f>IFERROR(XLOOKUP(A419,Raw_Alerts!$B:$B,Raw_Alerts!$A:$A),"No Alert")</f>
        <v/>
      </c>
      <c r="M419" s="4">
        <f>IFERROR(XLOOKUP(A419,Raw_Alerts!$B:$B,Raw_Alerts!$C:$C),"")</f>
        <v/>
      </c>
      <c r="N419" s="4">
        <f>IFERROR(XLOOKUP(A419,Raw_Alerts!$B:$B,Raw_Alerts!$D:$D),"")</f>
        <v/>
      </c>
      <c r="O419" s="4">
        <f>IFERROR(XLOOKUP(A419,Raw_Alerts!$B:$B,Raw_Alerts!$F:$F),"")</f>
        <v/>
      </c>
      <c r="P419" s="4">
        <f>IF(H419="Not Found","CRITICAL: No Risk Profile",IF(I419="Missing","WARN: Missing KYC",IF(I419="Expired","WARN: KYC Expired",IF(I419="Pending","INFO: KYC Pending","OK"))))</f>
        <v/>
      </c>
    </row>
    <row r="420">
      <c r="A420" s="2">
        <f>Raw_Transactions!A420</f>
        <v/>
      </c>
      <c r="B420" s="2">
        <f>Raw_Transactions!B420</f>
        <v/>
      </c>
      <c r="C420" s="2">
        <f>Raw_Transactions!C420</f>
        <v/>
      </c>
      <c r="D420" s="3">
        <f>Raw_Transactions!D420</f>
        <v/>
      </c>
      <c r="E420" s="2">
        <f>Raw_Transactions!E420</f>
        <v/>
      </c>
      <c r="F420" s="2">
        <f>Raw_Transactions!F420</f>
        <v/>
      </c>
      <c r="G420" s="2">
        <f>Raw_Transactions!G420</f>
        <v/>
      </c>
      <c r="H420" s="2">
        <f>XLOOKUP(B420,Raw_Risk_Profiles!$A:$A,Raw_Risk_Profiles!$B:$B,"Not Found")</f>
        <v/>
      </c>
      <c r="I420" s="2">
        <f>XLOOKUP(B420,Raw_Risk_Profiles!$A:$A,Raw_Risk_Profiles!$C:$C,"Missing")</f>
        <v/>
      </c>
      <c r="J420" s="2">
        <f>XLOOKUP(B420,Raw_Risk_Profiles!$A:$A,Raw_Risk_Profiles!$D:$D,"")</f>
        <v/>
      </c>
      <c r="K420" s="2">
        <f>IFERROR(INDEX(Raw_Risk_Profiles!$E:$E,MATCH(B420,Raw_Risk_Profiles!$A:$A,0)),"Unknown")</f>
        <v/>
      </c>
      <c r="L420" s="2">
        <f>IFERROR(XLOOKUP(A420,Raw_Alerts!$B:$B,Raw_Alerts!$A:$A),"No Alert")</f>
        <v/>
      </c>
      <c r="M420" s="2">
        <f>IFERROR(XLOOKUP(A420,Raw_Alerts!$B:$B,Raw_Alerts!$C:$C),"")</f>
        <v/>
      </c>
      <c r="N420" s="2">
        <f>IFERROR(XLOOKUP(A420,Raw_Alerts!$B:$B,Raw_Alerts!$D:$D),"")</f>
        <v/>
      </c>
      <c r="O420" s="2">
        <f>IFERROR(XLOOKUP(A420,Raw_Alerts!$B:$B,Raw_Alerts!$F:$F),"")</f>
        <v/>
      </c>
      <c r="P420" s="2">
        <f>IF(H420="Not Found","CRITICAL: No Risk Profile",IF(I420="Missing","WARN: Missing KYC",IF(I420="Expired","WARN: KYC Expired",IF(I420="Pending","INFO: KYC Pending","OK"))))</f>
        <v/>
      </c>
    </row>
    <row r="421">
      <c r="A421" s="4">
        <f>Raw_Transactions!A421</f>
        <v/>
      </c>
      <c r="B421" s="4">
        <f>Raw_Transactions!B421</f>
        <v/>
      </c>
      <c r="C421" s="4">
        <f>Raw_Transactions!C421</f>
        <v/>
      </c>
      <c r="D421" s="5">
        <f>Raw_Transactions!D421</f>
        <v/>
      </c>
      <c r="E421" s="4">
        <f>Raw_Transactions!E421</f>
        <v/>
      </c>
      <c r="F421" s="4">
        <f>Raw_Transactions!F421</f>
        <v/>
      </c>
      <c r="G421" s="4">
        <f>Raw_Transactions!G421</f>
        <v/>
      </c>
      <c r="H421" s="4">
        <f>XLOOKUP(B421,Raw_Risk_Profiles!$A:$A,Raw_Risk_Profiles!$B:$B,"Not Found")</f>
        <v/>
      </c>
      <c r="I421" s="4">
        <f>XLOOKUP(B421,Raw_Risk_Profiles!$A:$A,Raw_Risk_Profiles!$C:$C,"Missing")</f>
        <v/>
      </c>
      <c r="J421" s="4">
        <f>XLOOKUP(B421,Raw_Risk_Profiles!$A:$A,Raw_Risk_Profiles!$D:$D,"")</f>
        <v/>
      </c>
      <c r="K421" s="4">
        <f>IFERROR(INDEX(Raw_Risk_Profiles!$E:$E,MATCH(B421,Raw_Risk_Profiles!$A:$A,0)),"Unknown")</f>
        <v/>
      </c>
      <c r="L421" s="4">
        <f>IFERROR(XLOOKUP(A421,Raw_Alerts!$B:$B,Raw_Alerts!$A:$A),"No Alert")</f>
        <v/>
      </c>
      <c r="M421" s="4">
        <f>IFERROR(XLOOKUP(A421,Raw_Alerts!$B:$B,Raw_Alerts!$C:$C),"")</f>
        <v/>
      </c>
      <c r="N421" s="4">
        <f>IFERROR(XLOOKUP(A421,Raw_Alerts!$B:$B,Raw_Alerts!$D:$D),"")</f>
        <v/>
      </c>
      <c r="O421" s="4">
        <f>IFERROR(XLOOKUP(A421,Raw_Alerts!$B:$B,Raw_Alerts!$F:$F),"")</f>
        <v/>
      </c>
      <c r="P421" s="4">
        <f>IF(H421="Not Found","CRITICAL: No Risk Profile",IF(I421="Missing","WARN: Missing KYC",IF(I421="Expired","WARN: KYC Expired",IF(I421="Pending","INFO: KYC Pending","OK"))))</f>
        <v/>
      </c>
    </row>
    <row r="422">
      <c r="A422" s="2">
        <f>Raw_Transactions!A422</f>
        <v/>
      </c>
      <c r="B422" s="2">
        <f>Raw_Transactions!B422</f>
        <v/>
      </c>
      <c r="C422" s="2">
        <f>Raw_Transactions!C422</f>
        <v/>
      </c>
      <c r="D422" s="3">
        <f>Raw_Transactions!D422</f>
        <v/>
      </c>
      <c r="E422" s="2">
        <f>Raw_Transactions!E422</f>
        <v/>
      </c>
      <c r="F422" s="2">
        <f>Raw_Transactions!F422</f>
        <v/>
      </c>
      <c r="G422" s="2">
        <f>Raw_Transactions!G422</f>
        <v/>
      </c>
      <c r="H422" s="2">
        <f>XLOOKUP(B422,Raw_Risk_Profiles!$A:$A,Raw_Risk_Profiles!$B:$B,"Not Found")</f>
        <v/>
      </c>
      <c r="I422" s="2">
        <f>XLOOKUP(B422,Raw_Risk_Profiles!$A:$A,Raw_Risk_Profiles!$C:$C,"Missing")</f>
        <v/>
      </c>
      <c r="J422" s="2">
        <f>XLOOKUP(B422,Raw_Risk_Profiles!$A:$A,Raw_Risk_Profiles!$D:$D,"")</f>
        <v/>
      </c>
      <c r="K422" s="2">
        <f>IFERROR(INDEX(Raw_Risk_Profiles!$E:$E,MATCH(B422,Raw_Risk_Profiles!$A:$A,0)),"Unknown")</f>
        <v/>
      </c>
      <c r="L422" s="2">
        <f>IFERROR(XLOOKUP(A422,Raw_Alerts!$B:$B,Raw_Alerts!$A:$A),"No Alert")</f>
        <v/>
      </c>
      <c r="M422" s="2">
        <f>IFERROR(XLOOKUP(A422,Raw_Alerts!$B:$B,Raw_Alerts!$C:$C),"")</f>
        <v/>
      </c>
      <c r="N422" s="2">
        <f>IFERROR(XLOOKUP(A422,Raw_Alerts!$B:$B,Raw_Alerts!$D:$D),"")</f>
        <v/>
      </c>
      <c r="O422" s="2">
        <f>IFERROR(XLOOKUP(A422,Raw_Alerts!$B:$B,Raw_Alerts!$F:$F),"")</f>
        <v/>
      </c>
      <c r="P422" s="2">
        <f>IF(H422="Not Found","CRITICAL: No Risk Profile",IF(I422="Missing","WARN: Missing KYC",IF(I422="Expired","WARN: KYC Expired",IF(I422="Pending","INFO: KYC Pending","OK"))))</f>
        <v/>
      </c>
    </row>
    <row r="423">
      <c r="A423" s="4">
        <f>Raw_Transactions!A423</f>
        <v/>
      </c>
      <c r="B423" s="4">
        <f>Raw_Transactions!B423</f>
        <v/>
      </c>
      <c r="C423" s="4">
        <f>Raw_Transactions!C423</f>
        <v/>
      </c>
      <c r="D423" s="5">
        <f>Raw_Transactions!D423</f>
        <v/>
      </c>
      <c r="E423" s="4">
        <f>Raw_Transactions!E423</f>
        <v/>
      </c>
      <c r="F423" s="4">
        <f>Raw_Transactions!F423</f>
        <v/>
      </c>
      <c r="G423" s="4">
        <f>Raw_Transactions!G423</f>
        <v/>
      </c>
      <c r="H423" s="4">
        <f>XLOOKUP(B423,Raw_Risk_Profiles!$A:$A,Raw_Risk_Profiles!$B:$B,"Not Found")</f>
        <v/>
      </c>
      <c r="I423" s="4">
        <f>XLOOKUP(B423,Raw_Risk_Profiles!$A:$A,Raw_Risk_Profiles!$C:$C,"Missing")</f>
        <v/>
      </c>
      <c r="J423" s="4">
        <f>XLOOKUP(B423,Raw_Risk_Profiles!$A:$A,Raw_Risk_Profiles!$D:$D,"")</f>
        <v/>
      </c>
      <c r="K423" s="4">
        <f>IFERROR(INDEX(Raw_Risk_Profiles!$E:$E,MATCH(B423,Raw_Risk_Profiles!$A:$A,0)),"Unknown")</f>
        <v/>
      </c>
      <c r="L423" s="4">
        <f>IFERROR(XLOOKUP(A423,Raw_Alerts!$B:$B,Raw_Alerts!$A:$A),"No Alert")</f>
        <v/>
      </c>
      <c r="M423" s="4">
        <f>IFERROR(XLOOKUP(A423,Raw_Alerts!$B:$B,Raw_Alerts!$C:$C),"")</f>
        <v/>
      </c>
      <c r="N423" s="4">
        <f>IFERROR(XLOOKUP(A423,Raw_Alerts!$B:$B,Raw_Alerts!$D:$D),"")</f>
        <v/>
      </c>
      <c r="O423" s="4">
        <f>IFERROR(XLOOKUP(A423,Raw_Alerts!$B:$B,Raw_Alerts!$F:$F),"")</f>
        <v/>
      </c>
      <c r="P423" s="4">
        <f>IF(H423="Not Found","CRITICAL: No Risk Profile",IF(I423="Missing","WARN: Missing KYC",IF(I423="Expired","WARN: KYC Expired",IF(I423="Pending","INFO: KYC Pending","OK"))))</f>
        <v/>
      </c>
    </row>
    <row r="424">
      <c r="A424" s="2">
        <f>Raw_Transactions!A424</f>
        <v/>
      </c>
      <c r="B424" s="2">
        <f>Raw_Transactions!B424</f>
        <v/>
      </c>
      <c r="C424" s="2">
        <f>Raw_Transactions!C424</f>
        <v/>
      </c>
      <c r="D424" s="3">
        <f>Raw_Transactions!D424</f>
        <v/>
      </c>
      <c r="E424" s="2">
        <f>Raw_Transactions!E424</f>
        <v/>
      </c>
      <c r="F424" s="2">
        <f>Raw_Transactions!F424</f>
        <v/>
      </c>
      <c r="G424" s="2">
        <f>Raw_Transactions!G424</f>
        <v/>
      </c>
      <c r="H424" s="2">
        <f>XLOOKUP(B424,Raw_Risk_Profiles!$A:$A,Raw_Risk_Profiles!$B:$B,"Not Found")</f>
        <v/>
      </c>
      <c r="I424" s="2">
        <f>XLOOKUP(B424,Raw_Risk_Profiles!$A:$A,Raw_Risk_Profiles!$C:$C,"Missing")</f>
        <v/>
      </c>
      <c r="J424" s="2">
        <f>XLOOKUP(B424,Raw_Risk_Profiles!$A:$A,Raw_Risk_Profiles!$D:$D,"")</f>
        <v/>
      </c>
      <c r="K424" s="2">
        <f>IFERROR(INDEX(Raw_Risk_Profiles!$E:$E,MATCH(B424,Raw_Risk_Profiles!$A:$A,0)),"Unknown")</f>
        <v/>
      </c>
      <c r="L424" s="2">
        <f>IFERROR(XLOOKUP(A424,Raw_Alerts!$B:$B,Raw_Alerts!$A:$A),"No Alert")</f>
        <v/>
      </c>
      <c r="M424" s="2">
        <f>IFERROR(XLOOKUP(A424,Raw_Alerts!$B:$B,Raw_Alerts!$C:$C),"")</f>
        <v/>
      </c>
      <c r="N424" s="2">
        <f>IFERROR(XLOOKUP(A424,Raw_Alerts!$B:$B,Raw_Alerts!$D:$D),"")</f>
        <v/>
      </c>
      <c r="O424" s="2">
        <f>IFERROR(XLOOKUP(A424,Raw_Alerts!$B:$B,Raw_Alerts!$F:$F),"")</f>
        <v/>
      </c>
      <c r="P424" s="2">
        <f>IF(H424="Not Found","CRITICAL: No Risk Profile",IF(I424="Missing","WARN: Missing KYC",IF(I424="Expired","WARN: KYC Expired",IF(I424="Pending","INFO: KYC Pending","OK"))))</f>
        <v/>
      </c>
    </row>
    <row r="425">
      <c r="A425" s="4">
        <f>Raw_Transactions!A425</f>
        <v/>
      </c>
      <c r="B425" s="4">
        <f>Raw_Transactions!B425</f>
        <v/>
      </c>
      <c r="C425" s="4">
        <f>Raw_Transactions!C425</f>
        <v/>
      </c>
      <c r="D425" s="5">
        <f>Raw_Transactions!D425</f>
        <v/>
      </c>
      <c r="E425" s="4">
        <f>Raw_Transactions!E425</f>
        <v/>
      </c>
      <c r="F425" s="4">
        <f>Raw_Transactions!F425</f>
        <v/>
      </c>
      <c r="G425" s="4">
        <f>Raw_Transactions!G425</f>
        <v/>
      </c>
      <c r="H425" s="4">
        <f>XLOOKUP(B425,Raw_Risk_Profiles!$A:$A,Raw_Risk_Profiles!$B:$B,"Not Found")</f>
        <v/>
      </c>
      <c r="I425" s="4">
        <f>XLOOKUP(B425,Raw_Risk_Profiles!$A:$A,Raw_Risk_Profiles!$C:$C,"Missing")</f>
        <v/>
      </c>
      <c r="J425" s="4">
        <f>XLOOKUP(B425,Raw_Risk_Profiles!$A:$A,Raw_Risk_Profiles!$D:$D,"")</f>
        <v/>
      </c>
      <c r="K425" s="4">
        <f>IFERROR(INDEX(Raw_Risk_Profiles!$E:$E,MATCH(B425,Raw_Risk_Profiles!$A:$A,0)),"Unknown")</f>
        <v/>
      </c>
      <c r="L425" s="4">
        <f>IFERROR(XLOOKUP(A425,Raw_Alerts!$B:$B,Raw_Alerts!$A:$A),"No Alert")</f>
        <v/>
      </c>
      <c r="M425" s="4">
        <f>IFERROR(XLOOKUP(A425,Raw_Alerts!$B:$B,Raw_Alerts!$C:$C),"")</f>
        <v/>
      </c>
      <c r="N425" s="4">
        <f>IFERROR(XLOOKUP(A425,Raw_Alerts!$B:$B,Raw_Alerts!$D:$D),"")</f>
        <v/>
      </c>
      <c r="O425" s="4">
        <f>IFERROR(XLOOKUP(A425,Raw_Alerts!$B:$B,Raw_Alerts!$F:$F),"")</f>
        <v/>
      </c>
      <c r="P425" s="4">
        <f>IF(H425="Not Found","CRITICAL: No Risk Profile",IF(I425="Missing","WARN: Missing KYC",IF(I425="Expired","WARN: KYC Expired",IF(I425="Pending","INFO: KYC Pending","OK"))))</f>
        <v/>
      </c>
    </row>
    <row r="426">
      <c r="A426" s="2">
        <f>Raw_Transactions!A426</f>
        <v/>
      </c>
      <c r="B426" s="2">
        <f>Raw_Transactions!B426</f>
        <v/>
      </c>
      <c r="C426" s="2">
        <f>Raw_Transactions!C426</f>
        <v/>
      </c>
      <c r="D426" s="3">
        <f>Raw_Transactions!D426</f>
        <v/>
      </c>
      <c r="E426" s="2">
        <f>Raw_Transactions!E426</f>
        <v/>
      </c>
      <c r="F426" s="2">
        <f>Raw_Transactions!F426</f>
        <v/>
      </c>
      <c r="G426" s="2">
        <f>Raw_Transactions!G426</f>
        <v/>
      </c>
      <c r="H426" s="2">
        <f>XLOOKUP(B426,Raw_Risk_Profiles!$A:$A,Raw_Risk_Profiles!$B:$B,"Not Found")</f>
        <v/>
      </c>
      <c r="I426" s="2">
        <f>XLOOKUP(B426,Raw_Risk_Profiles!$A:$A,Raw_Risk_Profiles!$C:$C,"Missing")</f>
        <v/>
      </c>
      <c r="J426" s="2">
        <f>XLOOKUP(B426,Raw_Risk_Profiles!$A:$A,Raw_Risk_Profiles!$D:$D,"")</f>
        <v/>
      </c>
      <c r="K426" s="2">
        <f>IFERROR(INDEX(Raw_Risk_Profiles!$E:$E,MATCH(B426,Raw_Risk_Profiles!$A:$A,0)),"Unknown")</f>
        <v/>
      </c>
      <c r="L426" s="2">
        <f>IFERROR(XLOOKUP(A426,Raw_Alerts!$B:$B,Raw_Alerts!$A:$A),"No Alert")</f>
        <v/>
      </c>
      <c r="M426" s="2">
        <f>IFERROR(XLOOKUP(A426,Raw_Alerts!$B:$B,Raw_Alerts!$C:$C),"")</f>
        <v/>
      </c>
      <c r="N426" s="2">
        <f>IFERROR(XLOOKUP(A426,Raw_Alerts!$B:$B,Raw_Alerts!$D:$D),"")</f>
        <v/>
      </c>
      <c r="O426" s="2">
        <f>IFERROR(XLOOKUP(A426,Raw_Alerts!$B:$B,Raw_Alerts!$F:$F),"")</f>
        <v/>
      </c>
      <c r="P426" s="2">
        <f>IF(H426="Not Found","CRITICAL: No Risk Profile",IF(I426="Missing","WARN: Missing KYC",IF(I426="Expired","WARN: KYC Expired",IF(I426="Pending","INFO: KYC Pending","OK"))))</f>
        <v/>
      </c>
    </row>
    <row r="427">
      <c r="A427" s="4">
        <f>Raw_Transactions!A427</f>
        <v/>
      </c>
      <c r="B427" s="4">
        <f>Raw_Transactions!B427</f>
        <v/>
      </c>
      <c r="C427" s="4">
        <f>Raw_Transactions!C427</f>
        <v/>
      </c>
      <c r="D427" s="5">
        <f>Raw_Transactions!D427</f>
        <v/>
      </c>
      <c r="E427" s="4">
        <f>Raw_Transactions!E427</f>
        <v/>
      </c>
      <c r="F427" s="4">
        <f>Raw_Transactions!F427</f>
        <v/>
      </c>
      <c r="G427" s="4">
        <f>Raw_Transactions!G427</f>
        <v/>
      </c>
      <c r="H427" s="4">
        <f>XLOOKUP(B427,Raw_Risk_Profiles!$A:$A,Raw_Risk_Profiles!$B:$B,"Not Found")</f>
        <v/>
      </c>
      <c r="I427" s="4">
        <f>XLOOKUP(B427,Raw_Risk_Profiles!$A:$A,Raw_Risk_Profiles!$C:$C,"Missing")</f>
        <v/>
      </c>
      <c r="J427" s="4">
        <f>XLOOKUP(B427,Raw_Risk_Profiles!$A:$A,Raw_Risk_Profiles!$D:$D,"")</f>
        <v/>
      </c>
      <c r="K427" s="4">
        <f>IFERROR(INDEX(Raw_Risk_Profiles!$E:$E,MATCH(B427,Raw_Risk_Profiles!$A:$A,0)),"Unknown")</f>
        <v/>
      </c>
      <c r="L427" s="4">
        <f>IFERROR(XLOOKUP(A427,Raw_Alerts!$B:$B,Raw_Alerts!$A:$A),"No Alert")</f>
        <v/>
      </c>
      <c r="M427" s="4">
        <f>IFERROR(XLOOKUP(A427,Raw_Alerts!$B:$B,Raw_Alerts!$C:$C),"")</f>
        <v/>
      </c>
      <c r="N427" s="4">
        <f>IFERROR(XLOOKUP(A427,Raw_Alerts!$B:$B,Raw_Alerts!$D:$D),"")</f>
        <v/>
      </c>
      <c r="O427" s="4">
        <f>IFERROR(XLOOKUP(A427,Raw_Alerts!$B:$B,Raw_Alerts!$F:$F),"")</f>
        <v/>
      </c>
      <c r="P427" s="4">
        <f>IF(H427="Not Found","CRITICAL: No Risk Profile",IF(I427="Missing","WARN: Missing KYC",IF(I427="Expired","WARN: KYC Expired",IF(I427="Pending","INFO: KYC Pending","OK"))))</f>
        <v/>
      </c>
    </row>
    <row r="428">
      <c r="A428" s="2">
        <f>Raw_Transactions!A428</f>
        <v/>
      </c>
      <c r="B428" s="2">
        <f>Raw_Transactions!B428</f>
        <v/>
      </c>
      <c r="C428" s="2">
        <f>Raw_Transactions!C428</f>
        <v/>
      </c>
      <c r="D428" s="3">
        <f>Raw_Transactions!D428</f>
        <v/>
      </c>
      <c r="E428" s="2">
        <f>Raw_Transactions!E428</f>
        <v/>
      </c>
      <c r="F428" s="2">
        <f>Raw_Transactions!F428</f>
        <v/>
      </c>
      <c r="G428" s="2">
        <f>Raw_Transactions!G428</f>
        <v/>
      </c>
      <c r="H428" s="2">
        <f>XLOOKUP(B428,Raw_Risk_Profiles!$A:$A,Raw_Risk_Profiles!$B:$B,"Not Found")</f>
        <v/>
      </c>
      <c r="I428" s="2">
        <f>XLOOKUP(B428,Raw_Risk_Profiles!$A:$A,Raw_Risk_Profiles!$C:$C,"Missing")</f>
        <v/>
      </c>
      <c r="J428" s="2">
        <f>XLOOKUP(B428,Raw_Risk_Profiles!$A:$A,Raw_Risk_Profiles!$D:$D,"")</f>
        <v/>
      </c>
      <c r="K428" s="2">
        <f>IFERROR(INDEX(Raw_Risk_Profiles!$E:$E,MATCH(B428,Raw_Risk_Profiles!$A:$A,0)),"Unknown")</f>
        <v/>
      </c>
      <c r="L428" s="2">
        <f>IFERROR(XLOOKUP(A428,Raw_Alerts!$B:$B,Raw_Alerts!$A:$A),"No Alert")</f>
        <v/>
      </c>
      <c r="M428" s="2">
        <f>IFERROR(XLOOKUP(A428,Raw_Alerts!$B:$B,Raw_Alerts!$C:$C),"")</f>
        <v/>
      </c>
      <c r="N428" s="2">
        <f>IFERROR(XLOOKUP(A428,Raw_Alerts!$B:$B,Raw_Alerts!$D:$D),"")</f>
        <v/>
      </c>
      <c r="O428" s="2">
        <f>IFERROR(XLOOKUP(A428,Raw_Alerts!$B:$B,Raw_Alerts!$F:$F),"")</f>
        <v/>
      </c>
      <c r="P428" s="2">
        <f>IF(H428="Not Found","CRITICAL: No Risk Profile",IF(I428="Missing","WARN: Missing KYC",IF(I428="Expired","WARN: KYC Expired",IF(I428="Pending","INFO: KYC Pending","OK"))))</f>
        <v/>
      </c>
    </row>
    <row r="429">
      <c r="A429" s="4">
        <f>Raw_Transactions!A429</f>
        <v/>
      </c>
      <c r="B429" s="4">
        <f>Raw_Transactions!B429</f>
        <v/>
      </c>
      <c r="C429" s="4">
        <f>Raw_Transactions!C429</f>
        <v/>
      </c>
      <c r="D429" s="5">
        <f>Raw_Transactions!D429</f>
        <v/>
      </c>
      <c r="E429" s="4">
        <f>Raw_Transactions!E429</f>
        <v/>
      </c>
      <c r="F429" s="4">
        <f>Raw_Transactions!F429</f>
        <v/>
      </c>
      <c r="G429" s="4">
        <f>Raw_Transactions!G429</f>
        <v/>
      </c>
      <c r="H429" s="4">
        <f>XLOOKUP(B429,Raw_Risk_Profiles!$A:$A,Raw_Risk_Profiles!$B:$B,"Not Found")</f>
        <v/>
      </c>
      <c r="I429" s="4">
        <f>XLOOKUP(B429,Raw_Risk_Profiles!$A:$A,Raw_Risk_Profiles!$C:$C,"Missing")</f>
        <v/>
      </c>
      <c r="J429" s="4">
        <f>XLOOKUP(B429,Raw_Risk_Profiles!$A:$A,Raw_Risk_Profiles!$D:$D,"")</f>
        <v/>
      </c>
      <c r="K429" s="4">
        <f>IFERROR(INDEX(Raw_Risk_Profiles!$E:$E,MATCH(B429,Raw_Risk_Profiles!$A:$A,0)),"Unknown")</f>
        <v/>
      </c>
      <c r="L429" s="4">
        <f>IFERROR(XLOOKUP(A429,Raw_Alerts!$B:$B,Raw_Alerts!$A:$A),"No Alert")</f>
        <v/>
      </c>
      <c r="M429" s="4">
        <f>IFERROR(XLOOKUP(A429,Raw_Alerts!$B:$B,Raw_Alerts!$C:$C),"")</f>
        <v/>
      </c>
      <c r="N429" s="4">
        <f>IFERROR(XLOOKUP(A429,Raw_Alerts!$B:$B,Raw_Alerts!$D:$D),"")</f>
        <v/>
      </c>
      <c r="O429" s="4">
        <f>IFERROR(XLOOKUP(A429,Raw_Alerts!$B:$B,Raw_Alerts!$F:$F),"")</f>
        <v/>
      </c>
      <c r="P429" s="4">
        <f>IF(H429="Not Found","CRITICAL: No Risk Profile",IF(I429="Missing","WARN: Missing KYC",IF(I429="Expired","WARN: KYC Expired",IF(I429="Pending","INFO: KYC Pending","OK"))))</f>
        <v/>
      </c>
    </row>
    <row r="430">
      <c r="A430" s="2">
        <f>Raw_Transactions!A430</f>
        <v/>
      </c>
      <c r="B430" s="2">
        <f>Raw_Transactions!B430</f>
        <v/>
      </c>
      <c r="C430" s="2">
        <f>Raw_Transactions!C430</f>
        <v/>
      </c>
      <c r="D430" s="3">
        <f>Raw_Transactions!D430</f>
        <v/>
      </c>
      <c r="E430" s="2">
        <f>Raw_Transactions!E430</f>
        <v/>
      </c>
      <c r="F430" s="2">
        <f>Raw_Transactions!F430</f>
        <v/>
      </c>
      <c r="G430" s="2">
        <f>Raw_Transactions!G430</f>
        <v/>
      </c>
      <c r="H430" s="2">
        <f>XLOOKUP(B430,Raw_Risk_Profiles!$A:$A,Raw_Risk_Profiles!$B:$B,"Not Found")</f>
        <v/>
      </c>
      <c r="I430" s="2">
        <f>XLOOKUP(B430,Raw_Risk_Profiles!$A:$A,Raw_Risk_Profiles!$C:$C,"Missing")</f>
        <v/>
      </c>
      <c r="J430" s="2">
        <f>XLOOKUP(B430,Raw_Risk_Profiles!$A:$A,Raw_Risk_Profiles!$D:$D,"")</f>
        <v/>
      </c>
      <c r="K430" s="2">
        <f>IFERROR(INDEX(Raw_Risk_Profiles!$E:$E,MATCH(B430,Raw_Risk_Profiles!$A:$A,0)),"Unknown")</f>
        <v/>
      </c>
      <c r="L430" s="2">
        <f>IFERROR(XLOOKUP(A430,Raw_Alerts!$B:$B,Raw_Alerts!$A:$A),"No Alert")</f>
        <v/>
      </c>
      <c r="M430" s="2">
        <f>IFERROR(XLOOKUP(A430,Raw_Alerts!$B:$B,Raw_Alerts!$C:$C),"")</f>
        <v/>
      </c>
      <c r="N430" s="2">
        <f>IFERROR(XLOOKUP(A430,Raw_Alerts!$B:$B,Raw_Alerts!$D:$D),"")</f>
        <v/>
      </c>
      <c r="O430" s="2">
        <f>IFERROR(XLOOKUP(A430,Raw_Alerts!$B:$B,Raw_Alerts!$F:$F),"")</f>
        <v/>
      </c>
      <c r="P430" s="2">
        <f>IF(H430="Not Found","CRITICAL: No Risk Profile",IF(I430="Missing","WARN: Missing KYC",IF(I430="Expired","WARN: KYC Expired",IF(I430="Pending","INFO: KYC Pending","OK"))))</f>
        <v/>
      </c>
    </row>
    <row r="431">
      <c r="A431" s="4">
        <f>Raw_Transactions!A431</f>
        <v/>
      </c>
      <c r="B431" s="4">
        <f>Raw_Transactions!B431</f>
        <v/>
      </c>
      <c r="C431" s="4">
        <f>Raw_Transactions!C431</f>
        <v/>
      </c>
      <c r="D431" s="5">
        <f>Raw_Transactions!D431</f>
        <v/>
      </c>
      <c r="E431" s="4">
        <f>Raw_Transactions!E431</f>
        <v/>
      </c>
      <c r="F431" s="4">
        <f>Raw_Transactions!F431</f>
        <v/>
      </c>
      <c r="G431" s="4">
        <f>Raw_Transactions!G431</f>
        <v/>
      </c>
      <c r="H431" s="4">
        <f>XLOOKUP(B431,Raw_Risk_Profiles!$A:$A,Raw_Risk_Profiles!$B:$B,"Not Found")</f>
        <v/>
      </c>
      <c r="I431" s="4">
        <f>XLOOKUP(B431,Raw_Risk_Profiles!$A:$A,Raw_Risk_Profiles!$C:$C,"Missing")</f>
        <v/>
      </c>
      <c r="J431" s="4">
        <f>XLOOKUP(B431,Raw_Risk_Profiles!$A:$A,Raw_Risk_Profiles!$D:$D,"")</f>
        <v/>
      </c>
      <c r="K431" s="4">
        <f>IFERROR(INDEX(Raw_Risk_Profiles!$E:$E,MATCH(B431,Raw_Risk_Profiles!$A:$A,0)),"Unknown")</f>
        <v/>
      </c>
      <c r="L431" s="4">
        <f>IFERROR(XLOOKUP(A431,Raw_Alerts!$B:$B,Raw_Alerts!$A:$A),"No Alert")</f>
        <v/>
      </c>
      <c r="M431" s="4">
        <f>IFERROR(XLOOKUP(A431,Raw_Alerts!$B:$B,Raw_Alerts!$C:$C),"")</f>
        <v/>
      </c>
      <c r="N431" s="4">
        <f>IFERROR(XLOOKUP(A431,Raw_Alerts!$B:$B,Raw_Alerts!$D:$D),"")</f>
        <v/>
      </c>
      <c r="O431" s="4">
        <f>IFERROR(XLOOKUP(A431,Raw_Alerts!$B:$B,Raw_Alerts!$F:$F),"")</f>
        <v/>
      </c>
      <c r="P431" s="4">
        <f>IF(H431="Not Found","CRITICAL: No Risk Profile",IF(I431="Missing","WARN: Missing KYC",IF(I431="Expired","WARN: KYC Expired",IF(I431="Pending","INFO: KYC Pending","OK"))))</f>
        <v/>
      </c>
    </row>
    <row r="432">
      <c r="A432" s="2">
        <f>Raw_Transactions!A432</f>
        <v/>
      </c>
      <c r="B432" s="2">
        <f>Raw_Transactions!B432</f>
        <v/>
      </c>
      <c r="C432" s="2">
        <f>Raw_Transactions!C432</f>
        <v/>
      </c>
      <c r="D432" s="3">
        <f>Raw_Transactions!D432</f>
        <v/>
      </c>
      <c r="E432" s="2">
        <f>Raw_Transactions!E432</f>
        <v/>
      </c>
      <c r="F432" s="2">
        <f>Raw_Transactions!F432</f>
        <v/>
      </c>
      <c r="G432" s="2">
        <f>Raw_Transactions!G432</f>
        <v/>
      </c>
      <c r="H432" s="2">
        <f>XLOOKUP(B432,Raw_Risk_Profiles!$A:$A,Raw_Risk_Profiles!$B:$B,"Not Found")</f>
        <v/>
      </c>
      <c r="I432" s="2">
        <f>XLOOKUP(B432,Raw_Risk_Profiles!$A:$A,Raw_Risk_Profiles!$C:$C,"Missing")</f>
        <v/>
      </c>
      <c r="J432" s="2">
        <f>XLOOKUP(B432,Raw_Risk_Profiles!$A:$A,Raw_Risk_Profiles!$D:$D,"")</f>
        <v/>
      </c>
      <c r="K432" s="2">
        <f>IFERROR(INDEX(Raw_Risk_Profiles!$E:$E,MATCH(B432,Raw_Risk_Profiles!$A:$A,0)),"Unknown")</f>
        <v/>
      </c>
      <c r="L432" s="2">
        <f>IFERROR(XLOOKUP(A432,Raw_Alerts!$B:$B,Raw_Alerts!$A:$A),"No Alert")</f>
        <v/>
      </c>
      <c r="M432" s="2">
        <f>IFERROR(XLOOKUP(A432,Raw_Alerts!$B:$B,Raw_Alerts!$C:$C),"")</f>
        <v/>
      </c>
      <c r="N432" s="2">
        <f>IFERROR(XLOOKUP(A432,Raw_Alerts!$B:$B,Raw_Alerts!$D:$D),"")</f>
        <v/>
      </c>
      <c r="O432" s="2">
        <f>IFERROR(XLOOKUP(A432,Raw_Alerts!$B:$B,Raw_Alerts!$F:$F),"")</f>
        <v/>
      </c>
      <c r="P432" s="2">
        <f>IF(H432="Not Found","CRITICAL: No Risk Profile",IF(I432="Missing","WARN: Missing KYC",IF(I432="Expired","WARN: KYC Expired",IF(I432="Pending","INFO: KYC Pending","OK"))))</f>
        <v/>
      </c>
    </row>
    <row r="433">
      <c r="A433" s="4">
        <f>Raw_Transactions!A433</f>
        <v/>
      </c>
      <c r="B433" s="4">
        <f>Raw_Transactions!B433</f>
        <v/>
      </c>
      <c r="C433" s="4">
        <f>Raw_Transactions!C433</f>
        <v/>
      </c>
      <c r="D433" s="5">
        <f>Raw_Transactions!D433</f>
        <v/>
      </c>
      <c r="E433" s="4">
        <f>Raw_Transactions!E433</f>
        <v/>
      </c>
      <c r="F433" s="4">
        <f>Raw_Transactions!F433</f>
        <v/>
      </c>
      <c r="G433" s="4">
        <f>Raw_Transactions!G433</f>
        <v/>
      </c>
      <c r="H433" s="4">
        <f>XLOOKUP(B433,Raw_Risk_Profiles!$A:$A,Raw_Risk_Profiles!$B:$B,"Not Found")</f>
        <v/>
      </c>
      <c r="I433" s="4">
        <f>XLOOKUP(B433,Raw_Risk_Profiles!$A:$A,Raw_Risk_Profiles!$C:$C,"Missing")</f>
        <v/>
      </c>
      <c r="J433" s="4">
        <f>XLOOKUP(B433,Raw_Risk_Profiles!$A:$A,Raw_Risk_Profiles!$D:$D,"")</f>
        <v/>
      </c>
      <c r="K433" s="4">
        <f>IFERROR(INDEX(Raw_Risk_Profiles!$E:$E,MATCH(B433,Raw_Risk_Profiles!$A:$A,0)),"Unknown")</f>
        <v/>
      </c>
      <c r="L433" s="4">
        <f>IFERROR(XLOOKUP(A433,Raw_Alerts!$B:$B,Raw_Alerts!$A:$A),"No Alert")</f>
        <v/>
      </c>
      <c r="M433" s="4">
        <f>IFERROR(XLOOKUP(A433,Raw_Alerts!$B:$B,Raw_Alerts!$C:$C),"")</f>
        <v/>
      </c>
      <c r="N433" s="4">
        <f>IFERROR(XLOOKUP(A433,Raw_Alerts!$B:$B,Raw_Alerts!$D:$D),"")</f>
        <v/>
      </c>
      <c r="O433" s="4">
        <f>IFERROR(XLOOKUP(A433,Raw_Alerts!$B:$B,Raw_Alerts!$F:$F),"")</f>
        <v/>
      </c>
      <c r="P433" s="4">
        <f>IF(H433="Not Found","CRITICAL: No Risk Profile",IF(I433="Missing","WARN: Missing KYC",IF(I433="Expired","WARN: KYC Expired",IF(I433="Pending","INFO: KYC Pending","OK"))))</f>
        <v/>
      </c>
    </row>
    <row r="434">
      <c r="A434" s="2">
        <f>Raw_Transactions!A434</f>
        <v/>
      </c>
      <c r="B434" s="2">
        <f>Raw_Transactions!B434</f>
        <v/>
      </c>
      <c r="C434" s="2">
        <f>Raw_Transactions!C434</f>
        <v/>
      </c>
      <c r="D434" s="3">
        <f>Raw_Transactions!D434</f>
        <v/>
      </c>
      <c r="E434" s="2">
        <f>Raw_Transactions!E434</f>
        <v/>
      </c>
      <c r="F434" s="2">
        <f>Raw_Transactions!F434</f>
        <v/>
      </c>
      <c r="G434" s="2">
        <f>Raw_Transactions!G434</f>
        <v/>
      </c>
      <c r="H434" s="2">
        <f>XLOOKUP(B434,Raw_Risk_Profiles!$A:$A,Raw_Risk_Profiles!$B:$B,"Not Found")</f>
        <v/>
      </c>
      <c r="I434" s="2">
        <f>XLOOKUP(B434,Raw_Risk_Profiles!$A:$A,Raw_Risk_Profiles!$C:$C,"Missing")</f>
        <v/>
      </c>
      <c r="J434" s="2">
        <f>XLOOKUP(B434,Raw_Risk_Profiles!$A:$A,Raw_Risk_Profiles!$D:$D,"")</f>
        <v/>
      </c>
      <c r="K434" s="2">
        <f>IFERROR(INDEX(Raw_Risk_Profiles!$E:$E,MATCH(B434,Raw_Risk_Profiles!$A:$A,0)),"Unknown")</f>
        <v/>
      </c>
      <c r="L434" s="2">
        <f>IFERROR(XLOOKUP(A434,Raw_Alerts!$B:$B,Raw_Alerts!$A:$A),"No Alert")</f>
        <v/>
      </c>
      <c r="M434" s="2">
        <f>IFERROR(XLOOKUP(A434,Raw_Alerts!$B:$B,Raw_Alerts!$C:$C),"")</f>
        <v/>
      </c>
      <c r="N434" s="2">
        <f>IFERROR(XLOOKUP(A434,Raw_Alerts!$B:$B,Raw_Alerts!$D:$D),"")</f>
        <v/>
      </c>
      <c r="O434" s="2">
        <f>IFERROR(XLOOKUP(A434,Raw_Alerts!$B:$B,Raw_Alerts!$F:$F),"")</f>
        <v/>
      </c>
      <c r="P434" s="2">
        <f>IF(H434="Not Found","CRITICAL: No Risk Profile",IF(I434="Missing","WARN: Missing KYC",IF(I434="Expired","WARN: KYC Expired",IF(I434="Pending","INFO: KYC Pending","OK"))))</f>
        <v/>
      </c>
    </row>
    <row r="435">
      <c r="A435" s="4">
        <f>Raw_Transactions!A435</f>
        <v/>
      </c>
      <c r="B435" s="4">
        <f>Raw_Transactions!B435</f>
        <v/>
      </c>
      <c r="C435" s="4">
        <f>Raw_Transactions!C435</f>
        <v/>
      </c>
      <c r="D435" s="5">
        <f>Raw_Transactions!D435</f>
        <v/>
      </c>
      <c r="E435" s="4">
        <f>Raw_Transactions!E435</f>
        <v/>
      </c>
      <c r="F435" s="4">
        <f>Raw_Transactions!F435</f>
        <v/>
      </c>
      <c r="G435" s="4">
        <f>Raw_Transactions!G435</f>
        <v/>
      </c>
      <c r="H435" s="4">
        <f>XLOOKUP(B435,Raw_Risk_Profiles!$A:$A,Raw_Risk_Profiles!$B:$B,"Not Found")</f>
        <v/>
      </c>
      <c r="I435" s="4">
        <f>XLOOKUP(B435,Raw_Risk_Profiles!$A:$A,Raw_Risk_Profiles!$C:$C,"Missing")</f>
        <v/>
      </c>
      <c r="J435" s="4">
        <f>XLOOKUP(B435,Raw_Risk_Profiles!$A:$A,Raw_Risk_Profiles!$D:$D,"")</f>
        <v/>
      </c>
      <c r="K435" s="4">
        <f>IFERROR(INDEX(Raw_Risk_Profiles!$E:$E,MATCH(B435,Raw_Risk_Profiles!$A:$A,0)),"Unknown")</f>
        <v/>
      </c>
      <c r="L435" s="4">
        <f>IFERROR(XLOOKUP(A435,Raw_Alerts!$B:$B,Raw_Alerts!$A:$A),"No Alert")</f>
        <v/>
      </c>
      <c r="M435" s="4">
        <f>IFERROR(XLOOKUP(A435,Raw_Alerts!$B:$B,Raw_Alerts!$C:$C),"")</f>
        <v/>
      </c>
      <c r="N435" s="4">
        <f>IFERROR(XLOOKUP(A435,Raw_Alerts!$B:$B,Raw_Alerts!$D:$D),"")</f>
        <v/>
      </c>
      <c r="O435" s="4">
        <f>IFERROR(XLOOKUP(A435,Raw_Alerts!$B:$B,Raw_Alerts!$F:$F),"")</f>
        <v/>
      </c>
      <c r="P435" s="4">
        <f>IF(H435="Not Found","CRITICAL: No Risk Profile",IF(I435="Missing","WARN: Missing KYC",IF(I435="Expired","WARN: KYC Expired",IF(I435="Pending","INFO: KYC Pending","OK"))))</f>
        <v/>
      </c>
    </row>
    <row r="436">
      <c r="A436" s="2">
        <f>Raw_Transactions!A436</f>
        <v/>
      </c>
      <c r="B436" s="2">
        <f>Raw_Transactions!B436</f>
        <v/>
      </c>
      <c r="C436" s="2">
        <f>Raw_Transactions!C436</f>
        <v/>
      </c>
      <c r="D436" s="3">
        <f>Raw_Transactions!D436</f>
        <v/>
      </c>
      <c r="E436" s="2">
        <f>Raw_Transactions!E436</f>
        <v/>
      </c>
      <c r="F436" s="2">
        <f>Raw_Transactions!F436</f>
        <v/>
      </c>
      <c r="G436" s="2">
        <f>Raw_Transactions!G436</f>
        <v/>
      </c>
      <c r="H436" s="2">
        <f>XLOOKUP(B436,Raw_Risk_Profiles!$A:$A,Raw_Risk_Profiles!$B:$B,"Not Found")</f>
        <v/>
      </c>
      <c r="I436" s="2">
        <f>XLOOKUP(B436,Raw_Risk_Profiles!$A:$A,Raw_Risk_Profiles!$C:$C,"Missing")</f>
        <v/>
      </c>
      <c r="J436" s="2">
        <f>XLOOKUP(B436,Raw_Risk_Profiles!$A:$A,Raw_Risk_Profiles!$D:$D,"")</f>
        <v/>
      </c>
      <c r="K436" s="2">
        <f>IFERROR(INDEX(Raw_Risk_Profiles!$E:$E,MATCH(B436,Raw_Risk_Profiles!$A:$A,0)),"Unknown")</f>
        <v/>
      </c>
      <c r="L436" s="2">
        <f>IFERROR(XLOOKUP(A436,Raw_Alerts!$B:$B,Raw_Alerts!$A:$A),"No Alert")</f>
        <v/>
      </c>
      <c r="M436" s="2">
        <f>IFERROR(XLOOKUP(A436,Raw_Alerts!$B:$B,Raw_Alerts!$C:$C),"")</f>
        <v/>
      </c>
      <c r="N436" s="2">
        <f>IFERROR(XLOOKUP(A436,Raw_Alerts!$B:$B,Raw_Alerts!$D:$D),"")</f>
        <v/>
      </c>
      <c r="O436" s="2">
        <f>IFERROR(XLOOKUP(A436,Raw_Alerts!$B:$B,Raw_Alerts!$F:$F),"")</f>
        <v/>
      </c>
      <c r="P436" s="2">
        <f>IF(H436="Not Found","CRITICAL: No Risk Profile",IF(I436="Missing","WARN: Missing KYC",IF(I436="Expired","WARN: KYC Expired",IF(I436="Pending","INFO: KYC Pending","OK"))))</f>
        <v/>
      </c>
    </row>
    <row r="437">
      <c r="A437" s="4">
        <f>Raw_Transactions!A437</f>
        <v/>
      </c>
      <c r="B437" s="4">
        <f>Raw_Transactions!B437</f>
        <v/>
      </c>
      <c r="C437" s="4">
        <f>Raw_Transactions!C437</f>
        <v/>
      </c>
      <c r="D437" s="5">
        <f>Raw_Transactions!D437</f>
        <v/>
      </c>
      <c r="E437" s="4">
        <f>Raw_Transactions!E437</f>
        <v/>
      </c>
      <c r="F437" s="4">
        <f>Raw_Transactions!F437</f>
        <v/>
      </c>
      <c r="G437" s="4">
        <f>Raw_Transactions!G437</f>
        <v/>
      </c>
      <c r="H437" s="4">
        <f>XLOOKUP(B437,Raw_Risk_Profiles!$A:$A,Raw_Risk_Profiles!$B:$B,"Not Found")</f>
        <v/>
      </c>
      <c r="I437" s="4">
        <f>XLOOKUP(B437,Raw_Risk_Profiles!$A:$A,Raw_Risk_Profiles!$C:$C,"Missing")</f>
        <v/>
      </c>
      <c r="J437" s="4">
        <f>XLOOKUP(B437,Raw_Risk_Profiles!$A:$A,Raw_Risk_Profiles!$D:$D,"")</f>
        <v/>
      </c>
      <c r="K437" s="4">
        <f>IFERROR(INDEX(Raw_Risk_Profiles!$E:$E,MATCH(B437,Raw_Risk_Profiles!$A:$A,0)),"Unknown")</f>
        <v/>
      </c>
      <c r="L437" s="4">
        <f>IFERROR(XLOOKUP(A437,Raw_Alerts!$B:$B,Raw_Alerts!$A:$A),"No Alert")</f>
        <v/>
      </c>
      <c r="M437" s="4">
        <f>IFERROR(XLOOKUP(A437,Raw_Alerts!$B:$B,Raw_Alerts!$C:$C),"")</f>
        <v/>
      </c>
      <c r="N437" s="4">
        <f>IFERROR(XLOOKUP(A437,Raw_Alerts!$B:$B,Raw_Alerts!$D:$D),"")</f>
        <v/>
      </c>
      <c r="O437" s="4">
        <f>IFERROR(XLOOKUP(A437,Raw_Alerts!$B:$B,Raw_Alerts!$F:$F),"")</f>
        <v/>
      </c>
      <c r="P437" s="4">
        <f>IF(H437="Not Found","CRITICAL: No Risk Profile",IF(I437="Missing","WARN: Missing KYC",IF(I437="Expired","WARN: KYC Expired",IF(I437="Pending","INFO: KYC Pending","OK"))))</f>
        <v/>
      </c>
    </row>
    <row r="438">
      <c r="A438" s="2">
        <f>Raw_Transactions!A438</f>
        <v/>
      </c>
      <c r="B438" s="2">
        <f>Raw_Transactions!B438</f>
        <v/>
      </c>
      <c r="C438" s="2">
        <f>Raw_Transactions!C438</f>
        <v/>
      </c>
      <c r="D438" s="3">
        <f>Raw_Transactions!D438</f>
        <v/>
      </c>
      <c r="E438" s="2">
        <f>Raw_Transactions!E438</f>
        <v/>
      </c>
      <c r="F438" s="2">
        <f>Raw_Transactions!F438</f>
        <v/>
      </c>
      <c r="G438" s="2">
        <f>Raw_Transactions!G438</f>
        <v/>
      </c>
      <c r="H438" s="2">
        <f>XLOOKUP(B438,Raw_Risk_Profiles!$A:$A,Raw_Risk_Profiles!$B:$B,"Not Found")</f>
        <v/>
      </c>
      <c r="I438" s="2">
        <f>XLOOKUP(B438,Raw_Risk_Profiles!$A:$A,Raw_Risk_Profiles!$C:$C,"Missing")</f>
        <v/>
      </c>
      <c r="J438" s="2">
        <f>XLOOKUP(B438,Raw_Risk_Profiles!$A:$A,Raw_Risk_Profiles!$D:$D,"")</f>
        <v/>
      </c>
      <c r="K438" s="2">
        <f>IFERROR(INDEX(Raw_Risk_Profiles!$E:$E,MATCH(B438,Raw_Risk_Profiles!$A:$A,0)),"Unknown")</f>
        <v/>
      </c>
      <c r="L438" s="2">
        <f>IFERROR(XLOOKUP(A438,Raw_Alerts!$B:$B,Raw_Alerts!$A:$A),"No Alert")</f>
        <v/>
      </c>
      <c r="M438" s="2">
        <f>IFERROR(XLOOKUP(A438,Raw_Alerts!$B:$B,Raw_Alerts!$C:$C),"")</f>
        <v/>
      </c>
      <c r="N438" s="2">
        <f>IFERROR(XLOOKUP(A438,Raw_Alerts!$B:$B,Raw_Alerts!$D:$D),"")</f>
        <v/>
      </c>
      <c r="O438" s="2">
        <f>IFERROR(XLOOKUP(A438,Raw_Alerts!$B:$B,Raw_Alerts!$F:$F),"")</f>
        <v/>
      </c>
      <c r="P438" s="2">
        <f>IF(H438="Not Found","CRITICAL: No Risk Profile",IF(I438="Missing","WARN: Missing KYC",IF(I438="Expired","WARN: KYC Expired",IF(I438="Pending","INFO: KYC Pending","OK"))))</f>
        <v/>
      </c>
    </row>
    <row r="439">
      <c r="A439" s="4">
        <f>Raw_Transactions!A439</f>
        <v/>
      </c>
      <c r="B439" s="4">
        <f>Raw_Transactions!B439</f>
        <v/>
      </c>
      <c r="C439" s="4">
        <f>Raw_Transactions!C439</f>
        <v/>
      </c>
      <c r="D439" s="5">
        <f>Raw_Transactions!D439</f>
        <v/>
      </c>
      <c r="E439" s="4">
        <f>Raw_Transactions!E439</f>
        <v/>
      </c>
      <c r="F439" s="4">
        <f>Raw_Transactions!F439</f>
        <v/>
      </c>
      <c r="G439" s="4">
        <f>Raw_Transactions!G439</f>
        <v/>
      </c>
      <c r="H439" s="4">
        <f>XLOOKUP(B439,Raw_Risk_Profiles!$A:$A,Raw_Risk_Profiles!$B:$B,"Not Found")</f>
        <v/>
      </c>
      <c r="I439" s="4">
        <f>XLOOKUP(B439,Raw_Risk_Profiles!$A:$A,Raw_Risk_Profiles!$C:$C,"Missing")</f>
        <v/>
      </c>
      <c r="J439" s="4">
        <f>XLOOKUP(B439,Raw_Risk_Profiles!$A:$A,Raw_Risk_Profiles!$D:$D,"")</f>
        <v/>
      </c>
      <c r="K439" s="4">
        <f>IFERROR(INDEX(Raw_Risk_Profiles!$E:$E,MATCH(B439,Raw_Risk_Profiles!$A:$A,0)),"Unknown")</f>
        <v/>
      </c>
      <c r="L439" s="4">
        <f>IFERROR(XLOOKUP(A439,Raw_Alerts!$B:$B,Raw_Alerts!$A:$A),"No Alert")</f>
        <v/>
      </c>
      <c r="M439" s="4">
        <f>IFERROR(XLOOKUP(A439,Raw_Alerts!$B:$B,Raw_Alerts!$C:$C),"")</f>
        <v/>
      </c>
      <c r="N439" s="4">
        <f>IFERROR(XLOOKUP(A439,Raw_Alerts!$B:$B,Raw_Alerts!$D:$D),"")</f>
        <v/>
      </c>
      <c r="O439" s="4">
        <f>IFERROR(XLOOKUP(A439,Raw_Alerts!$B:$B,Raw_Alerts!$F:$F),"")</f>
        <v/>
      </c>
      <c r="P439" s="4">
        <f>IF(H439="Not Found","CRITICAL: No Risk Profile",IF(I439="Missing","WARN: Missing KYC",IF(I439="Expired","WARN: KYC Expired",IF(I439="Pending","INFO: KYC Pending","OK"))))</f>
        <v/>
      </c>
    </row>
    <row r="440">
      <c r="A440" s="2">
        <f>Raw_Transactions!A440</f>
        <v/>
      </c>
      <c r="B440" s="2">
        <f>Raw_Transactions!B440</f>
        <v/>
      </c>
      <c r="C440" s="2">
        <f>Raw_Transactions!C440</f>
        <v/>
      </c>
      <c r="D440" s="3">
        <f>Raw_Transactions!D440</f>
        <v/>
      </c>
      <c r="E440" s="2">
        <f>Raw_Transactions!E440</f>
        <v/>
      </c>
      <c r="F440" s="2">
        <f>Raw_Transactions!F440</f>
        <v/>
      </c>
      <c r="G440" s="2">
        <f>Raw_Transactions!G440</f>
        <v/>
      </c>
      <c r="H440" s="2">
        <f>XLOOKUP(B440,Raw_Risk_Profiles!$A:$A,Raw_Risk_Profiles!$B:$B,"Not Found")</f>
        <v/>
      </c>
      <c r="I440" s="2">
        <f>XLOOKUP(B440,Raw_Risk_Profiles!$A:$A,Raw_Risk_Profiles!$C:$C,"Missing")</f>
        <v/>
      </c>
      <c r="J440" s="2">
        <f>XLOOKUP(B440,Raw_Risk_Profiles!$A:$A,Raw_Risk_Profiles!$D:$D,"")</f>
        <v/>
      </c>
      <c r="K440" s="2">
        <f>IFERROR(INDEX(Raw_Risk_Profiles!$E:$E,MATCH(B440,Raw_Risk_Profiles!$A:$A,0)),"Unknown")</f>
        <v/>
      </c>
      <c r="L440" s="2">
        <f>IFERROR(XLOOKUP(A440,Raw_Alerts!$B:$B,Raw_Alerts!$A:$A),"No Alert")</f>
        <v/>
      </c>
      <c r="M440" s="2">
        <f>IFERROR(XLOOKUP(A440,Raw_Alerts!$B:$B,Raw_Alerts!$C:$C),"")</f>
        <v/>
      </c>
      <c r="N440" s="2">
        <f>IFERROR(XLOOKUP(A440,Raw_Alerts!$B:$B,Raw_Alerts!$D:$D),"")</f>
        <v/>
      </c>
      <c r="O440" s="2">
        <f>IFERROR(XLOOKUP(A440,Raw_Alerts!$B:$B,Raw_Alerts!$F:$F),"")</f>
        <v/>
      </c>
      <c r="P440" s="2">
        <f>IF(H440="Not Found","CRITICAL: No Risk Profile",IF(I440="Missing","WARN: Missing KYC",IF(I440="Expired","WARN: KYC Expired",IF(I440="Pending","INFO: KYC Pending","OK"))))</f>
        <v/>
      </c>
    </row>
    <row r="441">
      <c r="A441" s="4">
        <f>Raw_Transactions!A441</f>
        <v/>
      </c>
      <c r="B441" s="4">
        <f>Raw_Transactions!B441</f>
        <v/>
      </c>
      <c r="C441" s="4">
        <f>Raw_Transactions!C441</f>
        <v/>
      </c>
      <c r="D441" s="5">
        <f>Raw_Transactions!D441</f>
        <v/>
      </c>
      <c r="E441" s="4">
        <f>Raw_Transactions!E441</f>
        <v/>
      </c>
      <c r="F441" s="4">
        <f>Raw_Transactions!F441</f>
        <v/>
      </c>
      <c r="G441" s="4">
        <f>Raw_Transactions!G441</f>
        <v/>
      </c>
      <c r="H441" s="4">
        <f>XLOOKUP(B441,Raw_Risk_Profiles!$A:$A,Raw_Risk_Profiles!$B:$B,"Not Found")</f>
        <v/>
      </c>
      <c r="I441" s="4">
        <f>XLOOKUP(B441,Raw_Risk_Profiles!$A:$A,Raw_Risk_Profiles!$C:$C,"Missing")</f>
        <v/>
      </c>
      <c r="J441" s="4">
        <f>XLOOKUP(B441,Raw_Risk_Profiles!$A:$A,Raw_Risk_Profiles!$D:$D,"")</f>
        <v/>
      </c>
      <c r="K441" s="4">
        <f>IFERROR(INDEX(Raw_Risk_Profiles!$E:$E,MATCH(B441,Raw_Risk_Profiles!$A:$A,0)),"Unknown")</f>
        <v/>
      </c>
      <c r="L441" s="4">
        <f>IFERROR(XLOOKUP(A441,Raw_Alerts!$B:$B,Raw_Alerts!$A:$A),"No Alert")</f>
        <v/>
      </c>
      <c r="M441" s="4">
        <f>IFERROR(XLOOKUP(A441,Raw_Alerts!$B:$B,Raw_Alerts!$C:$C),"")</f>
        <v/>
      </c>
      <c r="N441" s="4">
        <f>IFERROR(XLOOKUP(A441,Raw_Alerts!$B:$B,Raw_Alerts!$D:$D),"")</f>
        <v/>
      </c>
      <c r="O441" s="4">
        <f>IFERROR(XLOOKUP(A441,Raw_Alerts!$B:$B,Raw_Alerts!$F:$F),"")</f>
        <v/>
      </c>
      <c r="P441" s="4">
        <f>IF(H441="Not Found","CRITICAL: No Risk Profile",IF(I441="Missing","WARN: Missing KYC",IF(I441="Expired","WARN: KYC Expired",IF(I441="Pending","INFO: KYC Pending","OK"))))</f>
        <v/>
      </c>
    </row>
    <row r="442">
      <c r="A442" s="2">
        <f>Raw_Transactions!A442</f>
        <v/>
      </c>
      <c r="B442" s="2">
        <f>Raw_Transactions!B442</f>
        <v/>
      </c>
      <c r="C442" s="2">
        <f>Raw_Transactions!C442</f>
        <v/>
      </c>
      <c r="D442" s="3">
        <f>Raw_Transactions!D442</f>
        <v/>
      </c>
      <c r="E442" s="2">
        <f>Raw_Transactions!E442</f>
        <v/>
      </c>
      <c r="F442" s="2">
        <f>Raw_Transactions!F442</f>
        <v/>
      </c>
      <c r="G442" s="2">
        <f>Raw_Transactions!G442</f>
        <v/>
      </c>
      <c r="H442" s="2">
        <f>XLOOKUP(B442,Raw_Risk_Profiles!$A:$A,Raw_Risk_Profiles!$B:$B,"Not Found")</f>
        <v/>
      </c>
      <c r="I442" s="2">
        <f>XLOOKUP(B442,Raw_Risk_Profiles!$A:$A,Raw_Risk_Profiles!$C:$C,"Missing")</f>
        <v/>
      </c>
      <c r="J442" s="2">
        <f>XLOOKUP(B442,Raw_Risk_Profiles!$A:$A,Raw_Risk_Profiles!$D:$D,"")</f>
        <v/>
      </c>
      <c r="K442" s="2">
        <f>IFERROR(INDEX(Raw_Risk_Profiles!$E:$E,MATCH(B442,Raw_Risk_Profiles!$A:$A,0)),"Unknown")</f>
        <v/>
      </c>
      <c r="L442" s="2">
        <f>IFERROR(XLOOKUP(A442,Raw_Alerts!$B:$B,Raw_Alerts!$A:$A),"No Alert")</f>
        <v/>
      </c>
      <c r="M442" s="2">
        <f>IFERROR(XLOOKUP(A442,Raw_Alerts!$B:$B,Raw_Alerts!$C:$C),"")</f>
        <v/>
      </c>
      <c r="N442" s="2">
        <f>IFERROR(XLOOKUP(A442,Raw_Alerts!$B:$B,Raw_Alerts!$D:$D),"")</f>
        <v/>
      </c>
      <c r="O442" s="2">
        <f>IFERROR(XLOOKUP(A442,Raw_Alerts!$B:$B,Raw_Alerts!$F:$F),"")</f>
        <v/>
      </c>
      <c r="P442" s="2">
        <f>IF(H442="Not Found","CRITICAL: No Risk Profile",IF(I442="Missing","WARN: Missing KYC",IF(I442="Expired","WARN: KYC Expired",IF(I442="Pending","INFO: KYC Pending","OK"))))</f>
        <v/>
      </c>
    </row>
    <row r="443">
      <c r="A443" s="4">
        <f>Raw_Transactions!A443</f>
        <v/>
      </c>
      <c r="B443" s="4">
        <f>Raw_Transactions!B443</f>
        <v/>
      </c>
      <c r="C443" s="4">
        <f>Raw_Transactions!C443</f>
        <v/>
      </c>
      <c r="D443" s="5">
        <f>Raw_Transactions!D443</f>
        <v/>
      </c>
      <c r="E443" s="4">
        <f>Raw_Transactions!E443</f>
        <v/>
      </c>
      <c r="F443" s="4">
        <f>Raw_Transactions!F443</f>
        <v/>
      </c>
      <c r="G443" s="4">
        <f>Raw_Transactions!G443</f>
        <v/>
      </c>
      <c r="H443" s="4">
        <f>XLOOKUP(B443,Raw_Risk_Profiles!$A:$A,Raw_Risk_Profiles!$B:$B,"Not Found")</f>
        <v/>
      </c>
      <c r="I443" s="4">
        <f>XLOOKUP(B443,Raw_Risk_Profiles!$A:$A,Raw_Risk_Profiles!$C:$C,"Missing")</f>
        <v/>
      </c>
      <c r="J443" s="4">
        <f>XLOOKUP(B443,Raw_Risk_Profiles!$A:$A,Raw_Risk_Profiles!$D:$D,"")</f>
        <v/>
      </c>
      <c r="K443" s="4">
        <f>IFERROR(INDEX(Raw_Risk_Profiles!$E:$E,MATCH(B443,Raw_Risk_Profiles!$A:$A,0)),"Unknown")</f>
        <v/>
      </c>
      <c r="L443" s="4">
        <f>IFERROR(XLOOKUP(A443,Raw_Alerts!$B:$B,Raw_Alerts!$A:$A),"No Alert")</f>
        <v/>
      </c>
      <c r="M443" s="4">
        <f>IFERROR(XLOOKUP(A443,Raw_Alerts!$B:$B,Raw_Alerts!$C:$C),"")</f>
        <v/>
      </c>
      <c r="N443" s="4">
        <f>IFERROR(XLOOKUP(A443,Raw_Alerts!$B:$B,Raw_Alerts!$D:$D),"")</f>
        <v/>
      </c>
      <c r="O443" s="4">
        <f>IFERROR(XLOOKUP(A443,Raw_Alerts!$B:$B,Raw_Alerts!$F:$F),"")</f>
        <v/>
      </c>
      <c r="P443" s="4">
        <f>IF(H443="Not Found","CRITICAL: No Risk Profile",IF(I443="Missing","WARN: Missing KYC",IF(I443="Expired","WARN: KYC Expired",IF(I443="Pending","INFO: KYC Pending","OK"))))</f>
        <v/>
      </c>
    </row>
    <row r="444">
      <c r="A444" s="2">
        <f>Raw_Transactions!A444</f>
        <v/>
      </c>
      <c r="B444" s="2">
        <f>Raw_Transactions!B444</f>
        <v/>
      </c>
      <c r="C444" s="2">
        <f>Raw_Transactions!C444</f>
        <v/>
      </c>
      <c r="D444" s="3">
        <f>Raw_Transactions!D444</f>
        <v/>
      </c>
      <c r="E444" s="2">
        <f>Raw_Transactions!E444</f>
        <v/>
      </c>
      <c r="F444" s="2">
        <f>Raw_Transactions!F444</f>
        <v/>
      </c>
      <c r="G444" s="2">
        <f>Raw_Transactions!G444</f>
        <v/>
      </c>
      <c r="H444" s="2">
        <f>XLOOKUP(B444,Raw_Risk_Profiles!$A:$A,Raw_Risk_Profiles!$B:$B,"Not Found")</f>
        <v/>
      </c>
      <c r="I444" s="2">
        <f>XLOOKUP(B444,Raw_Risk_Profiles!$A:$A,Raw_Risk_Profiles!$C:$C,"Missing")</f>
        <v/>
      </c>
      <c r="J444" s="2">
        <f>XLOOKUP(B444,Raw_Risk_Profiles!$A:$A,Raw_Risk_Profiles!$D:$D,"")</f>
        <v/>
      </c>
      <c r="K444" s="2">
        <f>IFERROR(INDEX(Raw_Risk_Profiles!$E:$E,MATCH(B444,Raw_Risk_Profiles!$A:$A,0)),"Unknown")</f>
        <v/>
      </c>
      <c r="L444" s="2">
        <f>IFERROR(XLOOKUP(A444,Raw_Alerts!$B:$B,Raw_Alerts!$A:$A),"No Alert")</f>
        <v/>
      </c>
      <c r="M444" s="2">
        <f>IFERROR(XLOOKUP(A444,Raw_Alerts!$B:$B,Raw_Alerts!$C:$C),"")</f>
        <v/>
      </c>
      <c r="N444" s="2">
        <f>IFERROR(XLOOKUP(A444,Raw_Alerts!$B:$B,Raw_Alerts!$D:$D),"")</f>
        <v/>
      </c>
      <c r="O444" s="2">
        <f>IFERROR(XLOOKUP(A444,Raw_Alerts!$B:$B,Raw_Alerts!$F:$F),"")</f>
        <v/>
      </c>
      <c r="P444" s="2">
        <f>IF(H444="Not Found","CRITICAL: No Risk Profile",IF(I444="Missing","WARN: Missing KYC",IF(I444="Expired","WARN: KYC Expired",IF(I444="Pending","INFO: KYC Pending","OK"))))</f>
        <v/>
      </c>
    </row>
    <row r="445">
      <c r="A445" s="4">
        <f>Raw_Transactions!A445</f>
        <v/>
      </c>
      <c r="B445" s="4">
        <f>Raw_Transactions!B445</f>
        <v/>
      </c>
      <c r="C445" s="4">
        <f>Raw_Transactions!C445</f>
        <v/>
      </c>
      <c r="D445" s="5">
        <f>Raw_Transactions!D445</f>
        <v/>
      </c>
      <c r="E445" s="4">
        <f>Raw_Transactions!E445</f>
        <v/>
      </c>
      <c r="F445" s="4">
        <f>Raw_Transactions!F445</f>
        <v/>
      </c>
      <c r="G445" s="4">
        <f>Raw_Transactions!G445</f>
        <v/>
      </c>
      <c r="H445" s="4">
        <f>XLOOKUP(B445,Raw_Risk_Profiles!$A:$A,Raw_Risk_Profiles!$B:$B,"Not Found")</f>
        <v/>
      </c>
      <c r="I445" s="4">
        <f>XLOOKUP(B445,Raw_Risk_Profiles!$A:$A,Raw_Risk_Profiles!$C:$C,"Missing")</f>
        <v/>
      </c>
      <c r="J445" s="4">
        <f>XLOOKUP(B445,Raw_Risk_Profiles!$A:$A,Raw_Risk_Profiles!$D:$D,"")</f>
        <v/>
      </c>
      <c r="K445" s="4">
        <f>IFERROR(INDEX(Raw_Risk_Profiles!$E:$E,MATCH(B445,Raw_Risk_Profiles!$A:$A,0)),"Unknown")</f>
        <v/>
      </c>
      <c r="L445" s="4">
        <f>IFERROR(XLOOKUP(A445,Raw_Alerts!$B:$B,Raw_Alerts!$A:$A),"No Alert")</f>
        <v/>
      </c>
      <c r="M445" s="4">
        <f>IFERROR(XLOOKUP(A445,Raw_Alerts!$B:$B,Raw_Alerts!$C:$C),"")</f>
        <v/>
      </c>
      <c r="N445" s="4">
        <f>IFERROR(XLOOKUP(A445,Raw_Alerts!$B:$B,Raw_Alerts!$D:$D),"")</f>
        <v/>
      </c>
      <c r="O445" s="4">
        <f>IFERROR(XLOOKUP(A445,Raw_Alerts!$B:$B,Raw_Alerts!$F:$F),"")</f>
        <v/>
      </c>
      <c r="P445" s="4">
        <f>IF(H445="Not Found","CRITICAL: No Risk Profile",IF(I445="Missing","WARN: Missing KYC",IF(I445="Expired","WARN: KYC Expired",IF(I445="Pending","INFO: KYC Pending","OK"))))</f>
        <v/>
      </c>
    </row>
    <row r="446">
      <c r="A446" s="2">
        <f>Raw_Transactions!A446</f>
        <v/>
      </c>
      <c r="B446" s="2">
        <f>Raw_Transactions!B446</f>
        <v/>
      </c>
      <c r="C446" s="2">
        <f>Raw_Transactions!C446</f>
        <v/>
      </c>
      <c r="D446" s="3">
        <f>Raw_Transactions!D446</f>
        <v/>
      </c>
      <c r="E446" s="2">
        <f>Raw_Transactions!E446</f>
        <v/>
      </c>
      <c r="F446" s="2">
        <f>Raw_Transactions!F446</f>
        <v/>
      </c>
      <c r="G446" s="2">
        <f>Raw_Transactions!G446</f>
        <v/>
      </c>
      <c r="H446" s="2">
        <f>XLOOKUP(B446,Raw_Risk_Profiles!$A:$A,Raw_Risk_Profiles!$B:$B,"Not Found")</f>
        <v/>
      </c>
      <c r="I446" s="2">
        <f>XLOOKUP(B446,Raw_Risk_Profiles!$A:$A,Raw_Risk_Profiles!$C:$C,"Missing")</f>
        <v/>
      </c>
      <c r="J446" s="2">
        <f>XLOOKUP(B446,Raw_Risk_Profiles!$A:$A,Raw_Risk_Profiles!$D:$D,"")</f>
        <v/>
      </c>
      <c r="K446" s="2">
        <f>IFERROR(INDEX(Raw_Risk_Profiles!$E:$E,MATCH(B446,Raw_Risk_Profiles!$A:$A,0)),"Unknown")</f>
        <v/>
      </c>
      <c r="L446" s="2">
        <f>IFERROR(XLOOKUP(A446,Raw_Alerts!$B:$B,Raw_Alerts!$A:$A),"No Alert")</f>
        <v/>
      </c>
      <c r="M446" s="2">
        <f>IFERROR(XLOOKUP(A446,Raw_Alerts!$B:$B,Raw_Alerts!$C:$C),"")</f>
        <v/>
      </c>
      <c r="N446" s="2">
        <f>IFERROR(XLOOKUP(A446,Raw_Alerts!$B:$B,Raw_Alerts!$D:$D),"")</f>
        <v/>
      </c>
      <c r="O446" s="2">
        <f>IFERROR(XLOOKUP(A446,Raw_Alerts!$B:$B,Raw_Alerts!$F:$F),"")</f>
        <v/>
      </c>
      <c r="P446" s="2">
        <f>IF(H446="Not Found","CRITICAL: No Risk Profile",IF(I446="Missing","WARN: Missing KYC",IF(I446="Expired","WARN: KYC Expired",IF(I446="Pending","INFO: KYC Pending","OK"))))</f>
        <v/>
      </c>
    </row>
    <row r="447">
      <c r="A447" s="4">
        <f>Raw_Transactions!A447</f>
        <v/>
      </c>
      <c r="B447" s="4">
        <f>Raw_Transactions!B447</f>
        <v/>
      </c>
      <c r="C447" s="4">
        <f>Raw_Transactions!C447</f>
        <v/>
      </c>
      <c r="D447" s="5">
        <f>Raw_Transactions!D447</f>
        <v/>
      </c>
      <c r="E447" s="4">
        <f>Raw_Transactions!E447</f>
        <v/>
      </c>
      <c r="F447" s="4">
        <f>Raw_Transactions!F447</f>
        <v/>
      </c>
      <c r="G447" s="4">
        <f>Raw_Transactions!G447</f>
        <v/>
      </c>
      <c r="H447" s="4">
        <f>XLOOKUP(B447,Raw_Risk_Profiles!$A:$A,Raw_Risk_Profiles!$B:$B,"Not Found")</f>
        <v/>
      </c>
      <c r="I447" s="4">
        <f>XLOOKUP(B447,Raw_Risk_Profiles!$A:$A,Raw_Risk_Profiles!$C:$C,"Missing")</f>
        <v/>
      </c>
      <c r="J447" s="4">
        <f>XLOOKUP(B447,Raw_Risk_Profiles!$A:$A,Raw_Risk_Profiles!$D:$D,"")</f>
        <v/>
      </c>
      <c r="K447" s="4">
        <f>IFERROR(INDEX(Raw_Risk_Profiles!$E:$E,MATCH(B447,Raw_Risk_Profiles!$A:$A,0)),"Unknown")</f>
        <v/>
      </c>
      <c r="L447" s="4">
        <f>IFERROR(XLOOKUP(A447,Raw_Alerts!$B:$B,Raw_Alerts!$A:$A),"No Alert")</f>
        <v/>
      </c>
      <c r="M447" s="4">
        <f>IFERROR(XLOOKUP(A447,Raw_Alerts!$B:$B,Raw_Alerts!$C:$C),"")</f>
        <v/>
      </c>
      <c r="N447" s="4">
        <f>IFERROR(XLOOKUP(A447,Raw_Alerts!$B:$B,Raw_Alerts!$D:$D),"")</f>
        <v/>
      </c>
      <c r="O447" s="4">
        <f>IFERROR(XLOOKUP(A447,Raw_Alerts!$B:$B,Raw_Alerts!$F:$F),"")</f>
        <v/>
      </c>
      <c r="P447" s="4">
        <f>IF(H447="Not Found","CRITICAL: No Risk Profile",IF(I447="Missing","WARN: Missing KYC",IF(I447="Expired","WARN: KYC Expired",IF(I447="Pending","INFO: KYC Pending","OK"))))</f>
        <v/>
      </c>
    </row>
    <row r="448">
      <c r="A448" s="2">
        <f>Raw_Transactions!A448</f>
        <v/>
      </c>
      <c r="B448" s="2">
        <f>Raw_Transactions!B448</f>
        <v/>
      </c>
      <c r="C448" s="2">
        <f>Raw_Transactions!C448</f>
        <v/>
      </c>
      <c r="D448" s="3">
        <f>Raw_Transactions!D448</f>
        <v/>
      </c>
      <c r="E448" s="2">
        <f>Raw_Transactions!E448</f>
        <v/>
      </c>
      <c r="F448" s="2">
        <f>Raw_Transactions!F448</f>
        <v/>
      </c>
      <c r="G448" s="2">
        <f>Raw_Transactions!G448</f>
        <v/>
      </c>
      <c r="H448" s="2">
        <f>XLOOKUP(B448,Raw_Risk_Profiles!$A:$A,Raw_Risk_Profiles!$B:$B,"Not Found")</f>
        <v/>
      </c>
      <c r="I448" s="2">
        <f>XLOOKUP(B448,Raw_Risk_Profiles!$A:$A,Raw_Risk_Profiles!$C:$C,"Missing")</f>
        <v/>
      </c>
      <c r="J448" s="2">
        <f>XLOOKUP(B448,Raw_Risk_Profiles!$A:$A,Raw_Risk_Profiles!$D:$D,"")</f>
        <v/>
      </c>
      <c r="K448" s="2">
        <f>IFERROR(INDEX(Raw_Risk_Profiles!$E:$E,MATCH(B448,Raw_Risk_Profiles!$A:$A,0)),"Unknown")</f>
        <v/>
      </c>
      <c r="L448" s="2">
        <f>IFERROR(XLOOKUP(A448,Raw_Alerts!$B:$B,Raw_Alerts!$A:$A),"No Alert")</f>
        <v/>
      </c>
      <c r="M448" s="2">
        <f>IFERROR(XLOOKUP(A448,Raw_Alerts!$B:$B,Raw_Alerts!$C:$C),"")</f>
        <v/>
      </c>
      <c r="N448" s="2">
        <f>IFERROR(XLOOKUP(A448,Raw_Alerts!$B:$B,Raw_Alerts!$D:$D),"")</f>
        <v/>
      </c>
      <c r="O448" s="2">
        <f>IFERROR(XLOOKUP(A448,Raw_Alerts!$B:$B,Raw_Alerts!$F:$F),"")</f>
        <v/>
      </c>
      <c r="P448" s="2">
        <f>IF(H448="Not Found","CRITICAL: No Risk Profile",IF(I448="Missing","WARN: Missing KYC",IF(I448="Expired","WARN: KYC Expired",IF(I448="Pending","INFO: KYC Pending","OK"))))</f>
        <v/>
      </c>
    </row>
    <row r="449">
      <c r="A449" s="4">
        <f>Raw_Transactions!A449</f>
        <v/>
      </c>
      <c r="B449" s="4">
        <f>Raw_Transactions!B449</f>
        <v/>
      </c>
      <c r="C449" s="4">
        <f>Raw_Transactions!C449</f>
        <v/>
      </c>
      <c r="D449" s="5">
        <f>Raw_Transactions!D449</f>
        <v/>
      </c>
      <c r="E449" s="4">
        <f>Raw_Transactions!E449</f>
        <v/>
      </c>
      <c r="F449" s="4">
        <f>Raw_Transactions!F449</f>
        <v/>
      </c>
      <c r="G449" s="4">
        <f>Raw_Transactions!G449</f>
        <v/>
      </c>
      <c r="H449" s="4">
        <f>XLOOKUP(B449,Raw_Risk_Profiles!$A:$A,Raw_Risk_Profiles!$B:$B,"Not Found")</f>
        <v/>
      </c>
      <c r="I449" s="4">
        <f>XLOOKUP(B449,Raw_Risk_Profiles!$A:$A,Raw_Risk_Profiles!$C:$C,"Missing")</f>
        <v/>
      </c>
      <c r="J449" s="4">
        <f>XLOOKUP(B449,Raw_Risk_Profiles!$A:$A,Raw_Risk_Profiles!$D:$D,"")</f>
        <v/>
      </c>
      <c r="K449" s="4">
        <f>IFERROR(INDEX(Raw_Risk_Profiles!$E:$E,MATCH(B449,Raw_Risk_Profiles!$A:$A,0)),"Unknown")</f>
        <v/>
      </c>
      <c r="L449" s="4">
        <f>IFERROR(XLOOKUP(A449,Raw_Alerts!$B:$B,Raw_Alerts!$A:$A),"No Alert")</f>
        <v/>
      </c>
      <c r="M449" s="4">
        <f>IFERROR(XLOOKUP(A449,Raw_Alerts!$B:$B,Raw_Alerts!$C:$C),"")</f>
        <v/>
      </c>
      <c r="N449" s="4">
        <f>IFERROR(XLOOKUP(A449,Raw_Alerts!$B:$B,Raw_Alerts!$D:$D),"")</f>
        <v/>
      </c>
      <c r="O449" s="4">
        <f>IFERROR(XLOOKUP(A449,Raw_Alerts!$B:$B,Raw_Alerts!$F:$F),"")</f>
        <v/>
      </c>
      <c r="P449" s="4">
        <f>IF(H449="Not Found","CRITICAL: No Risk Profile",IF(I449="Missing","WARN: Missing KYC",IF(I449="Expired","WARN: KYC Expired",IF(I449="Pending","INFO: KYC Pending","OK"))))</f>
        <v/>
      </c>
    </row>
    <row r="450">
      <c r="A450" s="2">
        <f>Raw_Transactions!A450</f>
        <v/>
      </c>
      <c r="B450" s="2">
        <f>Raw_Transactions!B450</f>
        <v/>
      </c>
      <c r="C450" s="2">
        <f>Raw_Transactions!C450</f>
        <v/>
      </c>
      <c r="D450" s="3">
        <f>Raw_Transactions!D450</f>
        <v/>
      </c>
      <c r="E450" s="2">
        <f>Raw_Transactions!E450</f>
        <v/>
      </c>
      <c r="F450" s="2">
        <f>Raw_Transactions!F450</f>
        <v/>
      </c>
      <c r="G450" s="2">
        <f>Raw_Transactions!G450</f>
        <v/>
      </c>
      <c r="H450" s="2">
        <f>XLOOKUP(B450,Raw_Risk_Profiles!$A:$A,Raw_Risk_Profiles!$B:$B,"Not Found")</f>
        <v/>
      </c>
      <c r="I450" s="2">
        <f>XLOOKUP(B450,Raw_Risk_Profiles!$A:$A,Raw_Risk_Profiles!$C:$C,"Missing")</f>
        <v/>
      </c>
      <c r="J450" s="2">
        <f>XLOOKUP(B450,Raw_Risk_Profiles!$A:$A,Raw_Risk_Profiles!$D:$D,"")</f>
        <v/>
      </c>
      <c r="K450" s="2">
        <f>IFERROR(INDEX(Raw_Risk_Profiles!$E:$E,MATCH(B450,Raw_Risk_Profiles!$A:$A,0)),"Unknown")</f>
        <v/>
      </c>
      <c r="L450" s="2">
        <f>IFERROR(XLOOKUP(A450,Raw_Alerts!$B:$B,Raw_Alerts!$A:$A),"No Alert")</f>
        <v/>
      </c>
      <c r="M450" s="2">
        <f>IFERROR(XLOOKUP(A450,Raw_Alerts!$B:$B,Raw_Alerts!$C:$C),"")</f>
        <v/>
      </c>
      <c r="N450" s="2">
        <f>IFERROR(XLOOKUP(A450,Raw_Alerts!$B:$B,Raw_Alerts!$D:$D),"")</f>
        <v/>
      </c>
      <c r="O450" s="2">
        <f>IFERROR(XLOOKUP(A450,Raw_Alerts!$B:$B,Raw_Alerts!$F:$F),"")</f>
        <v/>
      </c>
      <c r="P450" s="2">
        <f>IF(H450="Not Found","CRITICAL: No Risk Profile",IF(I450="Missing","WARN: Missing KYC",IF(I450="Expired","WARN: KYC Expired",IF(I450="Pending","INFO: KYC Pending","OK"))))</f>
        <v/>
      </c>
    </row>
    <row r="451">
      <c r="A451" s="4">
        <f>Raw_Transactions!A451</f>
        <v/>
      </c>
      <c r="B451" s="4">
        <f>Raw_Transactions!B451</f>
        <v/>
      </c>
      <c r="C451" s="4">
        <f>Raw_Transactions!C451</f>
        <v/>
      </c>
      <c r="D451" s="5">
        <f>Raw_Transactions!D451</f>
        <v/>
      </c>
      <c r="E451" s="4">
        <f>Raw_Transactions!E451</f>
        <v/>
      </c>
      <c r="F451" s="4">
        <f>Raw_Transactions!F451</f>
        <v/>
      </c>
      <c r="G451" s="4">
        <f>Raw_Transactions!G451</f>
        <v/>
      </c>
      <c r="H451" s="4">
        <f>XLOOKUP(B451,Raw_Risk_Profiles!$A:$A,Raw_Risk_Profiles!$B:$B,"Not Found")</f>
        <v/>
      </c>
      <c r="I451" s="4">
        <f>XLOOKUP(B451,Raw_Risk_Profiles!$A:$A,Raw_Risk_Profiles!$C:$C,"Missing")</f>
        <v/>
      </c>
      <c r="J451" s="4">
        <f>XLOOKUP(B451,Raw_Risk_Profiles!$A:$A,Raw_Risk_Profiles!$D:$D,"")</f>
        <v/>
      </c>
      <c r="K451" s="4">
        <f>IFERROR(INDEX(Raw_Risk_Profiles!$E:$E,MATCH(B451,Raw_Risk_Profiles!$A:$A,0)),"Unknown")</f>
        <v/>
      </c>
      <c r="L451" s="4">
        <f>IFERROR(XLOOKUP(A451,Raw_Alerts!$B:$B,Raw_Alerts!$A:$A),"No Alert")</f>
        <v/>
      </c>
      <c r="M451" s="4">
        <f>IFERROR(XLOOKUP(A451,Raw_Alerts!$B:$B,Raw_Alerts!$C:$C),"")</f>
        <v/>
      </c>
      <c r="N451" s="4">
        <f>IFERROR(XLOOKUP(A451,Raw_Alerts!$B:$B,Raw_Alerts!$D:$D),"")</f>
        <v/>
      </c>
      <c r="O451" s="4">
        <f>IFERROR(XLOOKUP(A451,Raw_Alerts!$B:$B,Raw_Alerts!$F:$F),"")</f>
        <v/>
      </c>
      <c r="P451" s="4">
        <f>IF(H451="Not Found","CRITICAL: No Risk Profile",IF(I451="Missing","WARN: Missing KYC",IF(I451="Expired","WARN: KYC Expired",IF(I451="Pending","INFO: KYC Pending","OK"))))</f>
        <v/>
      </c>
    </row>
    <row r="452">
      <c r="A452" s="2">
        <f>Raw_Transactions!A452</f>
        <v/>
      </c>
      <c r="B452" s="2">
        <f>Raw_Transactions!B452</f>
        <v/>
      </c>
      <c r="C452" s="2">
        <f>Raw_Transactions!C452</f>
        <v/>
      </c>
      <c r="D452" s="3">
        <f>Raw_Transactions!D452</f>
        <v/>
      </c>
      <c r="E452" s="2">
        <f>Raw_Transactions!E452</f>
        <v/>
      </c>
      <c r="F452" s="2">
        <f>Raw_Transactions!F452</f>
        <v/>
      </c>
      <c r="G452" s="2">
        <f>Raw_Transactions!G452</f>
        <v/>
      </c>
      <c r="H452" s="2">
        <f>XLOOKUP(B452,Raw_Risk_Profiles!$A:$A,Raw_Risk_Profiles!$B:$B,"Not Found")</f>
        <v/>
      </c>
      <c r="I452" s="2">
        <f>XLOOKUP(B452,Raw_Risk_Profiles!$A:$A,Raw_Risk_Profiles!$C:$C,"Missing")</f>
        <v/>
      </c>
      <c r="J452" s="2">
        <f>XLOOKUP(B452,Raw_Risk_Profiles!$A:$A,Raw_Risk_Profiles!$D:$D,"")</f>
        <v/>
      </c>
      <c r="K452" s="2">
        <f>IFERROR(INDEX(Raw_Risk_Profiles!$E:$E,MATCH(B452,Raw_Risk_Profiles!$A:$A,0)),"Unknown")</f>
        <v/>
      </c>
      <c r="L452" s="2">
        <f>IFERROR(XLOOKUP(A452,Raw_Alerts!$B:$B,Raw_Alerts!$A:$A),"No Alert")</f>
        <v/>
      </c>
      <c r="M452" s="2">
        <f>IFERROR(XLOOKUP(A452,Raw_Alerts!$B:$B,Raw_Alerts!$C:$C),"")</f>
        <v/>
      </c>
      <c r="N452" s="2">
        <f>IFERROR(XLOOKUP(A452,Raw_Alerts!$B:$B,Raw_Alerts!$D:$D),"")</f>
        <v/>
      </c>
      <c r="O452" s="2">
        <f>IFERROR(XLOOKUP(A452,Raw_Alerts!$B:$B,Raw_Alerts!$F:$F),"")</f>
        <v/>
      </c>
      <c r="P452" s="2">
        <f>IF(H452="Not Found","CRITICAL: No Risk Profile",IF(I452="Missing","WARN: Missing KYC",IF(I452="Expired","WARN: KYC Expired",IF(I452="Pending","INFO: KYC Pending","OK"))))</f>
        <v/>
      </c>
    </row>
    <row r="453">
      <c r="A453" s="4">
        <f>Raw_Transactions!A453</f>
        <v/>
      </c>
      <c r="B453" s="4">
        <f>Raw_Transactions!B453</f>
        <v/>
      </c>
      <c r="C453" s="4">
        <f>Raw_Transactions!C453</f>
        <v/>
      </c>
      <c r="D453" s="5">
        <f>Raw_Transactions!D453</f>
        <v/>
      </c>
      <c r="E453" s="4">
        <f>Raw_Transactions!E453</f>
        <v/>
      </c>
      <c r="F453" s="4">
        <f>Raw_Transactions!F453</f>
        <v/>
      </c>
      <c r="G453" s="4">
        <f>Raw_Transactions!G453</f>
        <v/>
      </c>
      <c r="H453" s="4">
        <f>XLOOKUP(B453,Raw_Risk_Profiles!$A:$A,Raw_Risk_Profiles!$B:$B,"Not Found")</f>
        <v/>
      </c>
      <c r="I453" s="4">
        <f>XLOOKUP(B453,Raw_Risk_Profiles!$A:$A,Raw_Risk_Profiles!$C:$C,"Missing")</f>
        <v/>
      </c>
      <c r="J453" s="4">
        <f>XLOOKUP(B453,Raw_Risk_Profiles!$A:$A,Raw_Risk_Profiles!$D:$D,"")</f>
        <v/>
      </c>
      <c r="K453" s="4">
        <f>IFERROR(INDEX(Raw_Risk_Profiles!$E:$E,MATCH(B453,Raw_Risk_Profiles!$A:$A,0)),"Unknown")</f>
        <v/>
      </c>
      <c r="L453" s="4">
        <f>IFERROR(XLOOKUP(A453,Raw_Alerts!$B:$B,Raw_Alerts!$A:$A),"No Alert")</f>
        <v/>
      </c>
      <c r="M453" s="4">
        <f>IFERROR(XLOOKUP(A453,Raw_Alerts!$B:$B,Raw_Alerts!$C:$C),"")</f>
        <v/>
      </c>
      <c r="N453" s="4">
        <f>IFERROR(XLOOKUP(A453,Raw_Alerts!$B:$B,Raw_Alerts!$D:$D),"")</f>
        <v/>
      </c>
      <c r="O453" s="4">
        <f>IFERROR(XLOOKUP(A453,Raw_Alerts!$B:$B,Raw_Alerts!$F:$F),"")</f>
        <v/>
      </c>
      <c r="P453" s="4">
        <f>IF(H453="Not Found","CRITICAL: No Risk Profile",IF(I453="Missing","WARN: Missing KYC",IF(I453="Expired","WARN: KYC Expired",IF(I453="Pending","INFO: KYC Pending","OK"))))</f>
        <v/>
      </c>
    </row>
    <row r="454">
      <c r="A454" s="2">
        <f>Raw_Transactions!A454</f>
        <v/>
      </c>
      <c r="B454" s="2">
        <f>Raw_Transactions!B454</f>
        <v/>
      </c>
      <c r="C454" s="2">
        <f>Raw_Transactions!C454</f>
        <v/>
      </c>
      <c r="D454" s="3">
        <f>Raw_Transactions!D454</f>
        <v/>
      </c>
      <c r="E454" s="2">
        <f>Raw_Transactions!E454</f>
        <v/>
      </c>
      <c r="F454" s="2">
        <f>Raw_Transactions!F454</f>
        <v/>
      </c>
      <c r="G454" s="2">
        <f>Raw_Transactions!G454</f>
        <v/>
      </c>
      <c r="H454" s="2">
        <f>XLOOKUP(B454,Raw_Risk_Profiles!$A:$A,Raw_Risk_Profiles!$B:$B,"Not Found")</f>
        <v/>
      </c>
      <c r="I454" s="2">
        <f>XLOOKUP(B454,Raw_Risk_Profiles!$A:$A,Raw_Risk_Profiles!$C:$C,"Missing")</f>
        <v/>
      </c>
      <c r="J454" s="2">
        <f>XLOOKUP(B454,Raw_Risk_Profiles!$A:$A,Raw_Risk_Profiles!$D:$D,"")</f>
        <v/>
      </c>
      <c r="K454" s="2">
        <f>IFERROR(INDEX(Raw_Risk_Profiles!$E:$E,MATCH(B454,Raw_Risk_Profiles!$A:$A,0)),"Unknown")</f>
        <v/>
      </c>
      <c r="L454" s="2">
        <f>IFERROR(XLOOKUP(A454,Raw_Alerts!$B:$B,Raw_Alerts!$A:$A),"No Alert")</f>
        <v/>
      </c>
      <c r="M454" s="2">
        <f>IFERROR(XLOOKUP(A454,Raw_Alerts!$B:$B,Raw_Alerts!$C:$C),"")</f>
        <v/>
      </c>
      <c r="N454" s="2">
        <f>IFERROR(XLOOKUP(A454,Raw_Alerts!$B:$B,Raw_Alerts!$D:$D),"")</f>
        <v/>
      </c>
      <c r="O454" s="2">
        <f>IFERROR(XLOOKUP(A454,Raw_Alerts!$B:$B,Raw_Alerts!$F:$F),"")</f>
        <v/>
      </c>
      <c r="P454" s="2">
        <f>IF(H454="Not Found","CRITICAL: No Risk Profile",IF(I454="Missing","WARN: Missing KYC",IF(I454="Expired","WARN: KYC Expired",IF(I454="Pending","INFO: KYC Pending","OK"))))</f>
        <v/>
      </c>
    </row>
    <row r="455">
      <c r="A455" s="4">
        <f>Raw_Transactions!A455</f>
        <v/>
      </c>
      <c r="B455" s="4">
        <f>Raw_Transactions!B455</f>
        <v/>
      </c>
      <c r="C455" s="4">
        <f>Raw_Transactions!C455</f>
        <v/>
      </c>
      <c r="D455" s="5">
        <f>Raw_Transactions!D455</f>
        <v/>
      </c>
      <c r="E455" s="4">
        <f>Raw_Transactions!E455</f>
        <v/>
      </c>
      <c r="F455" s="4">
        <f>Raw_Transactions!F455</f>
        <v/>
      </c>
      <c r="G455" s="4">
        <f>Raw_Transactions!G455</f>
        <v/>
      </c>
      <c r="H455" s="4">
        <f>XLOOKUP(B455,Raw_Risk_Profiles!$A:$A,Raw_Risk_Profiles!$B:$B,"Not Found")</f>
        <v/>
      </c>
      <c r="I455" s="4">
        <f>XLOOKUP(B455,Raw_Risk_Profiles!$A:$A,Raw_Risk_Profiles!$C:$C,"Missing")</f>
        <v/>
      </c>
      <c r="J455" s="4">
        <f>XLOOKUP(B455,Raw_Risk_Profiles!$A:$A,Raw_Risk_Profiles!$D:$D,"")</f>
        <v/>
      </c>
      <c r="K455" s="4">
        <f>IFERROR(INDEX(Raw_Risk_Profiles!$E:$E,MATCH(B455,Raw_Risk_Profiles!$A:$A,0)),"Unknown")</f>
        <v/>
      </c>
      <c r="L455" s="4">
        <f>IFERROR(XLOOKUP(A455,Raw_Alerts!$B:$B,Raw_Alerts!$A:$A),"No Alert")</f>
        <v/>
      </c>
      <c r="M455" s="4">
        <f>IFERROR(XLOOKUP(A455,Raw_Alerts!$B:$B,Raw_Alerts!$C:$C),"")</f>
        <v/>
      </c>
      <c r="N455" s="4">
        <f>IFERROR(XLOOKUP(A455,Raw_Alerts!$B:$B,Raw_Alerts!$D:$D),"")</f>
        <v/>
      </c>
      <c r="O455" s="4">
        <f>IFERROR(XLOOKUP(A455,Raw_Alerts!$B:$B,Raw_Alerts!$F:$F),"")</f>
        <v/>
      </c>
      <c r="P455" s="4">
        <f>IF(H455="Not Found","CRITICAL: No Risk Profile",IF(I455="Missing","WARN: Missing KYC",IF(I455="Expired","WARN: KYC Expired",IF(I455="Pending","INFO: KYC Pending","OK"))))</f>
        <v/>
      </c>
    </row>
    <row r="456">
      <c r="A456" s="2">
        <f>Raw_Transactions!A456</f>
        <v/>
      </c>
      <c r="B456" s="2">
        <f>Raw_Transactions!B456</f>
        <v/>
      </c>
      <c r="C456" s="2">
        <f>Raw_Transactions!C456</f>
        <v/>
      </c>
      <c r="D456" s="3">
        <f>Raw_Transactions!D456</f>
        <v/>
      </c>
      <c r="E456" s="2">
        <f>Raw_Transactions!E456</f>
        <v/>
      </c>
      <c r="F456" s="2">
        <f>Raw_Transactions!F456</f>
        <v/>
      </c>
      <c r="G456" s="2">
        <f>Raw_Transactions!G456</f>
        <v/>
      </c>
      <c r="H456" s="2">
        <f>XLOOKUP(B456,Raw_Risk_Profiles!$A:$A,Raw_Risk_Profiles!$B:$B,"Not Found")</f>
        <v/>
      </c>
      <c r="I456" s="2">
        <f>XLOOKUP(B456,Raw_Risk_Profiles!$A:$A,Raw_Risk_Profiles!$C:$C,"Missing")</f>
        <v/>
      </c>
      <c r="J456" s="2">
        <f>XLOOKUP(B456,Raw_Risk_Profiles!$A:$A,Raw_Risk_Profiles!$D:$D,"")</f>
        <v/>
      </c>
      <c r="K456" s="2">
        <f>IFERROR(INDEX(Raw_Risk_Profiles!$E:$E,MATCH(B456,Raw_Risk_Profiles!$A:$A,0)),"Unknown")</f>
        <v/>
      </c>
      <c r="L456" s="2">
        <f>IFERROR(XLOOKUP(A456,Raw_Alerts!$B:$B,Raw_Alerts!$A:$A),"No Alert")</f>
        <v/>
      </c>
      <c r="M456" s="2">
        <f>IFERROR(XLOOKUP(A456,Raw_Alerts!$B:$B,Raw_Alerts!$C:$C),"")</f>
        <v/>
      </c>
      <c r="N456" s="2">
        <f>IFERROR(XLOOKUP(A456,Raw_Alerts!$B:$B,Raw_Alerts!$D:$D),"")</f>
        <v/>
      </c>
      <c r="O456" s="2">
        <f>IFERROR(XLOOKUP(A456,Raw_Alerts!$B:$B,Raw_Alerts!$F:$F),"")</f>
        <v/>
      </c>
      <c r="P456" s="2">
        <f>IF(H456="Not Found","CRITICAL: No Risk Profile",IF(I456="Missing","WARN: Missing KYC",IF(I456="Expired","WARN: KYC Expired",IF(I456="Pending","INFO: KYC Pending","OK"))))</f>
        <v/>
      </c>
    </row>
    <row r="457">
      <c r="A457" s="4">
        <f>Raw_Transactions!A457</f>
        <v/>
      </c>
      <c r="B457" s="4">
        <f>Raw_Transactions!B457</f>
        <v/>
      </c>
      <c r="C457" s="4">
        <f>Raw_Transactions!C457</f>
        <v/>
      </c>
      <c r="D457" s="5">
        <f>Raw_Transactions!D457</f>
        <v/>
      </c>
      <c r="E457" s="4">
        <f>Raw_Transactions!E457</f>
        <v/>
      </c>
      <c r="F457" s="4">
        <f>Raw_Transactions!F457</f>
        <v/>
      </c>
      <c r="G457" s="4">
        <f>Raw_Transactions!G457</f>
        <v/>
      </c>
      <c r="H457" s="4">
        <f>XLOOKUP(B457,Raw_Risk_Profiles!$A:$A,Raw_Risk_Profiles!$B:$B,"Not Found")</f>
        <v/>
      </c>
      <c r="I457" s="4">
        <f>XLOOKUP(B457,Raw_Risk_Profiles!$A:$A,Raw_Risk_Profiles!$C:$C,"Missing")</f>
        <v/>
      </c>
      <c r="J457" s="4">
        <f>XLOOKUP(B457,Raw_Risk_Profiles!$A:$A,Raw_Risk_Profiles!$D:$D,"")</f>
        <v/>
      </c>
      <c r="K457" s="4">
        <f>IFERROR(INDEX(Raw_Risk_Profiles!$E:$E,MATCH(B457,Raw_Risk_Profiles!$A:$A,0)),"Unknown")</f>
        <v/>
      </c>
      <c r="L457" s="4">
        <f>IFERROR(XLOOKUP(A457,Raw_Alerts!$B:$B,Raw_Alerts!$A:$A),"No Alert")</f>
        <v/>
      </c>
      <c r="M457" s="4">
        <f>IFERROR(XLOOKUP(A457,Raw_Alerts!$B:$B,Raw_Alerts!$C:$C),"")</f>
        <v/>
      </c>
      <c r="N457" s="4">
        <f>IFERROR(XLOOKUP(A457,Raw_Alerts!$B:$B,Raw_Alerts!$D:$D),"")</f>
        <v/>
      </c>
      <c r="O457" s="4">
        <f>IFERROR(XLOOKUP(A457,Raw_Alerts!$B:$B,Raw_Alerts!$F:$F),"")</f>
        <v/>
      </c>
      <c r="P457" s="4">
        <f>IF(H457="Not Found","CRITICAL: No Risk Profile",IF(I457="Missing","WARN: Missing KYC",IF(I457="Expired","WARN: KYC Expired",IF(I457="Pending","INFO: KYC Pending","OK"))))</f>
        <v/>
      </c>
    </row>
    <row r="458">
      <c r="A458" s="2">
        <f>Raw_Transactions!A458</f>
        <v/>
      </c>
      <c r="B458" s="2">
        <f>Raw_Transactions!B458</f>
        <v/>
      </c>
      <c r="C458" s="2">
        <f>Raw_Transactions!C458</f>
        <v/>
      </c>
      <c r="D458" s="3">
        <f>Raw_Transactions!D458</f>
        <v/>
      </c>
      <c r="E458" s="2">
        <f>Raw_Transactions!E458</f>
        <v/>
      </c>
      <c r="F458" s="2">
        <f>Raw_Transactions!F458</f>
        <v/>
      </c>
      <c r="G458" s="2">
        <f>Raw_Transactions!G458</f>
        <v/>
      </c>
      <c r="H458" s="2">
        <f>XLOOKUP(B458,Raw_Risk_Profiles!$A:$A,Raw_Risk_Profiles!$B:$B,"Not Found")</f>
        <v/>
      </c>
      <c r="I458" s="2">
        <f>XLOOKUP(B458,Raw_Risk_Profiles!$A:$A,Raw_Risk_Profiles!$C:$C,"Missing")</f>
        <v/>
      </c>
      <c r="J458" s="2">
        <f>XLOOKUP(B458,Raw_Risk_Profiles!$A:$A,Raw_Risk_Profiles!$D:$D,"")</f>
        <v/>
      </c>
      <c r="K458" s="2">
        <f>IFERROR(INDEX(Raw_Risk_Profiles!$E:$E,MATCH(B458,Raw_Risk_Profiles!$A:$A,0)),"Unknown")</f>
        <v/>
      </c>
      <c r="L458" s="2">
        <f>IFERROR(XLOOKUP(A458,Raw_Alerts!$B:$B,Raw_Alerts!$A:$A),"No Alert")</f>
        <v/>
      </c>
      <c r="M458" s="2">
        <f>IFERROR(XLOOKUP(A458,Raw_Alerts!$B:$B,Raw_Alerts!$C:$C),"")</f>
        <v/>
      </c>
      <c r="N458" s="2">
        <f>IFERROR(XLOOKUP(A458,Raw_Alerts!$B:$B,Raw_Alerts!$D:$D),"")</f>
        <v/>
      </c>
      <c r="O458" s="2">
        <f>IFERROR(XLOOKUP(A458,Raw_Alerts!$B:$B,Raw_Alerts!$F:$F),"")</f>
        <v/>
      </c>
      <c r="P458" s="2">
        <f>IF(H458="Not Found","CRITICAL: No Risk Profile",IF(I458="Missing","WARN: Missing KYC",IF(I458="Expired","WARN: KYC Expired",IF(I458="Pending","INFO: KYC Pending","OK"))))</f>
        <v/>
      </c>
    </row>
    <row r="459">
      <c r="A459" s="4">
        <f>Raw_Transactions!A459</f>
        <v/>
      </c>
      <c r="B459" s="4">
        <f>Raw_Transactions!B459</f>
        <v/>
      </c>
      <c r="C459" s="4">
        <f>Raw_Transactions!C459</f>
        <v/>
      </c>
      <c r="D459" s="5">
        <f>Raw_Transactions!D459</f>
        <v/>
      </c>
      <c r="E459" s="4">
        <f>Raw_Transactions!E459</f>
        <v/>
      </c>
      <c r="F459" s="4">
        <f>Raw_Transactions!F459</f>
        <v/>
      </c>
      <c r="G459" s="4">
        <f>Raw_Transactions!G459</f>
        <v/>
      </c>
      <c r="H459" s="4">
        <f>XLOOKUP(B459,Raw_Risk_Profiles!$A:$A,Raw_Risk_Profiles!$B:$B,"Not Found")</f>
        <v/>
      </c>
      <c r="I459" s="4">
        <f>XLOOKUP(B459,Raw_Risk_Profiles!$A:$A,Raw_Risk_Profiles!$C:$C,"Missing")</f>
        <v/>
      </c>
      <c r="J459" s="4">
        <f>XLOOKUP(B459,Raw_Risk_Profiles!$A:$A,Raw_Risk_Profiles!$D:$D,"")</f>
        <v/>
      </c>
      <c r="K459" s="4">
        <f>IFERROR(INDEX(Raw_Risk_Profiles!$E:$E,MATCH(B459,Raw_Risk_Profiles!$A:$A,0)),"Unknown")</f>
        <v/>
      </c>
      <c r="L459" s="4">
        <f>IFERROR(XLOOKUP(A459,Raw_Alerts!$B:$B,Raw_Alerts!$A:$A),"No Alert")</f>
        <v/>
      </c>
      <c r="M459" s="4">
        <f>IFERROR(XLOOKUP(A459,Raw_Alerts!$B:$B,Raw_Alerts!$C:$C),"")</f>
        <v/>
      </c>
      <c r="N459" s="4">
        <f>IFERROR(XLOOKUP(A459,Raw_Alerts!$B:$B,Raw_Alerts!$D:$D),"")</f>
        <v/>
      </c>
      <c r="O459" s="4">
        <f>IFERROR(XLOOKUP(A459,Raw_Alerts!$B:$B,Raw_Alerts!$F:$F),"")</f>
        <v/>
      </c>
      <c r="P459" s="4">
        <f>IF(H459="Not Found","CRITICAL: No Risk Profile",IF(I459="Missing","WARN: Missing KYC",IF(I459="Expired","WARN: KYC Expired",IF(I459="Pending","INFO: KYC Pending","OK"))))</f>
        <v/>
      </c>
    </row>
    <row r="460">
      <c r="A460" s="2">
        <f>Raw_Transactions!A460</f>
        <v/>
      </c>
      <c r="B460" s="2">
        <f>Raw_Transactions!B460</f>
        <v/>
      </c>
      <c r="C460" s="2">
        <f>Raw_Transactions!C460</f>
        <v/>
      </c>
      <c r="D460" s="3">
        <f>Raw_Transactions!D460</f>
        <v/>
      </c>
      <c r="E460" s="2">
        <f>Raw_Transactions!E460</f>
        <v/>
      </c>
      <c r="F460" s="2">
        <f>Raw_Transactions!F460</f>
        <v/>
      </c>
      <c r="G460" s="2">
        <f>Raw_Transactions!G460</f>
        <v/>
      </c>
      <c r="H460" s="2">
        <f>XLOOKUP(B460,Raw_Risk_Profiles!$A:$A,Raw_Risk_Profiles!$B:$B,"Not Found")</f>
        <v/>
      </c>
      <c r="I460" s="2">
        <f>XLOOKUP(B460,Raw_Risk_Profiles!$A:$A,Raw_Risk_Profiles!$C:$C,"Missing")</f>
        <v/>
      </c>
      <c r="J460" s="2">
        <f>XLOOKUP(B460,Raw_Risk_Profiles!$A:$A,Raw_Risk_Profiles!$D:$D,"")</f>
        <v/>
      </c>
      <c r="K460" s="2">
        <f>IFERROR(INDEX(Raw_Risk_Profiles!$E:$E,MATCH(B460,Raw_Risk_Profiles!$A:$A,0)),"Unknown")</f>
        <v/>
      </c>
      <c r="L460" s="2">
        <f>IFERROR(XLOOKUP(A460,Raw_Alerts!$B:$B,Raw_Alerts!$A:$A),"No Alert")</f>
        <v/>
      </c>
      <c r="M460" s="2">
        <f>IFERROR(XLOOKUP(A460,Raw_Alerts!$B:$B,Raw_Alerts!$C:$C),"")</f>
        <v/>
      </c>
      <c r="N460" s="2">
        <f>IFERROR(XLOOKUP(A460,Raw_Alerts!$B:$B,Raw_Alerts!$D:$D),"")</f>
        <v/>
      </c>
      <c r="O460" s="2">
        <f>IFERROR(XLOOKUP(A460,Raw_Alerts!$B:$B,Raw_Alerts!$F:$F),"")</f>
        <v/>
      </c>
      <c r="P460" s="2">
        <f>IF(H460="Not Found","CRITICAL: No Risk Profile",IF(I460="Missing","WARN: Missing KYC",IF(I460="Expired","WARN: KYC Expired",IF(I460="Pending","INFO: KYC Pending","OK"))))</f>
        <v/>
      </c>
    </row>
    <row r="461">
      <c r="A461" s="4">
        <f>Raw_Transactions!A461</f>
        <v/>
      </c>
      <c r="B461" s="4">
        <f>Raw_Transactions!B461</f>
        <v/>
      </c>
      <c r="C461" s="4">
        <f>Raw_Transactions!C461</f>
        <v/>
      </c>
      <c r="D461" s="5">
        <f>Raw_Transactions!D461</f>
        <v/>
      </c>
      <c r="E461" s="4">
        <f>Raw_Transactions!E461</f>
        <v/>
      </c>
      <c r="F461" s="4">
        <f>Raw_Transactions!F461</f>
        <v/>
      </c>
      <c r="G461" s="4">
        <f>Raw_Transactions!G461</f>
        <v/>
      </c>
      <c r="H461" s="4">
        <f>XLOOKUP(B461,Raw_Risk_Profiles!$A:$A,Raw_Risk_Profiles!$B:$B,"Not Found")</f>
        <v/>
      </c>
      <c r="I461" s="4">
        <f>XLOOKUP(B461,Raw_Risk_Profiles!$A:$A,Raw_Risk_Profiles!$C:$C,"Missing")</f>
        <v/>
      </c>
      <c r="J461" s="4">
        <f>XLOOKUP(B461,Raw_Risk_Profiles!$A:$A,Raw_Risk_Profiles!$D:$D,"")</f>
        <v/>
      </c>
      <c r="K461" s="4">
        <f>IFERROR(INDEX(Raw_Risk_Profiles!$E:$E,MATCH(B461,Raw_Risk_Profiles!$A:$A,0)),"Unknown")</f>
        <v/>
      </c>
      <c r="L461" s="4">
        <f>IFERROR(XLOOKUP(A461,Raw_Alerts!$B:$B,Raw_Alerts!$A:$A),"No Alert")</f>
        <v/>
      </c>
      <c r="M461" s="4">
        <f>IFERROR(XLOOKUP(A461,Raw_Alerts!$B:$B,Raw_Alerts!$C:$C),"")</f>
        <v/>
      </c>
      <c r="N461" s="4">
        <f>IFERROR(XLOOKUP(A461,Raw_Alerts!$B:$B,Raw_Alerts!$D:$D),"")</f>
        <v/>
      </c>
      <c r="O461" s="4">
        <f>IFERROR(XLOOKUP(A461,Raw_Alerts!$B:$B,Raw_Alerts!$F:$F),"")</f>
        <v/>
      </c>
      <c r="P461" s="4">
        <f>IF(H461="Not Found","CRITICAL: No Risk Profile",IF(I461="Missing","WARN: Missing KYC",IF(I461="Expired","WARN: KYC Expired",IF(I461="Pending","INFO: KYC Pending","OK"))))</f>
        <v/>
      </c>
    </row>
    <row r="462">
      <c r="A462" s="2">
        <f>Raw_Transactions!A462</f>
        <v/>
      </c>
      <c r="B462" s="2">
        <f>Raw_Transactions!B462</f>
        <v/>
      </c>
      <c r="C462" s="2">
        <f>Raw_Transactions!C462</f>
        <v/>
      </c>
      <c r="D462" s="3">
        <f>Raw_Transactions!D462</f>
        <v/>
      </c>
      <c r="E462" s="2">
        <f>Raw_Transactions!E462</f>
        <v/>
      </c>
      <c r="F462" s="2">
        <f>Raw_Transactions!F462</f>
        <v/>
      </c>
      <c r="G462" s="2">
        <f>Raw_Transactions!G462</f>
        <v/>
      </c>
      <c r="H462" s="2">
        <f>XLOOKUP(B462,Raw_Risk_Profiles!$A:$A,Raw_Risk_Profiles!$B:$B,"Not Found")</f>
        <v/>
      </c>
      <c r="I462" s="2">
        <f>XLOOKUP(B462,Raw_Risk_Profiles!$A:$A,Raw_Risk_Profiles!$C:$C,"Missing")</f>
        <v/>
      </c>
      <c r="J462" s="2">
        <f>XLOOKUP(B462,Raw_Risk_Profiles!$A:$A,Raw_Risk_Profiles!$D:$D,"")</f>
        <v/>
      </c>
      <c r="K462" s="2">
        <f>IFERROR(INDEX(Raw_Risk_Profiles!$E:$E,MATCH(B462,Raw_Risk_Profiles!$A:$A,0)),"Unknown")</f>
        <v/>
      </c>
      <c r="L462" s="2">
        <f>IFERROR(XLOOKUP(A462,Raw_Alerts!$B:$B,Raw_Alerts!$A:$A),"No Alert")</f>
        <v/>
      </c>
      <c r="M462" s="2">
        <f>IFERROR(XLOOKUP(A462,Raw_Alerts!$B:$B,Raw_Alerts!$C:$C),"")</f>
        <v/>
      </c>
      <c r="N462" s="2">
        <f>IFERROR(XLOOKUP(A462,Raw_Alerts!$B:$B,Raw_Alerts!$D:$D),"")</f>
        <v/>
      </c>
      <c r="O462" s="2">
        <f>IFERROR(XLOOKUP(A462,Raw_Alerts!$B:$B,Raw_Alerts!$F:$F),"")</f>
        <v/>
      </c>
      <c r="P462" s="2">
        <f>IF(H462="Not Found","CRITICAL: No Risk Profile",IF(I462="Missing","WARN: Missing KYC",IF(I462="Expired","WARN: KYC Expired",IF(I462="Pending","INFO: KYC Pending","OK"))))</f>
        <v/>
      </c>
    </row>
    <row r="463">
      <c r="A463" s="4">
        <f>Raw_Transactions!A463</f>
        <v/>
      </c>
      <c r="B463" s="4">
        <f>Raw_Transactions!B463</f>
        <v/>
      </c>
      <c r="C463" s="4">
        <f>Raw_Transactions!C463</f>
        <v/>
      </c>
      <c r="D463" s="5">
        <f>Raw_Transactions!D463</f>
        <v/>
      </c>
      <c r="E463" s="4">
        <f>Raw_Transactions!E463</f>
        <v/>
      </c>
      <c r="F463" s="4">
        <f>Raw_Transactions!F463</f>
        <v/>
      </c>
      <c r="G463" s="4">
        <f>Raw_Transactions!G463</f>
        <v/>
      </c>
      <c r="H463" s="4">
        <f>XLOOKUP(B463,Raw_Risk_Profiles!$A:$A,Raw_Risk_Profiles!$B:$B,"Not Found")</f>
        <v/>
      </c>
      <c r="I463" s="4">
        <f>XLOOKUP(B463,Raw_Risk_Profiles!$A:$A,Raw_Risk_Profiles!$C:$C,"Missing")</f>
        <v/>
      </c>
      <c r="J463" s="4">
        <f>XLOOKUP(B463,Raw_Risk_Profiles!$A:$A,Raw_Risk_Profiles!$D:$D,"")</f>
        <v/>
      </c>
      <c r="K463" s="4">
        <f>IFERROR(INDEX(Raw_Risk_Profiles!$E:$E,MATCH(B463,Raw_Risk_Profiles!$A:$A,0)),"Unknown")</f>
        <v/>
      </c>
      <c r="L463" s="4">
        <f>IFERROR(XLOOKUP(A463,Raw_Alerts!$B:$B,Raw_Alerts!$A:$A),"No Alert")</f>
        <v/>
      </c>
      <c r="M463" s="4">
        <f>IFERROR(XLOOKUP(A463,Raw_Alerts!$B:$B,Raw_Alerts!$C:$C),"")</f>
        <v/>
      </c>
      <c r="N463" s="4">
        <f>IFERROR(XLOOKUP(A463,Raw_Alerts!$B:$B,Raw_Alerts!$D:$D),"")</f>
        <v/>
      </c>
      <c r="O463" s="4">
        <f>IFERROR(XLOOKUP(A463,Raw_Alerts!$B:$B,Raw_Alerts!$F:$F),"")</f>
        <v/>
      </c>
      <c r="P463" s="4">
        <f>IF(H463="Not Found","CRITICAL: No Risk Profile",IF(I463="Missing","WARN: Missing KYC",IF(I463="Expired","WARN: KYC Expired",IF(I463="Pending","INFO: KYC Pending","OK"))))</f>
        <v/>
      </c>
    </row>
    <row r="464">
      <c r="A464" s="2">
        <f>Raw_Transactions!A464</f>
        <v/>
      </c>
      <c r="B464" s="2">
        <f>Raw_Transactions!B464</f>
        <v/>
      </c>
      <c r="C464" s="2">
        <f>Raw_Transactions!C464</f>
        <v/>
      </c>
      <c r="D464" s="3">
        <f>Raw_Transactions!D464</f>
        <v/>
      </c>
      <c r="E464" s="2">
        <f>Raw_Transactions!E464</f>
        <v/>
      </c>
      <c r="F464" s="2">
        <f>Raw_Transactions!F464</f>
        <v/>
      </c>
      <c r="G464" s="2">
        <f>Raw_Transactions!G464</f>
        <v/>
      </c>
      <c r="H464" s="2">
        <f>XLOOKUP(B464,Raw_Risk_Profiles!$A:$A,Raw_Risk_Profiles!$B:$B,"Not Found")</f>
        <v/>
      </c>
      <c r="I464" s="2">
        <f>XLOOKUP(B464,Raw_Risk_Profiles!$A:$A,Raw_Risk_Profiles!$C:$C,"Missing")</f>
        <v/>
      </c>
      <c r="J464" s="2">
        <f>XLOOKUP(B464,Raw_Risk_Profiles!$A:$A,Raw_Risk_Profiles!$D:$D,"")</f>
        <v/>
      </c>
      <c r="K464" s="2">
        <f>IFERROR(INDEX(Raw_Risk_Profiles!$E:$E,MATCH(B464,Raw_Risk_Profiles!$A:$A,0)),"Unknown")</f>
        <v/>
      </c>
      <c r="L464" s="2">
        <f>IFERROR(XLOOKUP(A464,Raw_Alerts!$B:$B,Raw_Alerts!$A:$A),"No Alert")</f>
        <v/>
      </c>
      <c r="M464" s="2">
        <f>IFERROR(XLOOKUP(A464,Raw_Alerts!$B:$B,Raw_Alerts!$C:$C),"")</f>
        <v/>
      </c>
      <c r="N464" s="2">
        <f>IFERROR(XLOOKUP(A464,Raw_Alerts!$B:$B,Raw_Alerts!$D:$D),"")</f>
        <v/>
      </c>
      <c r="O464" s="2">
        <f>IFERROR(XLOOKUP(A464,Raw_Alerts!$B:$B,Raw_Alerts!$F:$F),"")</f>
        <v/>
      </c>
      <c r="P464" s="2">
        <f>IF(H464="Not Found","CRITICAL: No Risk Profile",IF(I464="Missing","WARN: Missing KYC",IF(I464="Expired","WARN: KYC Expired",IF(I464="Pending","INFO: KYC Pending","OK"))))</f>
        <v/>
      </c>
    </row>
    <row r="465">
      <c r="A465" s="4">
        <f>Raw_Transactions!A465</f>
        <v/>
      </c>
      <c r="B465" s="4">
        <f>Raw_Transactions!B465</f>
        <v/>
      </c>
      <c r="C465" s="4">
        <f>Raw_Transactions!C465</f>
        <v/>
      </c>
      <c r="D465" s="5">
        <f>Raw_Transactions!D465</f>
        <v/>
      </c>
      <c r="E465" s="4">
        <f>Raw_Transactions!E465</f>
        <v/>
      </c>
      <c r="F465" s="4">
        <f>Raw_Transactions!F465</f>
        <v/>
      </c>
      <c r="G465" s="4">
        <f>Raw_Transactions!G465</f>
        <v/>
      </c>
      <c r="H465" s="4">
        <f>XLOOKUP(B465,Raw_Risk_Profiles!$A:$A,Raw_Risk_Profiles!$B:$B,"Not Found")</f>
        <v/>
      </c>
      <c r="I465" s="4">
        <f>XLOOKUP(B465,Raw_Risk_Profiles!$A:$A,Raw_Risk_Profiles!$C:$C,"Missing")</f>
        <v/>
      </c>
      <c r="J465" s="4">
        <f>XLOOKUP(B465,Raw_Risk_Profiles!$A:$A,Raw_Risk_Profiles!$D:$D,"")</f>
        <v/>
      </c>
      <c r="K465" s="4">
        <f>IFERROR(INDEX(Raw_Risk_Profiles!$E:$E,MATCH(B465,Raw_Risk_Profiles!$A:$A,0)),"Unknown")</f>
        <v/>
      </c>
      <c r="L465" s="4">
        <f>IFERROR(XLOOKUP(A465,Raw_Alerts!$B:$B,Raw_Alerts!$A:$A),"No Alert")</f>
        <v/>
      </c>
      <c r="M465" s="4">
        <f>IFERROR(XLOOKUP(A465,Raw_Alerts!$B:$B,Raw_Alerts!$C:$C),"")</f>
        <v/>
      </c>
      <c r="N465" s="4">
        <f>IFERROR(XLOOKUP(A465,Raw_Alerts!$B:$B,Raw_Alerts!$D:$D),"")</f>
        <v/>
      </c>
      <c r="O465" s="4">
        <f>IFERROR(XLOOKUP(A465,Raw_Alerts!$B:$B,Raw_Alerts!$F:$F),"")</f>
        <v/>
      </c>
      <c r="P465" s="4">
        <f>IF(H465="Not Found","CRITICAL: No Risk Profile",IF(I465="Missing","WARN: Missing KYC",IF(I465="Expired","WARN: KYC Expired",IF(I465="Pending","INFO: KYC Pending","OK"))))</f>
        <v/>
      </c>
    </row>
    <row r="466">
      <c r="A466" s="2">
        <f>Raw_Transactions!A466</f>
        <v/>
      </c>
      <c r="B466" s="2">
        <f>Raw_Transactions!B466</f>
        <v/>
      </c>
      <c r="C466" s="2">
        <f>Raw_Transactions!C466</f>
        <v/>
      </c>
      <c r="D466" s="3">
        <f>Raw_Transactions!D466</f>
        <v/>
      </c>
      <c r="E466" s="2">
        <f>Raw_Transactions!E466</f>
        <v/>
      </c>
      <c r="F466" s="2">
        <f>Raw_Transactions!F466</f>
        <v/>
      </c>
      <c r="G466" s="2">
        <f>Raw_Transactions!G466</f>
        <v/>
      </c>
      <c r="H466" s="2">
        <f>XLOOKUP(B466,Raw_Risk_Profiles!$A:$A,Raw_Risk_Profiles!$B:$B,"Not Found")</f>
        <v/>
      </c>
      <c r="I466" s="2">
        <f>XLOOKUP(B466,Raw_Risk_Profiles!$A:$A,Raw_Risk_Profiles!$C:$C,"Missing")</f>
        <v/>
      </c>
      <c r="J466" s="2">
        <f>XLOOKUP(B466,Raw_Risk_Profiles!$A:$A,Raw_Risk_Profiles!$D:$D,"")</f>
        <v/>
      </c>
      <c r="K466" s="2">
        <f>IFERROR(INDEX(Raw_Risk_Profiles!$E:$E,MATCH(B466,Raw_Risk_Profiles!$A:$A,0)),"Unknown")</f>
        <v/>
      </c>
      <c r="L466" s="2">
        <f>IFERROR(XLOOKUP(A466,Raw_Alerts!$B:$B,Raw_Alerts!$A:$A),"No Alert")</f>
        <v/>
      </c>
      <c r="M466" s="2">
        <f>IFERROR(XLOOKUP(A466,Raw_Alerts!$B:$B,Raw_Alerts!$C:$C),"")</f>
        <v/>
      </c>
      <c r="N466" s="2">
        <f>IFERROR(XLOOKUP(A466,Raw_Alerts!$B:$B,Raw_Alerts!$D:$D),"")</f>
        <v/>
      </c>
      <c r="O466" s="2">
        <f>IFERROR(XLOOKUP(A466,Raw_Alerts!$B:$B,Raw_Alerts!$F:$F),"")</f>
        <v/>
      </c>
      <c r="P466" s="2">
        <f>IF(H466="Not Found","CRITICAL: No Risk Profile",IF(I466="Missing","WARN: Missing KYC",IF(I466="Expired","WARN: KYC Expired",IF(I466="Pending","INFO: KYC Pending","OK"))))</f>
        <v/>
      </c>
    </row>
    <row r="467">
      <c r="A467" s="4">
        <f>Raw_Transactions!A467</f>
        <v/>
      </c>
      <c r="B467" s="4">
        <f>Raw_Transactions!B467</f>
        <v/>
      </c>
      <c r="C467" s="4">
        <f>Raw_Transactions!C467</f>
        <v/>
      </c>
      <c r="D467" s="5">
        <f>Raw_Transactions!D467</f>
        <v/>
      </c>
      <c r="E467" s="4">
        <f>Raw_Transactions!E467</f>
        <v/>
      </c>
      <c r="F467" s="4">
        <f>Raw_Transactions!F467</f>
        <v/>
      </c>
      <c r="G467" s="4">
        <f>Raw_Transactions!G467</f>
        <v/>
      </c>
      <c r="H467" s="4">
        <f>XLOOKUP(B467,Raw_Risk_Profiles!$A:$A,Raw_Risk_Profiles!$B:$B,"Not Found")</f>
        <v/>
      </c>
      <c r="I467" s="4">
        <f>XLOOKUP(B467,Raw_Risk_Profiles!$A:$A,Raw_Risk_Profiles!$C:$C,"Missing")</f>
        <v/>
      </c>
      <c r="J467" s="4">
        <f>XLOOKUP(B467,Raw_Risk_Profiles!$A:$A,Raw_Risk_Profiles!$D:$D,"")</f>
        <v/>
      </c>
      <c r="K467" s="4">
        <f>IFERROR(INDEX(Raw_Risk_Profiles!$E:$E,MATCH(B467,Raw_Risk_Profiles!$A:$A,0)),"Unknown")</f>
        <v/>
      </c>
      <c r="L467" s="4">
        <f>IFERROR(XLOOKUP(A467,Raw_Alerts!$B:$B,Raw_Alerts!$A:$A),"No Alert")</f>
        <v/>
      </c>
      <c r="M467" s="4">
        <f>IFERROR(XLOOKUP(A467,Raw_Alerts!$B:$B,Raw_Alerts!$C:$C),"")</f>
        <v/>
      </c>
      <c r="N467" s="4">
        <f>IFERROR(XLOOKUP(A467,Raw_Alerts!$B:$B,Raw_Alerts!$D:$D),"")</f>
        <v/>
      </c>
      <c r="O467" s="4">
        <f>IFERROR(XLOOKUP(A467,Raw_Alerts!$B:$B,Raw_Alerts!$F:$F),"")</f>
        <v/>
      </c>
      <c r="P467" s="4">
        <f>IF(H467="Not Found","CRITICAL: No Risk Profile",IF(I467="Missing","WARN: Missing KYC",IF(I467="Expired","WARN: KYC Expired",IF(I467="Pending","INFO: KYC Pending","OK"))))</f>
        <v/>
      </c>
    </row>
    <row r="468">
      <c r="A468" s="2">
        <f>Raw_Transactions!A468</f>
        <v/>
      </c>
      <c r="B468" s="2">
        <f>Raw_Transactions!B468</f>
        <v/>
      </c>
      <c r="C468" s="2">
        <f>Raw_Transactions!C468</f>
        <v/>
      </c>
      <c r="D468" s="3">
        <f>Raw_Transactions!D468</f>
        <v/>
      </c>
      <c r="E468" s="2">
        <f>Raw_Transactions!E468</f>
        <v/>
      </c>
      <c r="F468" s="2">
        <f>Raw_Transactions!F468</f>
        <v/>
      </c>
      <c r="G468" s="2">
        <f>Raw_Transactions!G468</f>
        <v/>
      </c>
      <c r="H468" s="2">
        <f>XLOOKUP(B468,Raw_Risk_Profiles!$A:$A,Raw_Risk_Profiles!$B:$B,"Not Found")</f>
        <v/>
      </c>
      <c r="I468" s="2">
        <f>XLOOKUP(B468,Raw_Risk_Profiles!$A:$A,Raw_Risk_Profiles!$C:$C,"Missing")</f>
        <v/>
      </c>
      <c r="J468" s="2">
        <f>XLOOKUP(B468,Raw_Risk_Profiles!$A:$A,Raw_Risk_Profiles!$D:$D,"")</f>
        <v/>
      </c>
      <c r="K468" s="2">
        <f>IFERROR(INDEX(Raw_Risk_Profiles!$E:$E,MATCH(B468,Raw_Risk_Profiles!$A:$A,0)),"Unknown")</f>
        <v/>
      </c>
      <c r="L468" s="2">
        <f>IFERROR(XLOOKUP(A468,Raw_Alerts!$B:$B,Raw_Alerts!$A:$A),"No Alert")</f>
        <v/>
      </c>
      <c r="M468" s="2">
        <f>IFERROR(XLOOKUP(A468,Raw_Alerts!$B:$B,Raw_Alerts!$C:$C),"")</f>
        <v/>
      </c>
      <c r="N468" s="2">
        <f>IFERROR(XLOOKUP(A468,Raw_Alerts!$B:$B,Raw_Alerts!$D:$D),"")</f>
        <v/>
      </c>
      <c r="O468" s="2">
        <f>IFERROR(XLOOKUP(A468,Raw_Alerts!$B:$B,Raw_Alerts!$F:$F),"")</f>
        <v/>
      </c>
      <c r="P468" s="2">
        <f>IF(H468="Not Found","CRITICAL: No Risk Profile",IF(I468="Missing","WARN: Missing KYC",IF(I468="Expired","WARN: KYC Expired",IF(I468="Pending","INFO: KYC Pending","OK"))))</f>
        <v/>
      </c>
    </row>
    <row r="469">
      <c r="A469" s="4">
        <f>Raw_Transactions!A469</f>
        <v/>
      </c>
      <c r="B469" s="4">
        <f>Raw_Transactions!B469</f>
        <v/>
      </c>
      <c r="C469" s="4">
        <f>Raw_Transactions!C469</f>
        <v/>
      </c>
      <c r="D469" s="5">
        <f>Raw_Transactions!D469</f>
        <v/>
      </c>
      <c r="E469" s="4">
        <f>Raw_Transactions!E469</f>
        <v/>
      </c>
      <c r="F469" s="4">
        <f>Raw_Transactions!F469</f>
        <v/>
      </c>
      <c r="G469" s="4">
        <f>Raw_Transactions!G469</f>
        <v/>
      </c>
      <c r="H469" s="4">
        <f>XLOOKUP(B469,Raw_Risk_Profiles!$A:$A,Raw_Risk_Profiles!$B:$B,"Not Found")</f>
        <v/>
      </c>
      <c r="I469" s="4">
        <f>XLOOKUP(B469,Raw_Risk_Profiles!$A:$A,Raw_Risk_Profiles!$C:$C,"Missing")</f>
        <v/>
      </c>
      <c r="J469" s="4">
        <f>XLOOKUP(B469,Raw_Risk_Profiles!$A:$A,Raw_Risk_Profiles!$D:$D,"")</f>
        <v/>
      </c>
      <c r="K469" s="4">
        <f>IFERROR(INDEX(Raw_Risk_Profiles!$E:$E,MATCH(B469,Raw_Risk_Profiles!$A:$A,0)),"Unknown")</f>
        <v/>
      </c>
      <c r="L469" s="4">
        <f>IFERROR(XLOOKUP(A469,Raw_Alerts!$B:$B,Raw_Alerts!$A:$A),"No Alert")</f>
        <v/>
      </c>
      <c r="M469" s="4">
        <f>IFERROR(XLOOKUP(A469,Raw_Alerts!$B:$B,Raw_Alerts!$C:$C),"")</f>
        <v/>
      </c>
      <c r="N469" s="4">
        <f>IFERROR(XLOOKUP(A469,Raw_Alerts!$B:$B,Raw_Alerts!$D:$D),"")</f>
        <v/>
      </c>
      <c r="O469" s="4">
        <f>IFERROR(XLOOKUP(A469,Raw_Alerts!$B:$B,Raw_Alerts!$F:$F),"")</f>
        <v/>
      </c>
      <c r="P469" s="4">
        <f>IF(H469="Not Found","CRITICAL: No Risk Profile",IF(I469="Missing","WARN: Missing KYC",IF(I469="Expired","WARN: KYC Expired",IF(I469="Pending","INFO: KYC Pending","OK"))))</f>
        <v/>
      </c>
    </row>
    <row r="470">
      <c r="A470" s="2">
        <f>Raw_Transactions!A470</f>
        <v/>
      </c>
      <c r="B470" s="2">
        <f>Raw_Transactions!B470</f>
        <v/>
      </c>
      <c r="C470" s="2">
        <f>Raw_Transactions!C470</f>
        <v/>
      </c>
      <c r="D470" s="3">
        <f>Raw_Transactions!D470</f>
        <v/>
      </c>
      <c r="E470" s="2">
        <f>Raw_Transactions!E470</f>
        <v/>
      </c>
      <c r="F470" s="2">
        <f>Raw_Transactions!F470</f>
        <v/>
      </c>
      <c r="G470" s="2">
        <f>Raw_Transactions!G470</f>
        <v/>
      </c>
      <c r="H470" s="2">
        <f>XLOOKUP(B470,Raw_Risk_Profiles!$A:$A,Raw_Risk_Profiles!$B:$B,"Not Found")</f>
        <v/>
      </c>
      <c r="I470" s="2">
        <f>XLOOKUP(B470,Raw_Risk_Profiles!$A:$A,Raw_Risk_Profiles!$C:$C,"Missing")</f>
        <v/>
      </c>
      <c r="J470" s="2">
        <f>XLOOKUP(B470,Raw_Risk_Profiles!$A:$A,Raw_Risk_Profiles!$D:$D,"")</f>
        <v/>
      </c>
      <c r="K470" s="2">
        <f>IFERROR(INDEX(Raw_Risk_Profiles!$E:$E,MATCH(B470,Raw_Risk_Profiles!$A:$A,0)),"Unknown")</f>
        <v/>
      </c>
      <c r="L470" s="2">
        <f>IFERROR(XLOOKUP(A470,Raw_Alerts!$B:$B,Raw_Alerts!$A:$A),"No Alert")</f>
        <v/>
      </c>
      <c r="M470" s="2">
        <f>IFERROR(XLOOKUP(A470,Raw_Alerts!$B:$B,Raw_Alerts!$C:$C),"")</f>
        <v/>
      </c>
      <c r="N470" s="2">
        <f>IFERROR(XLOOKUP(A470,Raw_Alerts!$B:$B,Raw_Alerts!$D:$D),"")</f>
        <v/>
      </c>
      <c r="O470" s="2">
        <f>IFERROR(XLOOKUP(A470,Raw_Alerts!$B:$B,Raw_Alerts!$F:$F),"")</f>
        <v/>
      </c>
      <c r="P470" s="2">
        <f>IF(H470="Not Found","CRITICAL: No Risk Profile",IF(I470="Missing","WARN: Missing KYC",IF(I470="Expired","WARN: KYC Expired",IF(I470="Pending","INFO: KYC Pending","OK"))))</f>
        <v/>
      </c>
    </row>
    <row r="471">
      <c r="A471" s="4">
        <f>Raw_Transactions!A471</f>
        <v/>
      </c>
      <c r="B471" s="4">
        <f>Raw_Transactions!B471</f>
        <v/>
      </c>
      <c r="C471" s="4">
        <f>Raw_Transactions!C471</f>
        <v/>
      </c>
      <c r="D471" s="5">
        <f>Raw_Transactions!D471</f>
        <v/>
      </c>
      <c r="E471" s="4">
        <f>Raw_Transactions!E471</f>
        <v/>
      </c>
      <c r="F471" s="4">
        <f>Raw_Transactions!F471</f>
        <v/>
      </c>
      <c r="G471" s="4">
        <f>Raw_Transactions!G471</f>
        <v/>
      </c>
      <c r="H471" s="4">
        <f>XLOOKUP(B471,Raw_Risk_Profiles!$A:$A,Raw_Risk_Profiles!$B:$B,"Not Found")</f>
        <v/>
      </c>
      <c r="I471" s="4">
        <f>XLOOKUP(B471,Raw_Risk_Profiles!$A:$A,Raw_Risk_Profiles!$C:$C,"Missing")</f>
        <v/>
      </c>
      <c r="J471" s="4">
        <f>XLOOKUP(B471,Raw_Risk_Profiles!$A:$A,Raw_Risk_Profiles!$D:$D,"")</f>
        <v/>
      </c>
      <c r="K471" s="4">
        <f>IFERROR(INDEX(Raw_Risk_Profiles!$E:$E,MATCH(B471,Raw_Risk_Profiles!$A:$A,0)),"Unknown")</f>
        <v/>
      </c>
      <c r="L471" s="4">
        <f>IFERROR(XLOOKUP(A471,Raw_Alerts!$B:$B,Raw_Alerts!$A:$A),"No Alert")</f>
        <v/>
      </c>
      <c r="M471" s="4">
        <f>IFERROR(XLOOKUP(A471,Raw_Alerts!$B:$B,Raw_Alerts!$C:$C),"")</f>
        <v/>
      </c>
      <c r="N471" s="4">
        <f>IFERROR(XLOOKUP(A471,Raw_Alerts!$B:$B,Raw_Alerts!$D:$D),"")</f>
        <v/>
      </c>
      <c r="O471" s="4">
        <f>IFERROR(XLOOKUP(A471,Raw_Alerts!$B:$B,Raw_Alerts!$F:$F),"")</f>
        <v/>
      </c>
      <c r="P471" s="4">
        <f>IF(H471="Not Found","CRITICAL: No Risk Profile",IF(I471="Missing","WARN: Missing KYC",IF(I471="Expired","WARN: KYC Expired",IF(I471="Pending","INFO: KYC Pending","OK"))))</f>
        <v/>
      </c>
    </row>
    <row r="472">
      <c r="A472" s="2">
        <f>Raw_Transactions!A472</f>
        <v/>
      </c>
      <c r="B472" s="2">
        <f>Raw_Transactions!B472</f>
        <v/>
      </c>
      <c r="C472" s="2">
        <f>Raw_Transactions!C472</f>
        <v/>
      </c>
      <c r="D472" s="3">
        <f>Raw_Transactions!D472</f>
        <v/>
      </c>
      <c r="E472" s="2">
        <f>Raw_Transactions!E472</f>
        <v/>
      </c>
      <c r="F472" s="2">
        <f>Raw_Transactions!F472</f>
        <v/>
      </c>
      <c r="G472" s="2">
        <f>Raw_Transactions!G472</f>
        <v/>
      </c>
      <c r="H472" s="2">
        <f>XLOOKUP(B472,Raw_Risk_Profiles!$A:$A,Raw_Risk_Profiles!$B:$B,"Not Found")</f>
        <v/>
      </c>
      <c r="I472" s="2">
        <f>XLOOKUP(B472,Raw_Risk_Profiles!$A:$A,Raw_Risk_Profiles!$C:$C,"Missing")</f>
        <v/>
      </c>
      <c r="J472" s="2">
        <f>XLOOKUP(B472,Raw_Risk_Profiles!$A:$A,Raw_Risk_Profiles!$D:$D,"")</f>
        <v/>
      </c>
      <c r="K472" s="2">
        <f>IFERROR(INDEX(Raw_Risk_Profiles!$E:$E,MATCH(B472,Raw_Risk_Profiles!$A:$A,0)),"Unknown")</f>
        <v/>
      </c>
      <c r="L472" s="2">
        <f>IFERROR(XLOOKUP(A472,Raw_Alerts!$B:$B,Raw_Alerts!$A:$A),"No Alert")</f>
        <v/>
      </c>
      <c r="M472" s="2">
        <f>IFERROR(XLOOKUP(A472,Raw_Alerts!$B:$B,Raw_Alerts!$C:$C),"")</f>
        <v/>
      </c>
      <c r="N472" s="2">
        <f>IFERROR(XLOOKUP(A472,Raw_Alerts!$B:$B,Raw_Alerts!$D:$D),"")</f>
        <v/>
      </c>
      <c r="O472" s="2">
        <f>IFERROR(XLOOKUP(A472,Raw_Alerts!$B:$B,Raw_Alerts!$F:$F),"")</f>
        <v/>
      </c>
      <c r="P472" s="2">
        <f>IF(H472="Not Found","CRITICAL: No Risk Profile",IF(I472="Missing","WARN: Missing KYC",IF(I472="Expired","WARN: KYC Expired",IF(I472="Pending","INFO: KYC Pending","OK"))))</f>
        <v/>
      </c>
    </row>
    <row r="473">
      <c r="A473" s="4">
        <f>Raw_Transactions!A473</f>
        <v/>
      </c>
      <c r="B473" s="4">
        <f>Raw_Transactions!B473</f>
        <v/>
      </c>
      <c r="C473" s="4">
        <f>Raw_Transactions!C473</f>
        <v/>
      </c>
      <c r="D473" s="5">
        <f>Raw_Transactions!D473</f>
        <v/>
      </c>
      <c r="E473" s="4">
        <f>Raw_Transactions!E473</f>
        <v/>
      </c>
      <c r="F473" s="4">
        <f>Raw_Transactions!F473</f>
        <v/>
      </c>
      <c r="G473" s="4">
        <f>Raw_Transactions!G473</f>
        <v/>
      </c>
      <c r="H473" s="4">
        <f>XLOOKUP(B473,Raw_Risk_Profiles!$A:$A,Raw_Risk_Profiles!$B:$B,"Not Found")</f>
        <v/>
      </c>
      <c r="I473" s="4">
        <f>XLOOKUP(B473,Raw_Risk_Profiles!$A:$A,Raw_Risk_Profiles!$C:$C,"Missing")</f>
        <v/>
      </c>
      <c r="J473" s="4">
        <f>XLOOKUP(B473,Raw_Risk_Profiles!$A:$A,Raw_Risk_Profiles!$D:$D,"")</f>
        <v/>
      </c>
      <c r="K473" s="4">
        <f>IFERROR(INDEX(Raw_Risk_Profiles!$E:$E,MATCH(B473,Raw_Risk_Profiles!$A:$A,0)),"Unknown")</f>
        <v/>
      </c>
      <c r="L473" s="4">
        <f>IFERROR(XLOOKUP(A473,Raw_Alerts!$B:$B,Raw_Alerts!$A:$A),"No Alert")</f>
        <v/>
      </c>
      <c r="M473" s="4">
        <f>IFERROR(XLOOKUP(A473,Raw_Alerts!$B:$B,Raw_Alerts!$C:$C),"")</f>
        <v/>
      </c>
      <c r="N473" s="4">
        <f>IFERROR(XLOOKUP(A473,Raw_Alerts!$B:$B,Raw_Alerts!$D:$D),"")</f>
        <v/>
      </c>
      <c r="O473" s="4">
        <f>IFERROR(XLOOKUP(A473,Raw_Alerts!$B:$B,Raw_Alerts!$F:$F),"")</f>
        <v/>
      </c>
      <c r="P473" s="4">
        <f>IF(H473="Not Found","CRITICAL: No Risk Profile",IF(I473="Missing","WARN: Missing KYC",IF(I473="Expired","WARN: KYC Expired",IF(I473="Pending","INFO: KYC Pending","OK"))))</f>
        <v/>
      </c>
    </row>
    <row r="474">
      <c r="A474" s="2">
        <f>Raw_Transactions!A474</f>
        <v/>
      </c>
      <c r="B474" s="2">
        <f>Raw_Transactions!B474</f>
        <v/>
      </c>
      <c r="C474" s="2">
        <f>Raw_Transactions!C474</f>
        <v/>
      </c>
      <c r="D474" s="3">
        <f>Raw_Transactions!D474</f>
        <v/>
      </c>
      <c r="E474" s="2">
        <f>Raw_Transactions!E474</f>
        <v/>
      </c>
      <c r="F474" s="2">
        <f>Raw_Transactions!F474</f>
        <v/>
      </c>
      <c r="G474" s="2">
        <f>Raw_Transactions!G474</f>
        <v/>
      </c>
      <c r="H474" s="2">
        <f>XLOOKUP(B474,Raw_Risk_Profiles!$A:$A,Raw_Risk_Profiles!$B:$B,"Not Found")</f>
        <v/>
      </c>
      <c r="I474" s="2">
        <f>XLOOKUP(B474,Raw_Risk_Profiles!$A:$A,Raw_Risk_Profiles!$C:$C,"Missing")</f>
        <v/>
      </c>
      <c r="J474" s="2">
        <f>XLOOKUP(B474,Raw_Risk_Profiles!$A:$A,Raw_Risk_Profiles!$D:$D,"")</f>
        <v/>
      </c>
      <c r="K474" s="2">
        <f>IFERROR(INDEX(Raw_Risk_Profiles!$E:$E,MATCH(B474,Raw_Risk_Profiles!$A:$A,0)),"Unknown")</f>
        <v/>
      </c>
      <c r="L474" s="2">
        <f>IFERROR(XLOOKUP(A474,Raw_Alerts!$B:$B,Raw_Alerts!$A:$A),"No Alert")</f>
        <v/>
      </c>
      <c r="M474" s="2">
        <f>IFERROR(XLOOKUP(A474,Raw_Alerts!$B:$B,Raw_Alerts!$C:$C),"")</f>
        <v/>
      </c>
      <c r="N474" s="2">
        <f>IFERROR(XLOOKUP(A474,Raw_Alerts!$B:$B,Raw_Alerts!$D:$D),"")</f>
        <v/>
      </c>
      <c r="O474" s="2">
        <f>IFERROR(XLOOKUP(A474,Raw_Alerts!$B:$B,Raw_Alerts!$F:$F),"")</f>
        <v/>
      </c>
      <c r="P474" s="2">
        <f>IF(H474="Not Found","CRITICAL: No Risk Profile",IF(I474="Missing","WARN: Missing KYC",IF(I474="Expired","WARN: KYC Expired",IF(I474="Pending","INFO: KYC Pending","OK"))))</f>
        <v/>
      </c>
    </row>
    <row r="475">
      <c r="A475" s="4">
        <f>Raw_Transactions!A475</f>
        <v/>
      </c>
      <c r="B475" s="4">
        <f>Raw_Transactions!B475</f>
        <v/>
      </c>
      <c r="C475" s="4">
        <f>Raw_Transactions!C475</f>
        <v/>
      </c>
      <c r="D475" s="5">
        <f>Raw_Transactions!D475</f>
        <v/>
      </c>
      <c r="E475" s="4">
        <f>Raw_Transactions!E475</f>
        <v/>
      </c>
      <c r="F475" s="4">
        <f>Raw_Transactions!F475</f>
        <v/>
      </c>
      <c r="G475" s="4">
        <f>Raw_Transactions!G475</f>
        <v/>
      </c>
      <c r="H475" s="4">
        <f>XLOOKUP(B475,Raw_Risk_Profiles!$A:$A,Raw_Risk_Profiles!$B:$B,"Not Found")</f>
        <v/>
      </c>
      <c r="I475" s="4">
        <f>XLOOKUP(B475,Raw_Risk_Profiles!$A:$A,Raw_Risk_Profiles!$C:$C,"Missing")</f>
        <v/>
      </c>
      <c r="J475" s="4">
        <f>XLOOKUP(B475,Raw_Risk_Profiles!$A:$A,Raw_Risk_Profiles!$D:$D,"")</f>
        <v/>
      </c>
      <c r="K475" s="4">
        <f>IFERROR(INDEX(Raw_Risk_Profiles!$E:$E,MATCH(B475,Raw_Risk_Profiles!$A:$A,0)),"Unknown")</f>
        <v/>
      </c>
      <c r="L475" s="4">
        <f>IFERROR(XLOOKUP(A475,Raw_Alerts!$B:$B,Raw_Alerts!$A:$A),"No Alert")</f>
        <v/>
      </c>
      <c r="M475" s="4">
        <f>IFERROR(XLOOKUP(A475,Raw_Alerts!$B:$B,Raw_Alerts!$C:$C),"")</f>
        <v/>
      </c>
      <c r="N475" s="4">
        <f>IFERROR(XLOOKUP(A475,Raw_Alerts!$B:$B,Raw_Alerts!$D:$D),"")</f>
        <v/>
      </c>
      <c r="O475" s="4">
        <f>IFERROR(XLOOKUP(A475,Raw_Alerts!$B:$B,Raw_Alerts!$F:$F),"")</f>
        <v/>
      </c>
      <c r="P475" s="4">
        <f>IF(H475="Not Found","CRITICAL: No Risk Profile",IF(I475="Missing","WARN: Missing KYC",IF(I475="Expired","WARN: KYC Expired",IF(I475="Pending","INFO: KYC Pending","OK"))))</f>
        <v/>
      </c>
    </row>
    <row r="476">
      <c r="A476" s="2">
        <f>Raw_Transactions!A476</f>
        <v/>
      </c>
      <c r="B476" s="2">
        <f>Raw_Transactions!B476</f>
        <v/>
      </c>
      <c r="C476" s="2">
        <f>Raw_Transactions!C476</f>
        <v/>
      </c>
      <c r="D476" s="3">
        <f>Raw_Transactions!D476</f>
        <v/>
      </c>
      <c r="E476" s="2">
        <f>Raw_Transactions!E476</f>
        <v/>
      </c>
      <c r="F476" s="2">
        <f>Raw_Transactions!F476</f>
        <v/>
      </c>
      <c r="G476" s="2">
        <f>Raw_Transactions!G476</f>
        <v/>
      </c>
      <c r="H476" s="2">
        <f>XLOOKUP(B476,Raw_Risk_Profiles!$A:$A,Raw_Risk_Profiles!$B:$B,"Not Found")</f>
        <v/>
      </c>
      <c r="I476" s="2">
        <f>XLOOKUP(B476,Raw_Risk_Profiles!$A:$A,Raw_Risk_Profiles!$C:$C,"Missing")</f>
        <v/>
      </c>
      <c r="J476" s="2">
        <f>XLOOKUP(B476,Raw_Risk_Profiles!$A:$A,Raw_Risk_Profiles!$D:$D,"")</f>
        <v/>
      </c>
      <c r="K476" s="2">
        <f>IFERROR(INDEX(Raw_Risk_Profiles!$E:$E,MATCH(B476,Raw_Risk_Profiles!$A:$A,0)),"Unknown")</f>
        <v/>
      </c>
      <c r="L476" s="2">
        <f>IFERROR(XLOOKUP(A476,Raw_Alerts!$B:$B,Raw_Alerts!$A:$A),"No Alert")</f>
        <v/>
      </c>
      <c r="M476" s="2">
        <f>IFERROR(XLOOKUP(A476,Raw_Alerts!$B:$B,Raw_Alerts!$C:$C),"")</f>
        <v/>
      </c>
      <c r="N476" s="2">
        <f>IFERROR(XLOOKUP(A476,Raw_Alerts!$B:$B,Raw_Alerts!$D:$D),"")</f>
        <v/>
      </c>
      <c r="O476" s="2">
        <f>IFERROR(XLOOKUP(A476,Raw_Alerts!$B:$B,Raw_Alerts!$F:$F),"")</f>
        <v/>
      </c>
      <c r="P476" s="2">
        <f>IF(H476="Not Found","CRITICAL: No Risk Profile",IF(I476="Missing","WARN: Missing KYC",IF(I476="Expired","WARN: KYC Expired",IF(I476="Pending","INFO: KYC Pending","OK"))))</f>
        <v/>
      </c>
    </row>
    <row r="477">
      <c r="A477" s="4">
        <f>Raw_Transactions!A477</f>
        <v/>
      </c>
      <c r="B477" s="4">
        <f>Raw_Transactions!B477</f>
        <v/>
      </c>
      <c r="C477" s="4">
        <f>Raw_Transactions!C477</f>
        <v/>
      </c>
      <c r="D477" s="5">
        <f>Raw_Transactions!D477</f>
        <v/>
      </c>
      <c r="E477" s="4">
        <f>Raw_Transactions!E477</f>
        <v/>
      </c>
      <c r="F477" s="4">
        <f>Raw_Transactions!F477</f>
        <v/>
      </c>
      <c r="G477" s="4">
        <f>Raw_Transactions!G477</f>
        <v/>
      </c>
      <c r="H477" s="4">
        <f>XLOOKUP(B477,Raw_Risk_Profiles!$A:$A,Raw_Risk_Profiles!$B:$B,"Not Found")</f>
        <v/>
      </c>
      <c r="I477" s="4">
        <f>XLOOKUP(B477,Raw_Risk_Profiles!$A:$A,Raw_Risk_Profiles!$C:$C,"Missing")</f>
        <v/>
      </c>
      <c r="J477" s="4">
        <f>XLOOKUP(B477,Raw_Risk_Profiles!$A:$A,Raw_Risk_Profiles!$D:$D,"")</f>
        <v/>
      </c>
      <c r="K477" s="4">
        <f>IFERROR(INDEX(Raw_Risk_Profiles!$E:$E,MATCH(B477,Raw_Risk_Profiles!$A:$A,0)),"Unknown")</f>
        <v/>
      </c>
      <c r="L477" s="4">
        <f>IFERROR(XLOOKUP(A477,Raw_Alerts!$B:$B,Raw_Alerts!$A:$A),"No Alert")</f>
        <v/>
      </c>
      <c r="M477" s="4">
        <f>IFERROR(XLOOKUP(A477,Raw_Alerts!$B:$B,Raw_Alerts!$C:$C),"")</f>
        <v/>
      </c>
      <c r="N477" s="4">
        <f>IFERROR(XLOOKUP(A477,Raw_Alerts!$B:$B,Raw_Alerts!$D:$D),"")</f>
        <v/>
      </c>
      <c r="O477" s="4">
        <f>IFERROR(XLOOKUP(A477,Raw_Alerts!$B:$B,Raw_Alerts!$F:$F),"")</f>
        <v/>
      </c>
      <c r="P477" s="4">
        <f>IF(H477="Not Found","CRITICAL: No Risk Profile",IF(I477="Missing","WARN: Missing KYC",IF(I477="Expired","WARN: KYC Expired",IF(I477="Pending","INFO: KYC Pending","OK"))))</f>
        <v/>
      </c>
    </row>
    <row r="478">
      <c r="A478" s="2">
        <f>Raw_Transactions!A478</f>
        <v/>
      </c>
      <c r="B478" s="2">
        <f>Raw_Transactions!B478</f>
        <v/>
      </c>
      <c r="C478" s="2">
        <f>Raw_Transactions!C478</f>
        <v/>
      </c>
      <c r="D478" s="3">
        <f>Raw_Transactions!D478</f>
        <v/>
      </c>
      <c r="E478" s="2">
        <f>Raw_Transactions!E478</f>
        <v/>
      </c>
      <c r="F478" s="2">
        <f>Raw_Transactions!F478</f>
        <v/>
      </c>
      <c r="G478" s="2">
        <f>Raw_Transactions!G478</f>
        <v/>
      </c>
      <c r="H478" s="2">
        <f>XLOOKUP(B478,Raw_Risk_Profiles!$A:$A,Raw_Risk_Profiles!$B:$B,"Not Found")</f>
        <v/>
      </c>
      <c r="I478" s="2">
        <f>XLOOKUP(B478,Raw_Risk_Profiles!$A:$A,Raw_Risk_Profiles!$C:$C,"Missing")</f>
        <v/>
      </c>
      <c r="J478" s="2">
        <f>XLOOKUP(B478,Raw_Risk_Profiles!$A:$A,Raw_Risk_Profiles!$D:$D,"")</f>
        <v/>
      </c>
      <c r="K478" s="2">
        <f>IFERROR(INDEX(Raw_Risk_Profiles!$E:$E,MATCH(B478,Raw_Risk_Profiles!$A:$A,0)),"Unknown")</f>
        <v/>
      </c>
      <c r="L478" s="2">
        <f>IFERROR(XLOOKUP(A478,Raw_Alerts!$B:$B,Raw_Alerts!$A:$A),"No Alert")</f>
        <v/>
      </c>
      <c r="M478" s="2">
        <f>IFERROR(XLOOKUP(A478,Raw_Alerts!$B:$B,Raw_Alerts!$C:$C),"")</f>
        <v/>
      </c>
      <c r="N478" s="2">
        <f>IFERROR(XLOOKUP(A478,Raw_Alerts!$B:$B,Raw_Alerts!$D:$D),"")</f>
        <v/>
      </c>
      <c r="O478" s="2">
        <f>IFERROR(XLOOKUP(A478,Raw_Alerts!$B:$B,Raw_Alerts!$F:$F),"")</f>
        <v/>
      </c>
      <c r="P478" s="2">
        <f>IF(H478="Not Found","CRITICAL: No Risk Profile",IF(I478="Missing","WARN: Missing KYC",IF(I478="Expired","WARN: KYC Expired",IF(I478="Pending","INFO: KYC Pending","OK"))))</f>
        <v/>
      </c>
    </row>
    <row r="479">
      <c r="A479" s="4">
        <f>Raw_Transactions!A479</f>
        <v/>
      </c>
      <c r="B479" s="4">
        <f>Raw_Transactions!B479</f>
        <v/>
      </c>
      <c r="C479" s="4">
        <f>Raw_Transactions!C479</f>
        <v/>
      </c>
      <c r="D479" s="5">
        <f>Raw_Transactions!D479</f>
        <v/>
      </c>
      <c r="E479" s="4">
        <f>Raw_Transactions!E479</f>
        <v/>
      </c>
      <c r="F479" s="4">
        <f>Raw_Transactions!F479</f>
        <v/>
      </c>
      <c r="G479" s="4">
        <f>Raw_Transactions!G479</f>
        <v/>
      </c>
      <c r="H479" s="4">
        <f>XLOOKUP(B479,Raw_Risk_Profiles!$A:$A,Raw_Risk_Profiles!$B:$B,"Not Found")</f>
        <v/>
      </c>
      <c r="I479" s="4">
        <f>XLOOKUP(B479,Raw_Risk_Profiles!$A:$A,Raw_Risk_Profiles!$C:$C,"Missing")</f>
        <v/>
      </c>
      <c r="J479" s="4">
        <f>XLOOKUP(B479,Raw_Risk_Profiles!$A:$A,Raw_Risk_Profiles!$D:$D,"")</f>
        <v/>
      </c>
      <c r="K479" s="4">
        <f>IFERROR(INDEX(Raw_Risk_Profiles!$E:$E,MATCH(B479,Raw_Risk_Profiles!$A:$A,0)),"Unknown")</f>
        <v/>
      </c>
      <c r="L479" s="4">
        <f>IFERROR(XLOOKUP(A479,Raw_Alerts!$B:$B,Raw_Alerts!$A:$A),"No Alert")</f>
        <v/>
      </c>
      <c r="M479" s="4">
        <f>IFERROR(XLOOKUP(A479,Raw_Alerts!$B:$B,Raw_Alerts!$C:$C),"")</f>
        <v/>
      </c>
      <c r="N479" s="4">
        <f>IFERROR(XLOOKUP(A479,Raw_Alerts!$B:$B,Raw_Alerts!$D:$D),"")</f>
        <v/>
      </c>
      <c r="O479" s="4">
        <f>IFERROR(XLOOKUP(A479,Raw_Alerts!$B:$B,Raw_Alerts!$F:$F),"")</f>
        <v/>
      </c>
      <c r="P479" s="4">
        <f>IF(H479="Not Found","CRITICAL: No Risk Profile",IF(I479="Missing","WARN: Missing KYC",IF(I479="Expired","WARN: KYC Expired",IF(I479="Pending","INFO: KYC Pending","OK"))))</f>
        <v/>
      </c>
    </row>
    <row r="480">
      <c r="A480" s="2">
        <f>Raw_Transactions!A480</f>
        <v/>
      </c>
      <c r="B480" s="2">
        <f>Raw_Transactions!B480</f>
        <v/>
      </c>
      <c r="C480" s="2">
        <f>Raw_Transactions!C480</f>
        <v/>
      </c>
      <c r="D480" s="3">
        <f>Raw_Transactions!D480</f>
        <v/>
      </c>
      <c r="E480" s="2">
        <f>Raw_Transactions!E480</f>
        <v/>
      </c>
      <c r="F480" s="2">
        <f>Raw_Transactions!F480</f>
        <v/>
      </c>
      <c r="G480" s="2">
        <f>Raw_Transactions!G480</f>
        <v/>
      </c>
      <c r="H480" s="2">
        <f>XLOOKUP(B480,Raw_Risk_Profiles!$A:$A,Raw_Risk_Profiles!$B:$B,"Not Found")</f>
        <v/>
      </c>
      <c r="I480" s="2">
        <f>XLOOKUP(B480,Raw_Risk_Profiles!$A:$A,Raw_Risk_Profiles!$C:$C,"Missing")</f>
        <v/>
      </c>
      <c r="J480" s="2">
        <f>XLOOKUP(B480,Raw_Risk_Profiles!$A:$A,Raw_Risk_Profiles!$D:$D,"")</f>
        <v/>
      </c>
      <c r="K480" s="2">
        <f>IFERROR(INDEX(Raw_Risk_Profiles!$E:$E,MATCH(B480,Raw_Risk_Profiles!$A:$A,0)),"Unknown")</f>
        <v/>
      </c>
      <c r="L480" s="2">
        <f>IFERROR(XLOOKUP(A480,Raw_Alerts!$B:$B,Raw_Alerts!$A:$A),"No Alert")</f>
        <v/>
      </c>
      <c r="M480" s="2">
        <f>IFERROR(XLOOKUP(A480,Raw_Alerts!$B:$B,Raw_Alerts!$C:$C),"")</f>
        <v/>
      </c>
      <c r="N480" s="2">
        <f>IFERROR(XLOOKUP(A480,Raw_Alerts!$B:$B,Raw_Alerts!$D:$D),"")</f>
        <v/>
      </c>
      <c r="O480" s="2">
        <f>IFERROR(XLOOKUP(A480,Raw_Alerts!$B:$B,Raw_Alerts!$F:$F),"")</f>
        <v/>
      </c>
      <c r="P480" s="2">
        <f>IF(H480="Not Found","CRITICAL: No Risk Profile",IF(I480="Missing","WARN: Missing KYC",IF(I480="Expired","WARN: KYC Expired",IF(I480="Pending","INFO: KYC Pending","OK"))))</f>
        <v/>
      </c>
    </row>
    <row r="481">
      <c r="A481" s="4">
        <f>Raw_Transactions!A481</f>
        <v/>
      </c>
      <c r="B481" s="4">
        <f>Raw_Transactions!B481</f>
        <v/>
      </c>
      <c r="C481" s="4">
        <f>Raw_Transactions!C481</f>
        <v/>
      </c>
      <c r="D481" s="5">
        <f>Raw_Transactions!D481</f>
        <v/>
      </c>
      <c r="E481" s="4">
        <f>Raw_Transactions!E481</f>
        <v/>
      </c>
      <c r="F481" s="4">
        <f>Raw_Transactions!F481</f>
        <v/>
      </c>
      <c r="G481" s="4">
        <f>Raw_Transactions!G481</f>
        <v/>
      </c>
      <c r="H481" s="4">
        <f>XLOOKUP(B481,Raw_Risk_Profiles!$A:$A,Raw_Risk_Profiles!$B:$B,"Not Found")</f>
        <v/>
      </c>
      <c r="I481" s="4">
        <f>XLOOKUP(B481,Raw_Risk_Profiles!$A:$A,Raw_Risk_Profiles!$C:$C,"Missing")</f>
        <v/>
      </c>
      <c r="J481" s="4">
        <f>XLOOKUP(B481,Raw_Risk_Profiles!$A:$A,Raw_Risk_Profiles!$D:$D,"")</f>
        <v/>
      </c>
      <c r="K481" s="4">
        <f>IFERROR(INDEX(Raw_Risk_Profiles!$E:$E,MATCH(B481,Raw_Risk_Profiles!$A:$A,0)),"Unknown")</f>
        <v/>
      </c>
      <c r="L481" s="4">
        <f>IFERROR(XLOOKUP(A481,Raw_Alerts!$B:$B,Raw_Alerts!$A:$A),"No Alert")</f>
        <v/>
      </c>
      <c r="M481" s="4">
        <f>IFERROR(XLOOKUP(A481,Raw_Alerts!$B:$B,Raw_Alerts!$C:$C),"")</f>
        <v/>
      </c>
      <c r="N481" s="4">
        <f>IFERROR(XLOOKUP(A481,Raw_Alerts!$B:$B,Raw_Alerts!$D:$D),"")</f>
        <v/>
      </c>
      <c r="O481" s="4">
        <f>IFERROR(XLOOKUP(A481,Raw_Alerts!$B:$B,Raw_Alerts!$F:$F),"")</f>
        <v/>
      </c>
      <c r="P481" s="4">
        <f>IF(H481="Not Found","CRITICAL: No Risk Profile",IF(I481="Missing","WARN: Missing KYC",IF(I481="Expired","WARN: KYC Expired",IF(I481="Pending","INFO: KYC Pending","OK"))))</f>
        <v/>
      </c>
    </row>
    <row r="482">
      <c r="A482" s="2">
        <f>Raw_Transactions!A482</f>
        <v/>
      </c>
      <c r="B482" s="2">
        <f>Raw_Transactions!B482</f>
        <v/>
      </c>
      <c r="C482" s="2">
        <f>Raw_Transactions!C482</f>
        <v/>
      </c>
      <c r="D482" s="3">
        <f>Raw_Transactions!D482</f>
        <v/>
      </c>
      <c r="E482" s="2">
        <f>Raw_Transactions!E482</f>
        <v/>
      </c>
      <c r="F482" s="2">
        <f>Raw_Transactions!F482</f>
        <v/>
      </c>
      <c r="G482" s="2">
        <f>Raw_Transactions!G482</f>
        <v/>
      </c>
      <c r="H482" s="2">
        <f>XLOOKUP(B482,Raw_Risk_Profiles!$A:$A,Raw_Risk_Profiles!$B:$B,"Not Found")</f>
        <v/>
      </c>
      <c r="I482" s="2">
        <f>XLOOKUP(B482,Raw_Risk_Profiles!$A:$A,Raw_Risk_Profiles!$C:$C,"Missing")</f>
        <v/>
      </c>
      <c r="J482" s="2">
        <f>XLOOKUP(B482,Raw_Risk_Profiles!$A:$A,Raw_Risk_Profiles!$D:$D,"")</f>
        <v/>
      </c>
      <c r="K482" s="2">
        <f>IFERROR(INDEX(Raw_Risk_Profiles!$E:$E,MATCH(B482,Raw_Risk_Profiles!$A:$A,0)),"Unknown")</f>
        <v/>
      </c>
      <c r="L482" s="2">
        <f>IFERROR(XLOOKUP(A482,Raw_Alerts!$B:$B,Raw_Alerts!$A:$A),"No Alert")</f>
        <v/>
      </c>
      <c r="M482" s="2">
        <f>IFERROR(XLOOKUP(A482,Raw_Alerts!$B:$B,Raw_Alerts!$C:$C),"")</f>
        <v/>
      </c>
      <c r="N482" s="2">
        <f>IFERROR(XLOOKUP(A482,Raw_Alerts!$B:$B,Raw_Alerts!$D:$D),"")</f>
        <v/>
      </c>
      <c r="O482" s="2">
        <f>IFERROR(XLOOKUP(A482,Raw_Alerts!$B:$B,Raw_Alerts!$F:$F),"")</f>
        <v/>
      </c>
      <c r="P482" s="2">
        <f>IF(H482="Not Found","CRITICAL: No Risk Profile",IF(I482="Missing","WARN: Missing KYC",IF(I482="Expired","WARN: KYC Expired",IF(I482="Pending","INFO: KYC Pending","OK"))))</f>
        <v/>
      </c>
    </row>
    <row r="483">
      <c r="A483" s="4">
        <f>Raw_Transactions!A483</f>
        <v/>
      </c>
      <c r="B483" s="4">
        <f>Raw_Transactions!B483</f>
        <v/>
      </c>
      <c r="C483" s="4">
        <f>Raw_Transactions!C483</f>
        <v/>
      </c>
      <c r="D483" s="5">
        <f>Raw_Transactions!D483</f>
        <v/>
      </c>
      <c r="E483" s="4">
        <f>Raw_Transactions!E483</f>
        <v/>
      </c>
      <c r="F483" s="4">
        <f>Raw_Transactions!F483</f>
        <v/>
      </c>
      <c r="G483" s="4">
        <f>Raw_Transactions!G483</f>
        <v/>
      </c>
      <c r="H483" s="4">
        <f>XLOOKUP(B483,Raw_Risk_Profiles!$A:$A,Raw_Risk_Profiles!$B:$B,"Not Found")</f>
        <v/>
      </c>
      <c r="I483" s="4">
        <f>XLOOKUP(B483,Raw_Risk_Profiles!$A:$A,Raw_Risk_Profiles!$C:$C,"Missing")</f>
        <v/>
      </c>
      <c r="J483" s="4">
        <f>XLOOKUP(B483,Raw_Risk_Profiles!$A:$A,Raw_Risk_Profiles!$D:$D,"")</f>
        <v/>
      </c>
      <c r="K483" s="4">
        <f>IFERROR(INDEX(Raw_Risk_Profiles!$E:$E,MATCH(B483,Raw_Risk_Profiles!$A:$A,0)),"Unknown")</f>
        <v/>
      </c>
      <c r="L483" s="4">
        <f>IFERROR(XLOOKUP(A483,Raw_Alerts!$B:$B,Raw_Alerts!$A:$A),"No Alert")</f>
        <v/>
      </c>
      <c r="M483" s="4">
        <f>IFERROR(XLOOKUP(A483,Raw_Alerts!$B:$B,Raw_Alerts!$C:$C),"")</f>
        <v/>
      </c>
      <c r="N483" s="4">
        <f>IFERROR(XLOOKUP(A483,Raw_Alerts!$B:$B,Raw_Alerts!$D:$D),"")</f>
        <v/>
      </c>
      <c r="O483" s="4">
        <f>IFERROR(XLOOKUP(A483,Raw_Alerts!$B:$B,Raw_Alerts!$F:$F),"")</f>
        <v/>
      </c>
      <c r="P483" s="4">
        <f>IF(H483="Not Found","CRITICAL: No Risk Profile",IF(I483="Missing","WARN: Missing KYC",IF(I483="Expired","WARN: KYC Expired",IF(I483="Pending","INFO: KYC Pending","OK"))))</f>
        <v/>
      </c>
    </row>
    <row r="484">
      <c r="A484" s="2">
        <f>Raw_Transactions!A484</f>
        <v/>
      </c>
      <c r="B484" s="2">
        <f>Raw_Transactions!B484</f>
        <v/>
      </c>
      <c r="C484" s="2">
        <f>Raw_Transactions!C484</f>
        <v/>
      </c>
      <c r="D484" s="3">
        <f>Raw_Transactions!D484</f>
        <v/>
      </c>
      <c r="E484" s="2">
        <f>Raw_Transactions!E484</f>
        <v/>
      </c>
      <c r="F484" s="2">
        <f>Raw_Transactions!F484</f>
        <v/>
      </c>
      <c r="G484" s="2">
        <f>Raw_Transactions!G484</f>
        <v/>
      </c>
      <c r="H484" s="2">
        <f>XLOOKUP(B484,Raw_Risk_Profiles!$A:$A,Raw_Risk_Profiles!$B:$B,"Not Found")</f>
        <v/>
      </c>
      <c r="I484" s="2">
        <f>XLOOKUP(B484,Raw_Risk_Profiles!$A:$A,Raw_Risk_Profiles!$C:$C,"Missing")</f>
        <v/>
      </c>
      <c r="J484" s="2">
        <f>XLOOKUP(B484,Raw_Risk_Profiles!$A:$A,Raw_Risk_Profiles!$D:$D,"")</f>
        <v/>
      </c>
      <c r="K484" s="2">
        <f>IFERROR(INDEX(Raw_Risk_Profiles!$E:$E,MATCH(B484,Raw_Risk_Profiles!$A:$A,0)),"Unknown")</f>
        <v/>
      </c>
      <c r="L484" s="2">
        <f>IFERROR(XLOOKUP(A484,Raw_Alerts!$B:$B,Raw_Alerts!$A:$A),"No Alert")</f>
        <v/>
      </c>
      <c r="M484" s="2">
        <f>IFERROR(XLOOKUP(A484,Raw_Alerts!$B:$B,Raw_Alerts!$C:$C),"")</f>
        <v/>
      </c>
      <c r="N484" s="2">
        <f>IFERROR(XLOOKUP(A484,Raw_Alerts!$B:$B,Raw_Alerts!$D:$D),"")</f>
        <v/>
      </c>
      <c r="O484" s="2">
        <f>IFERROR(XLOOKUP(A484,Raw_Alerts!$B:$B,Raw_Alerts!$F:$F),"")</f>
        <v/>
      </c>
      <c r="P484" s="2">
        <f>IF(H484="Not Found","CRITICAL: No Risk Profile",IF(I484="Missing","WARN: Missing KYC",IF(I484="Expired","WARN: KYC Expired",IF(I484="Pending","INFO: KYC Pending","OK"))))</f>
        <v/>
      </c>
    </row>
    <row r="485">
      <c r="A485" s="4">
        <f>Raw_Transactions!A485</f>
        <v/>
      </c>
      <c r="B485" s="4">
        <f>Raw_Transactions!B485</f>
        <v/>
      </c>
      <c r="C485" s="4">
        <f>Raw_Transactions!C485</f>
        <v/>
      </c>
      <c r="D485" s="5">
        <f>Raw_Transactions!D485</f>
        <v/>
      </c>
      <c r="E485" s="4">
        <f>Raw_Transactions!E485</f>
        <v/>
      </c>
      <c r="F485" s="4">
        <f>Raw_Transactions!F485</f>
        <v/>
      </c>
      <c r="G485" s="4">
        <f>Raw_Transactions!G485</f>
        <v/>
      </c>
      <c r="H485" s="4">
        <f>XLOOKUP(B485,Raw_Risk_Profiles!$A:$A,Raw_Risk_Profiles!$B:$B,"Not Found")</f>
        <v/>
      </c>
      <c r="I485" s="4">
        <f>XLOOKUP(B485,Raw_Risk_Profiles!$A:$A,Raw_Risk_Profiles!$C:$C,"Missing")</f>
        <v/>
      </c>
      <c r="J485" s="4">
        <f>XLOOKUP(B485,Raw_Risk_Profiles!$A:$A,Raw_Risk_Profiles!$D:$D,"")</f>
        <v/>
      </c>
      <c r="K485" s="4">
        <f>IFERROR(INDEX(Raw_Risk_Profiles!$E:$E,MATCH(B485,Raw_Risk_Profiles!$A:$A,0)),"Unknown")</f>
        <v/>
      </c>
      <c r="L485" s="4">
        <f>IFERROR(XLOOKUP(A485,Raw_Alerts!$B:$B,Raw_Alerts!$A:$A),"No Alert")</f>
        <v/>
      </c>
      <c r="M485" s="4">
        <f>IFERROR(XLOOKUP(A485,Raw_Alerts!$B:$B,Raw_Alerts!$C:$C),"")</f>
        <v/>
      </c>
      <c r="N485" s="4">
        <f>IFERROR(XLOOKUP(A485,Raw_Alerts!$B:$B,Raw_Alerts!$D:$D),"")</f>
        <v/>
      </c>
      <c r="O485" s="4">
        <f>IFERROR(XLOOKUP(A485,Raw_Alerts!$B:$B,Raw_Alerts!$F:$F),"")</f>
        <v/>
      </c>
      <c r="P485" s="4">
        <f>IF(H485="Not Found","CRITICAL: No Risk Profile",IF(I485="Missing","WARN: Missing KYC",IF(I485="Expired","WARN: KYC Expired",IF(I485="Pending","INFO: KYC Pending","OK"))))</f>
        <v/>
      </c>
    </row>
    <row r="486">
      <c r="A486" s="2">
        <f>Raw_Transactions!A486</f>
        <v/>
      </c>
      <c r="B486" s="2">
        <f>Raw_Transactions!B486</f>
        <v/>
      </c>
      <c r="C486" s="2">
        <f>Raw_Transactions!C486</f>
        <v/>
      </c>
      <c r="D486" s="3">
        <f>Raw_Transactions!D486</f>
        <v/>
      </c>
      <c r="E486" s="2">
        <f>Raw_Transactions!E486</f>
        <v/>
      </c>
      <c r="F486" s="2">
        <f>Raw_Transactions!F486</f>
        <v/>
      </c>
      <c r="G486" s="2">
        <f>Raw_Transactions!G486</f>
        <v/>
      </c>
      <c r="H486" s="2">
        <f>XLOOKUP(B486,Raw_Risk_Profiles!$A:$A,Raw_Risk_Profiles!$B:$B,"Not Found")</f>
        <v/>
      </c>
      <c r="I486" s="2">
        <f>XLOOKUP(B486,Raw_Risk_Profiles!$A:$A,Raw_Risk_Profiles!$C:$C,"Missing")</f>
        <v/>
      </c>
      <c r="J486" s="2">
        <f>XLOOKUP(B486,Raw_Risk_Profiles!$A:$A,Raw_Risk_Profiles!$D:$D,"")</f>
        <v/>
      </c>
      <c r="K486" s="2">
        <f>IFERROR(INDEX(Raw_Risk_Profiles!$E:$E,MATCH(B486,Raw_Risk_Profiles!$A:$A,0)),"Unknown")</f>
        <v/>
      </c>
      <c r="L486" s="2">
        <f>IFERROR(XLOOKUP(A486,Raw_Alerts!$B:$B,Raw_Alerts!$A:$A),"No Alert")</f>
        <v/>
      </c>
      <c r="M486" s="2">
        <f>IFERROR(XLOOKUP(A486,Raw_Alerts!$B:$B,Raw_Alerts!$C:$C),"")</f>
        <v/>
      </c>
      <c r="N486" s="2">
        <f>IFERROR(XLOOKUP(A486,Raw_Alerts!$B:$B,Raw_Alerts!$D:$D),"")</f>
        <v/>
      </c>
      <c r="O486" s="2">
        <f>IFERROR(XLOOKUP(A486,Raw_Alerts!$B:$B,Raw_Alerts!$F:$F),"")</f>
        <v/>
      </c>
      <c r="P486" s="2">
        <f>IF(H486="Not Found","CRITICAL: No Risk Profile",IF(I486="Missing","WARN: Missing KYC",IF(I486="Expired","WARN: KYC Expired",IF(I486="Pending","INFO: KYC Pending","OK"))))</f>
        <v/>
      </c>
    </row>
    <row r="487">
      <c r="A487" s="4">
        <f>Raw_Transactions!A487</f>
        <v/>
      </c>
      <c r="B487" s="4">
        <f>Raw_Transactions!B487</f>
        <v/>
      </c>
      <c r="C487" s="4">
        <f>Raw_Transactions!C487</f>
        <v/>
      </c>
      <c r="D487" s="5">
        <f>Raw_Transactions!D487</f>
        <v/>
      </c>
      <c r="E487" s="4">
        <f>Raw_Transactions!E487</f>
        <v/>
      </c>
      <c r="F487" s="4">
        <f>Raw_Transactions!F487</f>
        <v/>
      </c>
      <c r="G487" s="4">
        <f>Raw_Transactions!G487</f>
        <v/>
      </c>
      <c r="H487" s="4">
        <f>XLOOKUP(B487,Raw_Risk_Profiles!$A:$A,Raw_Risk_Profiles!$B:$B,"Not Found")</f>
        <v/>
      </c>
      <c r="I487" s="4">
        <f>XLOOKUP(B487,Raw_Risk_Profiles!$A:$A,Raw_Risk_Profiles!$C:$C,"Missing")</f>
        <v/>
      </c>
      <c r="J487" s="4">
        <f>XLOOKUP(B487,Raw_Risk_Profiles!$A:$A,Raw_Risk_Profiles!$D:$D,"")</f>
        <v/>
      </c>
      <c r="K487" s="4">
        <f>IFERROR(INDEX(Raw_Risk_Profiles!$E:$E,MATCH(B487,Raw_Risk_Profiles!$A:$A,0)),"Unknown")</f>
        <v/>
      </c>
      <c r="L487" s="4">
        <f>IFERROR(XLOOKUP(A487,Raw_Alerts!$B:$B,Raw_Alerts!$A:$A),"No Alert")</f>
        <v/>
      </c>
      <c r="M487" s="4">
        <f>IFERROR(XLOOKUP(A487,Raw_Alerts!$B:$B,Raw_Alerts!$C:$C),"")</f>
        <v/>
      </c>
      <c r="N487" s="4">
        <f>IFERROR(XLOOKUP(A487,Raw_Alerts!$B:$B,Raw_Alerts!$D:$D),"")</f>
        <v/>
      </c>
      <c r="O487" s="4">
        <f>IFERROR(XLOOKUP(A487,Raw_Alerts!$B:$B,Raw_Alerts!$F:$F),"")</f>
        <v/>
      </c>
      <c r="P487" s="4">
        <f>IF(H487="Not Found","CRITICAL: No Risk Profile",IF(I487="Missing","WARN: Missing KYC",IF(I487="Expired","WARN: KYC Expired",IF(I487="Pending","INFO: KYC Pending","OK"))))</f>
        <v/>
      </c>
    </row>
    <row r="488">
      <c r="A488" s="2">
        <f>Raw_Transactions!A488</f>
        <v/>
      </c>
      <c r="B488" s="2">
        <f>Raw_Transactions!B488</f>
        <v/>
      </c>
      <c r="C488" s="2">
        <f>Raw_Transactions!C488</f>
        <v/>
      </c>
      <c r="D488" s="3">
        <f>Raw_Transactions!D488</f>
        <v/>
      </c>
      <c r="E488" s="2">
        <f>Raw_Transactions!E488</f>
        <v/>
      </c>
      <c r="F488" s="2">
        <f>Raw_Transactions!F488</f>
        <v/>
      </c>
      <c r="G488" s="2">
        <f>Raw_Transactions!G488</f>
        <v/>
      </c>
      <c r="H488" s="2">
        <f>XLOOKUP(B488,Raw_Risk_Profiles!$A:$A,Raw_Risk_Profiles!$B:$B,"Not Found")</f>
        <v/>
      </c>
      <c r="I488" s="2">
        <f>XLOOKUP(B488,Raw_Risk_Profiles!$A:$A,Raw_Risk_Profiles!$C:$C,"Missing")</f>
        <v/>
      </c>
      <c r="J488" s="2">
        <f>XLOOKUP(B488,Raw_Risk_Profiles!$A:$A,Raw_Risk_Profiles!$D:$D,"")</f>
        <v/>
      </c>
      <c r="K488" s="2">
        <f>IFERROR(INDEX(Raw_Risk_Profiles!$E:$E,MATCH(B488,Raw_Risk_Profiles!$A:$A,0)),"Unknown")</f>
        <v/>
      </c>
      <c r="L488" s="2">
        <f>IFERROR(XLOOKUP(A488,Raw_Alerts!$B:$B,Raw_Alerts!$A:$A),"No Alert")</f>
        <v/>
      </c>
      <c r="M488" s="2">
        <f>IFERROR(XLOOKUP(A488,Raw_Alerts!$B:$B,Raw_Alerts!$C:$C),"")</f>
        <v/>
      </c>
      <c r="N488" s="2">
        <f>IFERROR(XLOOKUP(A488,Raw_Alerts!$B:$B,Raw_Alerts!$D:$D),"")</f>
        <v/>
      </c>
      <c r="O488" s="2">
        <f>IFERROR(XLOOKUP(A488,Raw_Alerts!$B:$B,Raw_Alerts!$F:$F),"")</f>
        <v/>
      </c>
      <c r="P488" s="2">
        <f>IF(H488="Not Found","CRITICAL: No Risk Profile",IF(I488="Missing","WARN: Missing KYC",IF(I488="Expired","WARN: KYC Expired",IF(I488="Pending","INFO: KYC Pending","OK"))))</f>
        <v/>
      </c>
    </row>
    <row r="489">
      <c r="A489" s="4">
        <f>Raw_Transactions!A489</f>
        <v/>
      </c>
      <c r="B489" s="4">
        <f>Raw_Transactions!B489</f>
        <v/>
      </c>
      <c r="C489" s="4">
        <f>Raw_Transactions!C489</f>
        <v/>
      </c>
      <c r="D489" s="5">
        <f>Raw_Transactions!D489</f>
        <v/>
      </c>
      <c r="E489" s="4">
        <f>Raw_Transactions!E489</f>
        <v/>
      </c>
      <c r="F489" s="4">
        <f>Raw_Transactions!F489</f>
        <v/>
      </c>
      <c r="G489" s="4">
        <f>Raw_Transactions!G489</f>
        <v/>
      </c>
      <c r="H489" s="4">
        <f>XLOOKUP(B489,Raw_Risk_Profiles!$A:$A,Raw_Risk_Profiles!$B:$B,"Not Found")</f>
        <v/>
      </c>
      <c r="I489" s="4">
        <f>XLOOKUP(B489,Raw_Risk_Profiles!$A:$A,Raw_Risk_Profiles!$C:$C,"Missing")</f>
        <v/>
      </c>
      <c r="J489" s="4">
        <f>XLOOKUP(B489,Raw_Risk_Profiles!$A:$A,Raw_Risk_Profiles!$D:$D,"")</f>
        <v/>
      </c>
      <c r="K489" s="4">
        <f>IFERROR(INDEX(Raw_Risk_Profiles!$E:$E,MATCH(B489,Raw_Risk_Profiles!$A:$A,0)),"Unknown")</f>
        <v/>
      </c>
      <c r="L489" s="4">
        <f>IFERROR(XLOOKUP(A489,Raw_Alerts!$B:$B,Raw_Alerts!$A:$A),"No Alert")</f>
        <v/>
      </c>
      <c r="M489" s="4">
        <f>IFERROR(XLOOKUP(A489,Raw_Alerts!$B:$B,Raw_Alerts!$C:$C),"")</f>
        <v/>
      </c>
      <c r="N489" s="4">
        <f>IFERROR(XLOOKUP(A489,Raw_Alerts!$B:$B,Raw_Alerts!$D:$D),"")</f>
        <v/>
      </c>
      <c r="O489" s="4">
        <f>IFERROR(XLOOKUP(A489,Raw_Alerts!$B:$B,Raw_Alerts!$F:$F),"")</f>
        <v/>
      </c>
      <c r="P489" s="4">
        <f>IF(H489="Not Found","CRITICAL: No Risk Profile",IF(I489="Missing","WARN: Missing KYC",IF(I489="Expired","WARN: KYC Expired",IF(I489="Pending","INFO: KYC Pending","OK"))))</f>
        <v/>
      </c>
    </row>
    <row r="490">
      <c r="A490" s="2">
        <f>Raw_Transactions!A490</f>
        <v/>
      </c>
      <c r="B490" s="2">
        <f>Raw_Transactions!B490</f>
        <v/>
      </c>
      <c r="C490" s="2">
        <f>Raw_Transactions!C490</f>
        <v/>
      </c>
      <c r="D490" s="3">
        <f>Raw_Transactions!D490</f>
        <v/>
      </c>
      <c r="E490" s="2">
        <f>Raw_Transactions!E490</f>
        <v/>
      </c>
      <c r="F490" s="2">
        <f>Raw_Transactions!F490</f>
        <v/>
      </c>
      <c r="G490" s="2">
        <f>Raw_Transactions!G490</f>
        <v/>
      </c>
      <c r="H490" s="2">
        <f>XLOOKUP(B490,Raw_Risk_Profiles!$A:$A,Raw_Risk_Profiles!$B:$B,"Not Found")</f>
        <v/>
      </c>
      <c r="I490" s="2">
        <f>XLOOKUP(B490,Raw_Risk_Profiles!$A:$A,Raw_Risk_Profiles!$C:$C,"Missing")</f>
        <v/>
      </c>
      <c r="J490" s="2">
        <f>XLOOKUP(B490,Raw_Risk_Profiles!$A:$A,Raw_Risk_Profiles!$D:$D,"")</f>
        <v/>
      </c>
      <c r="K490" s="2">
        <f>IFERROR(INDEX(Raw_Risk_Profiles!$E:$E,MATCH(B490,Raw_Risk_Profiles!$A:$A,0)),"Unknown")</f>
        <v/>
      </c>
      <c r="L490" s="2">
        <f>IFERROR(XLOOKUP(A490,Raw_Alerts!$B:$B,Raw_Alerts!$A:$A),"No Alert")</f>
        <v/>
      </c>
      <c r="M490" s="2">
        <f>IFERROR(XLOOKUP(A490,Raw_Alerts!$B:$B,Raw_Alerts!$C:$C),"")</f>
        <v/>
      </c>
      <c r="N490" s="2">
        <f>IFERROR(XLOOKUP(A490,Raw_Alerts!$B:$B,Raw_Alerts!$D:$D),"")</f>
        <v/>
      </c>
      <c r="O490" s="2">
        <f>IFERROR(XLOOKUP(A490,Raw_Alerts!$B:$B,Raw_Alerts!$F:$F),"")</f>
        <v/>
      </c>
      <c r="P490" s="2">
        <f>IF(H490="Not Found","CRITICAL: No Risk Profile",IF(I490="Missing","WARN: Missing KYC",IF(I490="Expired","WARN: KYC Expired",IF(I490="Pending","INFO: KYC Pending","OK"))))</f>
        <v/>
      </c>
    </row>
    <row r="491">
      <c r="A491" s="4">
        <f>Raw_Transactions!A491</f>
        <v/>
      </c>
      <c r="B491" s="4">
        <f>Raw_Transactions!B491</f>
        <v/>
      </c>
      <c r="C491" s="4">
        <f>Raw_Transactions!C491</f>
        <v/>
      </c>
      <c r="D491" s="5">
        <f>Raw_Transactions!D491</f>
        <v/>
      </c>
      <c r="E491" s="4">
        <f>Raw_Transactions!E491</f>
        <v/>
      </c>
      <c r="F491" s="4">
        <f>Raw_Transactions!F491</f>
        <v/>
      </c>
      <c r="G491" s="4">
        <f>Raw_Transactions!G491</f>
        <v/>
      </c>
      <c r="H491" s="4">
        <f>XLOOKUP(B491,Raw_Risk_Profiles!$A:$A,Raw_Risk_Profiles!$B:$B,"Not Found")</f>
        <v/>
      </c>
      <c r="I491" s="4">
        <f>XLOOKUP(B491,Raw_Risk_Profiles!$A:$A,Raw_Risk_Profiles!$C:$C,"Missing")</f>
        <v/>
      </c>
      <c r="J491" s="4">
        <f>XLOOKUP(B491,Raw_Risk_Profiles!$A:$A,Raw_Risk_Profiles!$D:$D,"")</f>
        <v/>
      </c>
      <c r="K491" s="4">
        <f>IFERROR(INDEX(Raw_Risk_Profiles!$E:$E,MATCH(B491,Raw_Risk_Profiles!$A:$A,0)),"Unknown")</f>
        <v/>
      </c>
      <c r="L491" s="4">
        <f>IFERROR(XLOOKUP(A491,Raw_Alerts!$B:$B,Raw_Alerts!$A:$A),"No Alert")</f>
        <v/>
      </c>
      <c r="M491" s="4">
        <f>IFERROR(XLOOKUP(A491,Raw_Alerts!$B:$B,Raw_Alerts!$C:$C),"")</f>
        <v/>
      </c>
      <c r="N491" s="4">
        <f>IFERROR(XLOOKUP(A491,Raw_Alerts!$B:$B,Raw_Alerts!$D:$D),"")</f>
        <v/>
      </c>
      <c r="O491" s="4">
        <f>IFERROR(XLOOKUP(A491,Raw_Alerts!$B:$B,Raw_Alerts!$F:$F),"")</f>
        <v/>
      </c>
      <c r="P491" s="4">
        <f>IF(H491="Not Found","CRITICAL: No Risk Profile",IF(I491="Missing","WARN: Missing KYC",IF(I491="Expired","WARN: KYC Expired",IF(I491="Pending","INFO: KYC Pending","OK"))))</f>
        <v/>
      </c>
    </row>
    <row r="492">
      <c r="A492" s="2">
        <f>Raw_Transactions!A492</f>
        <v/>
      </c>
      <c r="B492" s="2">
        <f>Raw_Transactions!B492</f>
        <v/>
      </c>
      <c r="C492" s="2">
        <f>Raw_Transactions!C492</f>
        <v/>
      </c>
      <c r="D492" s="3">
        <f>Raw_Transactions!D492</f>
        <v/>
      </c>
      <c r="E492" s="2">
        <f>Raw_Transactions!E492</f>
        <v/>
      </c>
      <c r="F492" s="2">
        <f>Raw_Transactions!F492</f>
        <v/>
      </c>
      <c r="G492" s="2">
        <f>Raw_Transactions!G492</f>
        <v/>
      </c>
      <c r="H492" s="2">
        <f>XLOOKUP(B492,Raw_Risk_Profiles!$A:$A,Raw_Risk_Profiles!$B:$B,"Not Found")</f>
        <v/>
      </c>
      <c r="I492" s="2">
        <f>XLOOKUP(B492,Raw_Risk_Profiles!$A:$A,Raw_Risk_Profiles!$C:$C,"Missing")</f>
        <v/>
      </c>
      <c r="J492" s="2">
        <f>XLOOKUP(B492,Raw_Risk_Profiles!$A:$A,Raw_Risk_Profiles!$D:$D,"")</f>
        <v/>
      </c>
      <c r="K492" s="2">
        <f>IFERROR(INDEX(Raw_Risk_Profiles!$E:$E,MATCH(B492,Raw_Risk_Profiles!$A:$A,0)),"Unknown")</f>
        <v/>
      </c>
      <c r="L492" s="2">
        <f>IFERROR(XLOOKUP(A492,Raw_Alerts!$B:$B,Raw_Alerts!$A:$A),"No Alert")</f>
        <v/>
      </c>
      <c r="M492" s="2">
        <f>IFERROR(XLOOKUP(A492,Raw_Alerts!$B:$B,Raw_Alerts!$C:$C),"")</f>
        <v/>
      </c>
      <c r="N492" s="2">
        <f>IFERROR(XLOOKUP(A492,Raw_Alerts!$B:$B,Raw_Alerts!$D:$D),"")</f>
        <v/>
      </c>
      <c r="O492" s="2">
        <f>IFERROR(XLOOKUP(A492,Raw_Alerts!$B:$B,Raw_Alerts!$F:$F),"")</f>
        <v/>
      </c>
      <c r="P492" s="2">
        <f>IF(H492="Not Found","CRITICAL: No Risk Profile",IF(I492="Missing","WARN: Missing KYC",IF(I492="Expired","WARN: KYC Expired",IF(I492="Pending","INFO: KYC Pending","OK"))))</f>
        <v/>
      </c>
    </row>
    <row r="493">
      <c r="A493" s="4">
        <f>Raw_Transactions!A493</f>
        <v/>
      </c>
      <c r="B493" s="4">
        <f>Raw_Transactions!B493</f>
        <v/>
      </c>
      <c r="C493" s="4">
        <f>Raw_Transactions!C493</f>
        <v/>
      </c>
      <c r="D493" s="5">
        <f>Raw_Transactions!D493</f>
        <v/>
      </c>
      <c r="E493" s="4">
        <f>Raw_Transactions!E493</f>
        <v/>
      </c>
      <c r="F493" s="4">
        <f>Raw_Transactions!F493</f>
        <v/>
      </c>
      <c r="G493" s="4">
        <f>Raw_Transactions!G493</f>
        <v/>
      </c>
      <c r="H493" s="4">
        <f>XLOOKUP(B493,Raw_Risk_Profiles!$A:$A,Raw_Risk_Profiles!$B:$B,"Not Found")</f>
        <v/>
      </c>
      <c r="I493" s="4">
        <f>XLOOKUP(B493,Raw_Risk_Profiles!$A:$A,Raw_Risk_Profiles!$C:$C,"Missing")</f>
        <v/>
      </c>
      <c r="J493" s="4">
        <f>XLOOKUP(B493,Raw_Risk_Profiles!$A:$A,Raw_Risk_Profiles!$D:$D,"")</f>
        <v/>
      </c>
      <c r="K493" s="4">
        <f>IFERROR(INDEX(Raw_Risk_Profiles!$E:$E,MATCH(B493,Raw_Risk_Profiles!$A:$A,0)),"Unknown")</f>
        <v/>
      </c>
      <c r="L493" s="4">
        <f>IFERROR(XLOOKUP(A493,Raw_Alerts!$B:$B,Raw_Alerts!$A:$A),"No Alert")</f>
        <v/>
      </c>
      <c r="M493" s="4">
        <f>IFERROR(XLOOKUP(A493,Raw_Alerts!$B:$B,Raw_Alerts!$C:$C),"")</f>
        <v/>
      </c>
      <c r="N493" s="4">
        <f>IFERROR(XLOOKUP(A493,Raw_Alerts!$B:$B,Raw_Alerts!$D:$D),"")</f>
        <v/>
      </c>
      <c r="O493" s="4">
        <f>IFERROR(XLOOKUP(A493,Raw_Alerts!$B:$B,Raw_Alerts!$F:$F),"")</f>
        <v/>
      </c>
      <c r="P493" s="4">
        <f>IF(H493="Not Found","CRITICAL: No Risk Profile",IF(I493="Missing","WARN: Missing KYC",IF(I493="Expired","WARN: KYC Expired",IF(I493="Pending","INFO: KYC Pending","OK"))))</f>
        <v/>
      </c>
    </row>
    <row r="494">
      <c r="A494" s="2">
        <f>Raw_Transactions!A494</f>
        <v/>
      </c>
      <c r="B494" s="2">
        <f>Raw_Transactions!B494</f>
        <v/>
      </c>
      <c r="C494" s="2">
        <f>Raw_Transactions!C494</f>
        <v/>
      </c>
      <c r="D494" s="3">
        <f>Raw_Transactions!D494</f>
        <v/>
      </c>
      <c r="E494" s="2">
        <f>Raw_Transactions!E494</f>
        <v/>
      </c>
      <c r="F494" s="2">
        <f>Raw_Transactions!F494</f>
        <v/>
      </c>
      <c r="G494" s="2">
        <f>Raw_Transactions!G494</f>
        <v/>
      </c>
      <c r="H494" s="2">
        <f>XLOOKUP(B494,Raw_Risk_Profiles!$A:$A,Raw_Risk_Profiles!$B:$B,"Not Found")</f>
        <v/>
      </c>
      <c r="I494" s="2">
        <f>XLOOKUP(B494,Raw_Risk_Profiles!$A:$A,Raw_Risk_Profiles!$C:$C,"Missing")</f>
        <v/>
      </c>
      <c r="J494" s="2">
        <f>XLOOKUP(B494,Raw_Risk_Profiles!$A:$A,Raw_Risk_Profiles!$D:$D,"")</f>
        <v/>
      </c>
      <c r="K494" s="2">
        <f>IFERROR(INDEX(Raw_Risk_Profiles!$E:$E,MATCH(B494,Raw_Risk_Profiles!$A:$A,0)),"Unknown")</f>
        <v/>
      </c>
      <c r="L494" s="2">
        <f>IFERROR(XLOOKUP(A494,Raw_Alerts!$B:$B,Raw_Alerts!$A:$A),"No Alert")</f>
        <v/>
      </c>
      <c r="M494" s="2">
        <f>IFERROR(XLOOKUP(A494,Raw_Alerts!$B:$B,Raw_Alerts!$C:$C),"")</f>
        <v/>
      </c>
      <c r="N494" s="2">
        <f>IFERROR(XLOOKUP(A494,Raw_Alerts!$B:$B,Raw_Alerts!$D:$D),"")</f>
        <v/>
      </c>
      <c r="O494" s="2">
        <f>IFERROR(XLOOKUP(A494,Raw_Alerts!$B:$B,Raw_Alerts!$F:$F),"")</f>
        <v/>
      </c>
      <c r="P494" s="2">
        <f>IF(H494="Not Found","CRITICAL: No Risk Profile",IF(I494="Missing","WARN: Missing KYC",IF(I494="Expired","WARN: KYC Expired",IF(I494="Pending","INFO: KYC Pending","OK"))))</f>
        <v/>
      </c>
    </row>
    <row r="495">
      <c r="A495" s="4">
        <f>Raw_Transactions!A495</f>
        <v/>
      </c>
      <c r="B495" s="4">
        <f>Raw_Transactions!B495</f>
        <v/>
      </c>
      <c r="C495" s="4">
        <f>Raw_Transactions!C495</f>
        <v/>
      </c>
      <c r="D495" s="5">
        <f>Raw_Transactions!D495</f>
        <v/>
      </c>
      <c r="E495" s="4">
        <f>Raw_Transactions!E495</f>
        <v/>
      </c>
      <c r="F495" s="4">
        <f>Raw_Transactions!F495</f>
        <v/>
      </c>
      <c r="G495" s="4">
        <f>Raw_Transactions!G495</f>
        <v/>
      </c>
      <c r="H495" s="4">
        <f>XLOOKUP(B495,Raw_Risk_Profiles!$A:$A,Raw_Risk_Profiles!$B:$B,"Not Found")</f>
        <v/>
      </c>
      <c r="I495" s="4">
        <f>XLOOKUP(B495,Raw_Risk_Profiles!$A:$A,Raw_Risk_Profiles!$C:$C,"Missing")</f>
        <v/>
      </c>
      <c r="J495" s="4">
        <f>XLOOKUP(B495,Raw_Risk_Profiles!$A:$A,Raw_Risk_Profiles!$D:$D,"")</f>
        <v/>
      </c>
      <c r="K495" s="4">
        <f>IFERROR(INDEX(Raw_Risk_Profiles!$E:$E,MATCH(B495,Raw_Risk_Profiles!$A:$A,0)),"Unknown")</f>
        <v/>
      </c>
      <c r="L495" s="4">
        <f>IFERROR(XLOOKUP(A495,Raw_Alerts!$B:$B,Raw_Alerts!$A:$A),"No Alert")</f>
        <v/>
      </c>
      <c r="M495" s="4">
        <f>IFERROR(XLOOKUP(A495,Raw_Alerts!$B:$B,Raw_Alerts!$C:$C),"")</f>
        <v/>
      </c>
      <c r="N495" s="4">
        <f>IFERROR(XLOOKUP(A495,Raw_Alerts!$B:$B,Raw_Alerts!$D:$D),"")</f>
        <v/>
      </c>
      <c r="O495" s="4">
        <f>IFERROR(XLOOKUP(A495,Raw_Alerts!$B:$B,Raw_Alerts!$F:$F),"")</f>
        <v/>
      </c>
      <c r="P495" s="4">
        <f>IF(H495="Not Found","CRITICAL: No Risk Profile",IF(I495="Missing","WARN: Missing KYC",IF(I495="Expired","WARN: KYC Expired",IF(I495="Pending","INFO: KYC Pending","OK"))))</f>
        <v/>
      </c>
    </row>
    <row r="496">
      <c r="A496" s="2">
        <f>Raw_Transactions!A496</f>
        <v/>
      </c>
      <c r="B496" s="2">
        <f>Raw_Transactions!B496</f>
        <v/>
      </c>
      <c r="C496" s="2">
        <f>Raw_Transactions!C496</f>
        <v/>
      </c>
      <c r="D496" s="3">
        <f>Raw_Transactions!D496</f>
        <v/>
      </c>
      <c r="E496" s="2">
        <f>Raw_Transactions!E496</f>
        <v/>
      </c>
      <c r="F496" s="2">
        <f>Raw_Transactions!F496</f>
        <v/>
      </c>
      <c r="G496" s="2">
        <f>Raw_Transactions!G496</f>
        <v/>
      </c>
      <c r="H496" s="2">
        <f>XLOOKUP(B496,Raw_Risk_Profiles!$A:$A,Raw_Risk_Profiles!$B:$B,"Not Found")</f>
        <v/>
      </c>
      <c r="I496" s="2">
        <f>XLOOKUP(B496,Raw_Risk_Profiles!$A:$A,Raw_Risk_Profiles!$C:$C,"Missing")</f>
        <v/>
      </c>
      <c r="J496" s="2">
        <f>XLOOKUP(B496,Raw_Risk_Profiles!$A:$A,Raw_Risk_Profiles!$D:$D,"")</f>
        <v/>
      </c>
      <c r="K496" s="2">
        <f>IFERROR(INDEX(Raw_Risk_Profiles!$E:$E,MATCH(B496,Raw_Risk_Profiles!$A:$A,0)),"Unknown")</f>
        <v/>
      </c>
      <c r="L496" s="2">
        <f>IFERROR(XLOOKUP(A496,Raw_Alerts!$B:$B,Raw_Alerts!$A:$A),"No Alert")</f>
        <v/>
      </c>
      <c r="M496" s="2">
        <f>IFERROR(XLOOKUP(A496,Raw_Alerts!$B:$B,Raw_Alerts!$C:$C),"")</f>
        <v/>
      </c>
      <c r="N496" s="2">
        <f>IFERROR(XLOOKUP(A496,Raw_Alerts!$B:$B,Raw_Alerts!$D:$D),"")</f>
        <v/>
      </c>
      <c r="O496" s="2">
        <f>IFERROR(XLOOKUP(A496,Raw_Alerts!$B:$B,Raw_Alerts!$F:$F),"")</f>
        <v/>
      </c>
      <c r="P496" s="2">
        <f>IF(H496="Not Found","CRITICAL: No Risk Profile",IF(I496="Missing","WARN: Missing KYC",IF(I496="Expired","WARN: KYC Expired",IF(I496="Pending","INFO: KYC Pending","OK"))))</f>
        <v/>
      </c>
    </row>
    <row r="497">
      <c r="A497" s="4">
        <f>Raw_Transactions!A497</f>
        <v/>
      </c>
      <c r="B497" s="4">
        <f>Raw_Transactions!B497</f>
        <v/>
      </c>
      <c r="C497" s="4">
        <f>Raw_Transactions!C497</f>
        <v/>
      </c>
      <c r="D497" s="5">
        <f>Raw_Transactions!D497</f>
        <v/>
      </c>
      <c r="E497" s="4">
        <f>Raw_Transactions!E497</f>
        <v/>
      </c>
      <c r="F497" s="4">
        <f>Raw_Transactions!F497</f>
        <v/>
      </c>
      <c r="G497" s="4">
        <f>Raw_Transactions!G497</f>
        <v/>
      </c>
      <c r="H497" s="4">
        <f>XLOOKUP(B497,Raw_Risk_Profiles!$A:$A,Raw_Risk_Profiles!$B:$B,"Not Found")</f>
        <v/>
      </c>
      <c r="I497" s="4">
        <f>XLOOKUP(B497,Raw_Risk_Profiles!$A:$A,Raw_Risk_Profiles!$C:$C,"Missing")</f>
        <v/>
      </c>
      <c r="J497" s="4">
        <f>XLOOKUP(B497,Raw_Risk_Profiles!$A:$A,Raw_Risk_Profiles!$D:$D,"")</f>
        <v/>
      </c>
      <c r="K497" s="4">
        <f>IFERROR(INDEX(Raw_Risk_Profiles!$E:$E,MATCH(B497,Raw_Risk_Profiles!$A:$A,0)),"Unknown")</f>
        <v/>
      </c>
      <c r="L497" s="4">
        <f>IFERROR(XLOOKUP(A497,Raw_Alerts!$B:$B,Raw_Alerts!$A:$A),"No Alert")</f>
        <v/>
      </c>
      <c r="M497" s="4">
        <f>IFERROR(XLOOKUP(A497,Raw_Alerts!$B:$B,Raw_Alerts!$C:$C),"")</f>
        <v/>
      </c>
      <c r="N497" s="4">
        <f>IFERROR(XLOOKUP(A497,Raw_Alerts!$B:$B,Raw_Alerts!$D:$D),"")</f>
        <v/>
      </c>
      <c r="O497" s="4">
        <f>IFERROR(XLOOKUP(A497,Raw_Alerts!$B:$B,Raw_Alerts!$F:$F),"")</f>
        <v/>
      </c>
      <c r="P497" s="4">
        <f>IF(H497="Not Found","CRITICAL: No Risk Profile",IF(I497="Missing","WARN: Missing KYC",IF(I497="Expired","WARN: KYC Expired",IF(I497="Pending","INFO: KYC Pending","OK"))))</f>
        <v/>
      </c>
    </row>
    <row r="498">
      <c r="A498" s="2">
        <f>Raw_Transactions!A498</f>
        <v/>
      </c>
      <c r="B498" s="2">
        <f>Raw_Transactions!B498</f>
        <v/>
      </c>
      <c r="C498" s="2">
        <f>Raw_Transactions!C498</f>
        <v/>
      </c>
      <c r="D498" s="3">
        <f>Raw_Transactions!D498</f>
        <v/>
      </c>
      <c r="E498" s="2">
        <f>Raw_Transactions!E498</f>
        <v/>
      </c>
      <c r="F498" s="2">
        <f>Raw_Transactions!F498</f>
        <v/>
      </c>
      <c r="G498" s="2">
        <f>Raw_Transactions!G498</f>
        <v/>
      </c>
      <c r="H498" s="2">
        <f>XLOOKUP(B498,Raw_Risk_Profiles!$A:$A,Raw_Risk_Profiles!$B:$B,"Not Found")</f>
        <v/>
      </c>
      <c r="I498" s="2">
        <f>XLOOKUP(B498,Raw_Risk_Profiles!$A:$A,Raw_Risk_Profiles!$C:$C,"Missing")</f>
        <v/>
      </c>
      <c r="J498" s="2">
        <f>XLOOKUP(B498,Raw_Risk_Profiles!$A:$A,Raw_Risk_Profiles!$D:$D,"")</f>
        <v/>
      </c>
      <c r="K498" s="2">
        <f>IFERROR(INDEX(Raw_Risk_Profiles!$E:$E,MATCH(B498,Raw_Risk_Profiles!$A:$A,0)),"Unknown")</f>
        <v/>
      </c>
      <c r="L498" s="2">
        <f>IFERROR(XLOOKUP(A498,Raw_Alerts!$B:$B,Raw_Alerts!$A:$A),"No Alert")</f>
        <v/>
      </c>
      <c r="M498" s="2">
        <f>IFERROR(XLOOKUP(A498,Raw_Alerts!$B:$B,Raw_Alerts!$C:$C),"")</f>
        <v/>
      </c>
      <c r="N498" s="2">
        <f>IFERROR(XLOOKUP(A498,Raw_Alerts!$B:$B,Raw_Alerts!$D:$D),"")</f>
        <v/>
      </c>
      <c r="O498" s="2">
        <f>IFERROR(XLOOKUP(A498,Raw_Alerts!$B:$B,Raw_Alerts!$F:$F),"")</f>
        <v/>
      </c>
      <c r="P498" s="2">
        <f>IF(H498="Not Found","CRITICAL: No Risk Profile",IF(I498="Missing","WARN: Missing KYC",IF(I498="Expired","WARN: KYC Expired",IF(I498="Pending","INFO: KYC Pending","OK"))))</f>
        <v/>
      </c>
    </row>
    <row r="499">
      <c r="A499" s="4">
        <f>Raw_Transactions!A499</f>
        <v/>
      </c>
      <c r="B499" s="4">
        <f>Raw_Transactions!B499</f>
        <v/>
      </c>
      <c r="C499" s="4">
        <f>Raw_Transactions!C499</f>
        <v/>
      </c>
      <c r="D499" s="5">
        <f>Raw_Transactions!D499</f>
        <v/>
      </c>
      <c r="E499" s="4">
        <f>Raw_Transactions!E499</f>
        <v/>
      </c>
      <c r="F499" s="4">
        <f>Raw_Transactions!F499</f>
        <v/>
      </c>
      <c r="G499" s="4">
        <f>Raw_Transactions!G499</f>
        <v/>
      </c>
      <c r="H499" s="4">
        <f>XLOOKUP(B499,Raw_Risk_Profiles!$A:$A,Raw_Risk_Profiles!$B:$B,"Not Found")</f>
        <v/>
      </c>
      <c r="I499" s="4">
        <f>XLOOKUP(B499,Raw_Risk_Profiles!$A:$A,Raw_Risk_Profiles!$C:$C,"Missing")</f>
        <v/>
      </c>
      <c r="J499" s="4">
        <f>XLOOKUP(B499,Raw_Risk_Profiles!$A:$A,Raw_Risk_Profiles!$D:$D,"")</f>
        <v/>
      </c>
      <c r="K499" s="4">
        <f>IFERROR(INDEX(Raw_Risk_Profiles!$E:$E,MATCH(B499,Raw_Risk_Profiles!$A:$A,0)),"Unknown")</f>
        <v/>
      </c>
      <c r="L499" s="4">
        <f>IFERROR(XLOOKUP(A499,Raw_Alerts!$B:$B,Raw_Alerts!$A:$A),"No Alert")</f>
        <v/>
      </c>
      <c r="M499" s="4">
        <f>IFERROR(XLOOKUP(A499,Raw_Alerts!$B:$B,Raw_Alerts!$C:$C),"")</f>
        <v/>
      </c>
      <c r="N499" s="4">
        <f>IFERROR(XLOOKUP(A499,Raw_Alerts!$B:$B,Raw_Alerts!$D:$D),"")</f>
        <v/>
      </c>
      <c r="O499" s="4">
        <f>IFERROR(XLOOKUP(A499,Raw_Alerts!$B:$B,Raw_Alerts!$F:$F),"")</f>
        <v/>
      </c>
      <c r="P499" s="4">
        <f>IF(H499="Not Found","CRITICAL: No Risk Profile",IF(I499="Missing","WARN: Missing KYC",IF(I499="Expired","WARN: KYC Expired",IF(I499="Pending","INFO: KYC Pending","OK"))))</f>
        <v/>
      </c>
    </row>
    <row r="500">
      <c r="A500" s="2">
        <f>Raw_Transactions!A500</f>
        <v/>
      </c>
      <c r="B500" s="2">
        <f>Raw_Transactions!B500</f>
        <v/>
      </c>
      <c r="C500" s="2">
        <f>Raw_Transactions!C500</f>
        <v/>
      </c>
      <c r="D500" s="3">
        <f>Raw_Transactions!D500</f>
        <v/>
      </c>
      <c r="E500" s="2">
        <f>Raw_Transactions!E500</f>
        <v/>
      </c>
      <c r="F500" s="2">
        <f>Raw_Transactions!F500</f>
        <v/>
      </c>
      <c r="G500" s="2">
        <f>Raw_Transactions!G500</f>
        <v/>
      </c>
      <c r="H500" s="2">
        <f>XLOOKUP(B500,Raw_Risk_Profiles!$A:$A,Raw_Risk_Profiles!$B:$B,"Not Found")</f>
        <v/>
      </c>
      <c r="I500" s="2">
        <f>XLOOKUP(B500,Raw_Risk_Profiles!$A:$A,Raw_Risk_Profiles!$C:$C,"Missing")</f>
        <v/>
      </c>
      <c r="J500" s="2">
        <f>XLOOKUP(B500,Raw_Risk_Profiles!$A:$A,Raw_Risk_Profiles!$D:$D,"")</f>
        <v/>
      </c>
      <c r="K500" s="2">
        <f>IFERROR(INDEX(Raw_Risk_Profiles!$E:$E,MATCH(B500,Raw_Risk_Profiles!$A:$A,0)),"Unknown")</f>
        <v/>
      </c>
      <c r="L500" s="2">
        <f>IFERROR(XLOOKUP(A500,Raw_Alerts!$B:$B,Raw_Alerts!$A:$A),"No Alert")</f>
        <v/>
      </c>
      <c r="M500" s="2">
        <f>IFERROR(XLOOKUP(A500,Raw_Alerts!$B:$B,Raw_Alerts!$C:$C),"")</f>
        <v/>
      </c>
      <c r="N500" s="2">
        <f>IFERROR(XLOOKUP(A500,Raw_Alerts!$B:$B,Raw_Alerts!$D:$D),"")</f>
        <v/>
      </c>
      <c r="O500" s="2">
        <f>IFERROR(XLOOKUP(A500,Raw_Alerts!$B:$B,Raw_Alerts!$F:$F),"")</f>
        <v/>
      </c>
      <c r="P500" s="2">
        <f>IF(H500="Not Found","CRITICAL: No Risk Profile",IF(I500="Missing","WARN: Missing KYC",IF(I500="Expired","WARN: KYC Expired",IF(I500="Pending","INFO: KYC Pending","OK"))))</f>
        <v/>
      </c>
    </row>
    <row r="501">
      <c r="A501" s="4">
        <f>Raw_Transactions!A501</f>
        <v/>
      </c>
      <c r="B501" s="4">
        <f>Raw_Transactions!B501</f>
        <v/>
      </c>
      <c r="C501" s="4">
        <f>Raw_Transactions!C501</f>
        <v/>
      </c>
      <c r="D501" s="5">
        <f>Raw_Transactions!D501</f>
        <v/>
      </c>
      <c r="E501" s="4">
        <f>Raw_Transactions!E501</f>
        <v/>
      </c>
      <c r="F501" s="4">
        <f>Raw_Transactions!F501</f>
        <v/>
      </c>
      <c r="G501" s="4">
        <f>Raw_Transactions!G501</f>
        <v/>
      </c>
      <c r="H501" s="4">
        <f>XLOOKUP(B501,Raw_Risk_Profiles!$A:$A,Raw_Risk_Profiles!$B:$B,"Not Found")</f>
        <v/>
      </c>
      <c r="I501" s="4">
        <f>XLOOKUP(B501,Raw_Risk_Profiles!$A:$A,Raw_Risk_Profiles!$C:$C,"Missing")</f>
        <v/>
      </c>
      <c r="J501" s="4">
        <f>XLOOKUP(B501,Raw_Risk_Profiles!$A:$A,Raw_Risk_Profiles!$D:$D,"")</f>
        <v/>
      </c>
      <c r="K501" s="4">
        <f>IFERROR(INDEX(Raw_Risk_Profiles!$E:$E,MATCH(B501,Raw_Risk_Profiles!$A:$A,0)),"Unknown")</f>
        <v/>
      </c>
      <c r="L501" s="4">
        <f>IFERROR(XLOOKUP(A501,Raw_Alerts!$B:$B,Raw_Alerts!$A:$A),"No Alert")</f>
        <v/>
      </c>
      <c r="M501" s="4">
        <f>IFERROR(XLOOKUP(A501,Raw_Alerts!$B:$B,Raw_Alerts!$C:$C),"")</f>
        <v/>
      </c>
      <c r="N501" s="4">
        <f>IFERROR(XLOOKUP(A501,Raw_Alerts!$B:$B,Raw_Alerts!$D:$D),"")</f>
        <v/>
      </c>
      <c r="O501" s="4">
        <f>IFERROR(XLOOKUP(A501,Raw_Alerts!$B:$B,Raw_Alerts!$F:$F),"")</f>
        <v/>
      </c>
      <c r="P501" s="4">
        <f>IF(H501="Not Found","CRITICAL: No Risk Profile",IF(I501="Missing","WARN: Missing KYC",IF(I501="Expired","WARN: KYC Expired",IF(I501="Pending","INFO: KYC Pending","OK"))))</f>
        <v/>
      </c>
    </row>
    <row r="502">
      <c r="A502" s="2">
        <f>Raw_Transactions!A502</f>
        <v/>
      </c>
      <c r="B502" s="2">
        <f>Raw_Transactions!B502</f>
        <v/>
      </c>
      <c r="C502" s="2">
        <f>Raw_Transactions!C502</f>
        <v/>
      </c>
      <c r="D502" s="3">
        <f>Raw_Transactions!D502</f>
        <v/>
      </c>
      <c r="E502" s="2">
        <f>Raw_Transactions!E502</f>
        <v/>
      </c>
      <c r="F502" s="2">
        <f>Raw_Transactions!F502</f>
        <v/>
      </c>
      <c r="G502" s="2">
        <f>Raw_Transactions!G502</f>
        <v/>
      </c>
      <c r="H502" s="2">
        <f>XLOOKUP(B502,Raw_Risk_Profiles!$A:$A,Raw_Risk_Profiles!$B:$B,"Not Found")</f>
        <v/>
      </c>
      <c r="I502" s="2">
        <f>XLOOKUP(B502,Raw_Risk_Profiles!$A:$A,Raw_Risk_Profiles!$C:$C,"Missing")</f>
        <v/>
      </c>
      <c r="J502" s="2">
        <f>XLOOKUP(B502,Raw_Risk_Profiles!$A:$A,Raw_Risk_Profiles!$D:$D,"")</f>
        <v/>
      </c>
      <c r="K502" s="2">
        <f>IFERROR(INDEX(Raw_Risk_Profiles!$E:$E,MATCH(B502,Raw_Risk_Profiles!$A:$A,0)),"Unknown")</f>
        <v/>
      </c>
      <c r="L502" s="2">
        <f>IFERROR(XLOOKUP(A502,Raw_Alerts!$B:$B,Raw_Alerts!$A:$A),"No Alert")</f>
        <v/>
      </c>
      <c r="M502" s="2">
        <f>IFERROR(XLOOKUP(A502,Raw_Alerts!$B:$B,Raw_Alerts!$C:$C),"")</f>
        <v/>
      </c>
      <c r="N502" s="2">
        <f>IFERROR(XLOOKUP(A502,Raw_Alerts!$B:$B,Raw_Alerts!$D:$D),"")</f>
        <v/>
      </c>
      <c r="O502" s="2">
        <f>IFERROR(XLOOKUP(A502,Raw_Alerts!$B:$B,Raw_Alerts!$F:$F),"")</f>
        <v/>
      </c>
      <c r="P502" s="2">
        <f>IF(H502="Not Found","CRITICAL: No Risk Profile",IF(I502="Missing","WARN: Missing KYC",IF(I502="Expired","WARN: KYC Expired",IF(I502="Pending","INFO: KYC Pending","OK"))))</f>
        <v/>
      </c>
    </row>
    <row r="503">
      <c r="A503" s="4">
        <f>Raw_Transactions!A503</f>
        <v/>
      </c>
      <c r="B503" s="4">
        <f>Raw_Transactions!B503</f>
        <v/>
      </c>
      <c r="C503" s="4">
        <f>Raw_Transactions!C503</f>
        <v/>
      </c>
      <c r="D503" s="5">
        <f>Raw_Transactions!D503</f>
        <v/>
      </c>
      <c r="E503" s="4">
        <f>Raw_Transactions!E503</f>
        <v/>
      </c>
      <c r="F503" s="4">
        <f>Raw_Transactions!F503</f>
        <v/>
      </c>
      <c r="G503" s="4">
        <f>Raw_Transactions!G503</f>
        <v/>
      </c>
      <c r="H503" s="4">
        <f>XLOOKUP(B503,Raw_Risk_Profiles!$A:$A,Raw_Risk_Profiles!$B:$B,"Not Found")</f>
        <v/>
      </c>
      <c r="I503" s="4">
        <f>XLOOKUP(B503,Raw_Risk_Profiles!$A:$A,Raw_Risk_Profiles!$C:$C,"Missing")</f>
        <v/>
      </c>
      <c r="J503" s="4">
        <f>XLOOKUP(B503,Raw_Risk_Profiles!$A:$A,Raw_Risk_Profiles!$D:$D,"")</f>
        <v/>
      </c>
      <c r="K503" s="4">
        <f>IFERROR(INDEX(Raw_Risk_Profiles!$E:$E,MATCH(B503,Raw_Risk_Profiles!$A:$A,0)),"Unknown")</f>
        <v/>
      </c>
      <c r="L503" s="4">
        <f>IFERROR(XLOOKUP(A503,Raw_Alerts!$B:$B,Raw_Alerts!$A:$A),"No Alert")</f>
        <v/>
      </c>
      <c r="M503" s="4">
        <f>IFERROR(XLOOKUP(A503,Raw_Alerts!$B:$B,Raw_Alerts!$C:$C),"")</f>
        <v/>
      </c>
      <c r="N503" s="4">
        <f>IFERROR(XLOOKUP(A503,Raw_Alerts!$B:$B,Raw_Alerts!$D:$D),"")</f>
        <v/>
      </c>
      <c r="O503" s="4">
        <f>IFERROR(XLOOKUP(A503,Raw_Alerts!$B:$B,Raw_Alerts!$F:$F),"")</f>
        <v/>
      </c>
      <c r="P503" s="4">
        <f>IF(H503="Not Found","CRITICAL: No Risk Profile",IF(I503="Missing","WARN: Missing KYC",IF(I503="Expired","WARN: KYC Expired",IF(I503="Pending","INFO: KYC Pending","OK"))))</f>
        <v/>
      </c>
    </row>
    <row r="504">
      <c r="A504" s="2">
        <f>Raw_Transactions!A504</f>
        <v/>
      </c>
      <c r="B504" s="2">
        <f>Raw_Transactions!B504</f>
        <v/>
      </c>
      <c r="C504" s="2">
        <f>Raw_Transactions!C504</f>
        <v/>
      </c>
      <c r="D504" s="3">
        <f>Raw_Transactions!D504</f>
        <v/>
      </c>
      <c r="E504" s="2">
        <f>Raw_Transactions!E504</f>
        <v/>
      </c>
      <c r="F504" s="2">
        <f>Raw_Transactions!F504</f>
        <v/>
      </c>
      <c r="G504" s="2">
        <f>Raw_Transactions!G504</f>
        <v/>
      </c>
      <c r="H504" s="2">
        <f>XLOOKUP(B504,Raw_Risk_Profiles!$A:$A,Raw_Risk_Profiles!$B:$B,"Not Found")</f>
        <v/>
      </c>
      <c r="I504" s="2">
        <f>XLOOKUP(B504,Raw_Risk_Profiles!$A:$A,Raw_Risk_Profiles!$C:$C,"Missing")</f>
        <v/>
      </c>
      <c r="J504" s="2">
        <f>XLOOKUP(B504,Raw_Risk_Profiles!$A:$A,Raw_Risk_Profiles!$D:$D,"")</f>
        <v/>
      </c>
      <c r="K504" s="2">
        <f>IFERROR(INDEX(Raw_Risk_Profiles!$E:$E,MATCH(B504,Raw_Risk_Profiles!$A:$A,0)),"Unknown")</f>
        <v/>
      </c>
      <c r="L504" s="2">
        <f>IFERROR(XLOOKUP(A504,Raw_Alerts!$B:$B,Raw_Alerts!$A:$A),"No Alert")</f>
        <v/>
      </c>
      <c r="M504" s="2">
        <f>IFERROR(XLOOKUP(A504,Raw_Alerts!$B:$B,Raw_Alerts!$C:$C),"")</f>
        <v/>
      </c>
      <c r="N504" s="2">
        <f>IFERROR(XLOOKUP(A504,Raw_Alerts!$B:$B,Raw_Alerts!$D:$D),"")</f>
        <v/>
      </c>
      <c r="O504" s="2">
        <f>IFERROR(XLOOKUP(A504,Raw_Alerts!$B:$B,Raw_Alerts!$F:$F),"")</f>
        <v/>
      </c>
      <c r="P504" s="2">
        <f>IF(H504="Not Found","CRITICAL: No Risk Profile",IF(I504="Missing","WARN: Missing KYC",IF(I504="Expired","WARN: KYC Expired",IF(I504="Pending","INFO: KYC Pending","OK"))))</f>
        <v/>
      </c>
    </row>
    <row r="505">
      <c r="A505" s="4">
        <f>Raw_Transactions!A505</f>
        <v/>
      </c>
      <c r="B505" s="4">
        <f>Raw_Transactions!B505</f>
        <v/>
      </c>
      <c r="C505" s="4">
        <f>Raw_Transactions!C505</f>
        <v/>
      </c>
      <c r="D505" s="5">
        <f>Raw_Transactions!D505</f>
        <v/>
      </c>
      <c r="E505" s="4">
        <f>Raw_Transactions!E505</f>
        <v/>
      </c>
      <c r="F505" s="4">
        <f>Raw_Transactions!F505</f>
        <v/>
      </c>
      <c r="G505" s="4">
        <f>Raw_Transactions!G505</f>
        <v/>
      </c>
      <c r="H505" s="4">
        <f>XLOOKUP(B505,Raw_Risk_Profiles!$A:$A,Raw_Risk_Profiles!$B:$B,"Not Found")</f>
        <v/>
      </c>
      <c r="I505" s="4">
        <f>XLOOKUP(B505,Raw_Risk_Profiles!$A:$A,Raw_Risk_Profiles!$C:$C,"Missing")</f>
        <v/>
      </c>
      <c r="J505" s="4">
        <f>XLOOKUP(B505,Raw_Risk_Profiles!$A:$A,Raw_Risk_Profiles!$D:$D,"")</f>
        <v/>
      </c>
      <c r="K505" s="4">
        <f>IFERROR(INDEX(Raw_Risk_Profiles!$E:$E,MATCH(B505,Raw_Risk_Profiles!$A:$A,0)),"Unknown")</f>
        <v/>
      </c>
      <c r="L505" s="4">
        <f>IFERROR(XLOOKUP(A505,Raw_Alerts!$B:$B,Raw_Alerts!$A:$A),"No Alert")</f>
        <v/>
      </c>
      <c r="M505" s="4">
        <f>IFERROR(XLOOKUP(A505,Raw_Alerts!$B:$B,Raw_Alerts!$C:$C),"")</f>
        <v/>
      </c>
      <c r="N505" s="4">
        <f>IFERROR(XLOOKUP(A505,Raw_Alerts!$B:$B,Raw_Alerts!$D:$D),"")</f>
        <v/>
      </c>
      <c r="O505" s="4">
        <f>IFERROR(XLOOKUP(A505,Raw_Alerts!$B:$B,Raw_Alerts!$F:$F),"")</f>
        <v/>
      </c>
      <c r="P505" s="4">
        <f>IF(H505="Not Found","CRITICAL: No Risk Profile",IF(I505="Missing","WARN: Missing KYC",IF(I505="Expired","WARN: KYC Expired",IF(I505="Pending","INFO: KYC Pending","OK"))))</f>
        <v/>
      </c>
    </row>
    <row r="506">
      <c r="A506" s="2">
        <f>Raw_Transactions!A506</f>
        <v/>
      </c>
      <c r="B506" s="2">
        <f>Raw_Transactions!B506</f>
        <v/>
      </c>
      <c r="C506" s="2">
        <f>Raw_Transactions!C506</f>
        <v/>
      </c>
      <c r="D506" s="3">
        <f>Raw_Transactions!D506</f>
        <v/>
      </c>
      <c r="E506" s="2">
        <f>Raw_Transactions!E506</f>
        <v/>
      </c>
      <c r="F506" s="2">
        <f>Raw_Transactions!F506</f>
        <v/>
      </c>
      <c r="G506" s="2">
        <f>Raw_Transactions!G506</f>
        <v/>
      </c>
      <c r="H506" s="2">
        <f>XLOOKUP(B506,Raw_Risk_Profiles!$A:$A,Raw_Risk_Profiles!$B:$B,"Not Found")</f>
        <v/>
      </c>
      <c r="I506" s="2">
        <f>XLOOKUP(B506,Raw_Risk_Profiles!$A:$A,Raw_Risk_Profiles!$C:$C,"Missing")</f>
        <v/>
      </c>
      <c r="J506" s="2">
        <f>XLOOKUP(B506,Raw_Risk_Profiles!$A:$A,Raw_Risk_Profiles!$D:$D,"")</f>
        <v/>
      </c>
      <c r="K506" s="2">
        <f>IFERROR(INDEX(Raw_Risk_Profiles!$E:$E,MATCH(B506,Raw_Risk_Profiles!$A:$A,0)),"Unknown")</f>
        <v/>
      </c>
      <c r="L506" s="2">
        <f>IFERROR(XLOOKUP(A506,Raw_Alerts!$B:$B,Raw_Alerts!$A:$A),"No Alert")</f>
        <v/>
      </c>
      <c r="M506" s="2">
        <f>IFERROR(XLOOKUP(A506,Raw_Alerts!$B:$B,Raw_Alerts!$C:$C),"")</f>
        <v/>
      </c>
      <c r="N506" s="2">
        <f>IFERROR(XLOOKUP(A506,Raw_Alerts!$B:$B,Raw_Alerts!$D:$D),"")</f>
        <v/>
      </c>
      <c r="O506" s="2">
        <f>IFERROR(XLOOKUP(A506,Raw_Alerts!$B:$B,Raw_Alerts!$F:$F),"")</f>
        <v/>
      </c>
      <c r="P506" s="2">
        <f>IF(H506="Not Found","CRITICAL: No Risk Profile",IF(I506="Missing","WARN: Missing KYC",IF(I506="Expired","WARN: KYC Expired",IF(I506="Pending","INFO: KYC Pending","OK"))))</f>
        <v/>
      </c>
    </row>
    <row r="507">
      <c r="A507" s="4">
        <f>Raw_Transactions!A507</f>
        <v/>
      </c>
      <c r="B507" s="4">
        <f>Raw_Transactions!B507</f>
        <v/>
      </c>
      <c r="C507" s="4">
        <f>Raw_Transactions!C507</f>
        <v/>
      </c>
      <c r="D507" s="5">
        <f>Raw_Transactions!D507</f>
        <v/>
      </c>
      <c r="E507" s="4">
        <f>Raw_Transactions!E507</f>
        <v/>
      </c>
      <c r="F507" s="4">
        <f>Raw_Transactions!F507</f>
        <v/>
      </c>
      <c r="G507" s="4">
        <f>Raw_Transactions!G507</f>
        <v/>
      </c>
      <c r="H507" s="4">
        <f>XLOOKUP(B507,Raw_Risk_Profiles!$A:$A,Raw_Risk_Profiles!$B:$B,"Not Found")</f>
        <v/>
      </c>
      <c r="I507" s="4">
        <f>XLOOKUP(B507,Raw_Risk_Profiles!$A:$A,Raw_Risk_Profiles!$C:$C,"Missing")</f>
        <v/>
      </c>
      <c r="J507" s="4">
        <f>XLOOKUP(B507,Raw_Risk_Profiles!$A:$A,Raw_Risk_Profiles!$D:$D,"")</f>
        <v/>
      </c>
      <c r="K507" s="4">
        <f>IFERROR(INDEX(Raw_Risk_Profiles!$E:$E,MATCH(B507,Raw_Risk_Profiles!$A:$A,0)),"Unknown")</f>
        <v/>
      </c>
      <c r="L507" s="4">
        <f>IFERROR(XLOOKUP(A507,Raw_Alerts!$B:$B,Raw_Alerts!$A:$A),"No Alert")</f>
        <v/>
      </c>
      <c r="M507" s="4">
        <f>IFERROR(XLOOKUP(A507,Raw_Alerts!$B:$B,Raw_Alerts!$C:$C),"")</f>
        <v/>
      </c>
      <c r="N507" s="4">
        <f>IFERROR(XLOOKUP(A507,Raw_Alerts!$B:$B,Raw_Alerts!$D:$D),"")</f>
        <v/>
      </c>
      <c r="O507" s="4">
        <f>IFERROR(XLOOKUP(A507,Raw_Alerts!$B:$B,Raw_Alerts!$F:$F),"")</f>
        <v/>
      </c>
      <c r="P507" s="4">
        <f>IF(H507="Not Found","CRITICAL: No Risk Profile",IF(I507="Missing","WARN: Missing KYC",IF(I507="Expired","WARN: KYC Expired",IF(I507="Pending","INFO: KYC Pending","OK"))))</f>
        <v/>
      </c>
    </row>
    <row r="508">
      <c r="A508" s="2">
        <f>Raw_Transactions!A508</f>
        <v/>
      </c>
      <c r="B508" s="2">
        <f>Raw_Transactions!B508</f>
        <v/>
      </c>
      <c r="C508" s="2">
        <f>Raw_Transactions!C508</f>
        <v/>
      </c>
      <c r="D508" s="3">
        <f>Raw_Transactions!D508</f>
        <v/>
      </c>
      <c r="E508" s="2">
        <f>Raw_Transactions!E508</f>
        <v/>
      </c>
      <c r="F508" s="2">
        <f>Raw_Transactions!F508</f>
        <v/>
      </c>
      <c r="G508" s="2">
        <f>Raw_Transactions!G508</f>
        <v/>
      </c>
      <c r="H508" s="2">
        <f>XLOOKUP(B508,Raw_Risk_Profiles!$A:$A,Raw_Risk_Profiles!$B:$B,"Not Found")</f>
        <v/>
      </c>
      <c r="I508" s="2">
        <f>XLOOKUP(B508,Raw_Risk_Profiles!$A:$A,Raw_Risk_Profiles!$C:$C,"Missing")</f>
        <v/>
      </c>
      <c r="J508" s="2">
        <f>XLOOKUP(B508,Raw_Risk_Profiles!$A:$A,Raw_Risk_Profiles!$D:$D,"")</f>
        <v/>
      </c>
      <c r="K508" s="2">
        <f>IFERROR(INDEX(Raw_Risk_Profiles!$E:$E,MATCH(B508,Raw_Risk_Profiles!$A:$A,0)),"Unknown")</f>
        <v/>
      </c>
      <c r="L508" s="2">
        <f>IFERROR(XLOOKUP(A508,Raw_Alerts!$B:$B,Raw_Alerts!$A:$A),"No Alert")</f>
        <v/>
      </c>
      <c r="M508" s="2">
        <f>IFERROR(XLOOKUP(A508,Raw_Alerts!$B:$B,Raw_Alerts!$C:$C),"")</f>
        <v/>
      </c>
      <c r="N508" s="2">
        <f>IFERROR(XLOOKUP(A508,Raw_Alerts!$B:$B,Raw_Alerts!$D:$D),"")</f>
        <v/>
      </c>
      <c r="O508" s="2">
        <f>IFERROR(XLOOKUP(A508,Raw_Alerts!$B:$B,Raw_Alerts!$F:$F),"")</f>
        <v/>
      </c>
      <c r="P508" s="2">
        <f>IF(H508="Not Found","CRITICAL: No Risk Profile",IF(I508="Missing","WARN: Missing KYC",IF(I508="Expired","WARN: KYC Expired",IF(I508="Pending","INFO: KYC Pending","OK"))))</f>
        <v/>
      </c>
    </row>
    <row r="509">
      <c r="A509" s="4">
        <f>Raw_Transactions!A509</f>
        <v/>
      </c>
      <c r="B509" s="4">
        <f>Raw_Transactions!B509</f>
        <v/>
      </c>
      <c r="C509" s="4">
        <f>Raw_Transactions!C509</f>
        <v/>
      </c>
      <c r="D509" s="5">
        <f>Raw_Transactions!D509</f>
        <v/>
      </c>
      <c r="E509" s="4">
        <f>Raw_Transactions!E509</f>
        <v/>
      </c>
      <c r="F509" s="4">
        <f>Raw_Transactions!F509</f>
        <v/>
      </c>
      <c r="G509" s="4">
        <f>Raw_Transactions!G509</f>
        <v/>
      </c>
      <c r="H509" s="4">
        <f>XLOOKUP(B509,Raw_Risk_Profiles!$A:$A,Raw_Risk_Profiles!$B:$B,"Not Found")</f>
        <v/>
      </c>
      <c r="I509" s="4">
        <f>XLOOKUP(B509,Raw_Risk_Profiles!$A:$A,Raw_Risk_Profiles!$C:$C,"Missing")</f>
        <v/>
      </c>
      <c r="J509" s="4">
        <f>XLOOKUP(B509,Raw_Risk_Profiles!$A:$A,Raw_Risk_Profiles!$D:$D,"")</f>
        <v/>
      </c>
      <c r="K509" s="4">
        <f>IFERROR(INDEX(Raw_Risk_Profiles!$E:$E,MATCH(B509,Raw_Risk_Profiles!$A:$A,0)),"Unknown")</f>
        <v/>
      </c>
      <c r="L509" s="4">
        <f>IFERROR(XLOOKUP(A509,Raw_Alerts!$B:$B,Raw_Alerts!$A:$A),"No Alert")</f>
        <v/>
      </c>
      <c r="M509" s="4">
        <f>IFERROR(XLOOKUP(A509,Raw_Alerts!$B:$B,Raw_Alerts!$C:$C),"")</f>
        <v/>
      </c>
      <c r="N509" s="4">
        <f>IFERROR(XLOOKUP(A509,Raw_Alerts!$B:$B,Raw_Alerts!$D:$D),"")</f>
        <v/>
      </c>
      <c r="O509" s="4">
        <f>IFERROR(XLOOKUP(A509,Raw_Alerts!$B:$B,Raw_Alerts!$F:$F),"")</f>
        <v/>
      </c>
      <c r="P509" s="4">
        <f>IF(H509="Not Found","CRITICAL: No Risk Profile",IF(I509="Missing","WARN: Missing KYC",IF(I509="Expired","WARN: KYC Expired",IF(I509="Pending","INFO: KYC Pending","OK"))))</f>
        <v/>
      </c>
    </row>
    <row r="510">
      <c r="A510" s="2">
        <f>Raw_Transactions!A510</f>
        <v/>
      </c>
      <c r="B510" s="2">
        <f>Raw_Transactions!B510</f>
        <v/>
      </c>
      <c r="C510" s="2">
        <f>Raw_Transactions!C510</f>
        <v/>
      </c>
      <c r="D510" s="3">
        <f>Raw_Transactions!D510</f>
        <v/>
      </c>
      <c r="E510" s="2">
        <f>Raw_Transactions!E510</f>
        <v/>
      </c>
      <c r="F510" s="2">
        <f>Raw_Transactions!F510</f>
        <v/>
      </c>
      <c r="G510" s="2">
        <f>Raw_Transactions!G510</f>
        <v/>
      </c>
      <c r="H510" s="2">
        <f>XLOOKUP(B510,Raw_Risk_Profiles!$A:$A,Raw_Risk_Profiles!$B:$B,"Not Found")</f>
        <v/>
      </c>
      <c r="I510" s="2">
        <f>XLOOKUP(B510,Raw_Risk_Profiles!$A:$A,Raw_Risk_Profiles!$C:$C,"Missing")</f>
        <v/>
      </c>
      <c r="J510" s="2">
        <f>XLOOKUP(B510,Raw_Risk_Profiles!$A:$A,Raw_Risk_Profiles!$D:$D,"")</f>
        <v/>
      </c>
      <c r="K510" s="2">
        <f>IFERROR(INDEX(Raw_Risk_Profiles!$E:$E,MATCH(B510,Raw_Risk_Profiles!$A:$A,0)),"Unknown")</f>
        <v/>
      </c>
      <c r="L510" s="2">
        <f>IFERROR(XLOOKUP(A510,Raw_Alerts!$B:$B,Raw_Alerts!$A:$A),"No Alert")</f>
        <v/>
      </c>
      <c r="M510" s="2">
        <f>IFERROR(XLOOKUP(A510,Raw_Alerts!$B:$B,Raw_Alerts!$C:$C),"")</f>
        <v/>
      </c>
      <c r="N510" s="2">
        <f>IFERROR(XLOOKUP(A510,Raw_Alerts!$B:$B,Raw_Alerts!$D:$D),"")</f>
        <v/>
      </c>
      <c r="O510" s="2">
        <f>IFERROR(XLOOKUP(A510,Raw_Alerts!$B:$B,Raw_Alerts!$F:$F),"")</f>
        <v/>
      </c>
      <c r="P510" s="2">
        <f>IF(H510="Not Found","CRITICAL: No Risk Profile",IF(I510="Missing","WARN: Missing KYC",IF(I510="Expired","WARN: KYC Expired",IF(I510="Pending","INFO: KYC Pending","OK"))))</f>
        <v/>
      </c>
    </row>
    <row r="511">
      <c r="A511" s="4">
        <f>Raw_Transactions!A511</f>
        <v/>
      </c>
      <c r="B511" s="4">
        <f>Raw_Transactions!B511</f>
        <v/>
      </c>
      <c r="C511" s="4">
        <f>Raw_Transactions!C511</f>
        <v/>
      </c>
      <c r="D511" s="5">
        <f>Raw_Transactions!D511</f>
        <v/>
      </c>
      <c r="E511" s="4">
        <f>Raw_Transactions!E511</f>
        <v/>
      </c>
      <c r="F511" s="4">
        <f>Raw_Transactions!F511</f>
        <v/>
      </c>
      <c r="G511" s="4">
        <f>Raw_Transactions!G511</f>
        <v/>
      </c>
      <c r="H511" s="4">
        <f>XLOOKUP(B511,Raw_Risk_Profiles!$A:$A,Raw_Risk_Profiles!$B:$B,"Not Found")</f>
        <v/>
      </c>
      <c r="I511" s="4">
        <f>XLOOKUP(B511,Raw_Risk_Profiles!$A:$A,Raw_Risk_Profiles!$C:$C,"Missing")</f>
        <v/>
      </c>
      <c r="J511" s="4">
        <f>XLOOKUP(B511,Raw_Risk_Profiles!$A:$A,Raw_Risk_Profiles!$D:$D,"")</f>
        <v/>
      </c>
      <c r="K511" s="4">
        <f>IFERROR(INDEX(Raw_Risk_Profiles!$E:$E,MATCH(B511,Raw_Risk_Profiles!$A:$A,0)),"Unknown")</f>
        <v/>
      </c>
      <c r="L511" s="4">
        <f>IFERROR(XLOOKUP(A511,Raw_Alerts!$B:$B,Raw_Alerts!$A:$A),"No Alert")</f>
        <v/>
      </c>
      <c r="M511" s="4">
        <f>IFERROR(XLOOKUP(A511,Raw_Alerts!$B:$B,Raw_Alerts!$C:$C),"")</f>
        <v/>
      </c>
      <c r="N511" s="4">
        <f>IFERROR(XLOOKUP(A511,Raw_Alerts!$B:$B,Raw_Alerts!$D:$D),"")</f>
        <v/>
      </c>
      <c r="O511" s="4">
        <f>IFERROR(XLOOKUP(A511,Raw_Alerts!$B:$B,Raw_Alerts!$F:$F),"")</f>
        <v/>
      </c>
      <c r="P511" s="4">
        <f>IF(H511="Not Found","CRITICAL: No Risk Profile",IF(I511="Missing","WARN: Missing KYC",IF(I511="Expired","WARN: KYC Expired",IF(I511="Pending","INFO: KYC Pending","OK"))))</f>
        <v/>
      </c>
    </row>
    <row r="512">
      <c r="A512" s="2">
        <f>Raw_Transactions!A512</f>
        <v/>
      </c>
      <c r="B512" s="2">
        <f>Raw_Transactions!B512</f>
        <v/>
      </c>
      <c r="C512" s="2">
        <f>Raw_Transactions!C512</f>
        <v/>
      </c>
      <c r="D512" s="3">
        <f>Raw_Transactions!D512</f>
        <v/>
      </c>
      <c r="E512" s="2">
        <f>Raw_Transactions!E512</f>
        <v/>
      </c>
      <c r="F512" s="2">
        <f>Raw_Transactions!F512</f>
        <v/>
      </c>
      <c r="G512" s="2">
        <f>Raw_Transactions!G512</f>
        <v/>
      </c>
      <c r="H512" s="2">
        <f>XLOOKUP(B512,Raw_Risk_Profiles!$A:$A,Raw_Risk_Profiles!$B:$B,"Not Found")</f>
        <v/>
      </c>
      <c r="I512" s="2">
        <f>XLOOKUP(B512,Raw_Risk_Profiles!$A:$A,Raw_Risk_Profiles!$C:$C,"Missing")</f>
        <v/>
      </c>
      <c r="J512" s="2">
        <f>XLOOKUP(B512,Raw_Risk_Profiles!$A:$A,Raw_Risk_Profiles!$D:$D,"")</f>
        <v/>
      </c>
      <c r="K512" s="2">
        <f>IFERROR(INDEX(Raw_Risk_Profiles!$E:$E,MATCH(B512,Raw_Risk_Profiles!$A:$A,0)),"Unknown")</f>
        <v/>
      </c>
      <c r="L512" s="2">
        <f>IFERROR(XLOOKUP(A512,Raw_Alerts!$B:$B,Raw_Alerts!$A:$A),"No Alert")</f>
        <v/>
      </c>
      <c r="M512" s="2">
        <f>IFERROR(XLOOKUP(A512,Raw_Alerts!$B:$B,Raw_Alerts!$C:$C),"")</f>
        <v/>
      </c>
      <c r="N512" s="2">
        <f>IFERROR(XLOOKUP(A512,Raw_Alerts!$B:$B,Raw_Alerts!$D:$D),"")</f>
        <v/>
      </c>
      <c r="O512" s="2">
        <f>IFERROR(XLOOKUP(A512,Raw_Alerts!$B:$B,Raw_Alerts!$F:$F),"")</f>
        <v/>
      </c>
      <c r="P512" s="2">
        <f>IF(H512="Not Found","CRITICAL: No Risk Profile",IF(I512="Missing","WARN: Missing KYC",IF(I512="Expired","WARN: KYC Expired",IF(I512="Pending","INFO: KYC Pending","OK"))))</f>
        <v/>
      </c>
    </row>
    <row r="513">
      <c r="A513" s="4">
        <f>Raw_Transactions!A513</f>
        <v/>
      </c>
      <c r="B513" s="4">
        <f>Raw_Transactions!B513</f>
        <v/>
      </c>
      <c r="C513" s="4">
        <f>Raw_Transactions!C513</f>
        <v/>
      </c>
      <c r="D513" s="5">
        <f>Raw_Transactions!D513</f>
        <v/>
      </c>
      <c r="E513" s="4">
        <f>Raw_Transactions!E513</f>
        <v/>
      </c>
      <c r="F513" s="4">
        <f>Raw_Transactions!F513</f>
        <v/>
      </c>
      <c r="G513" s="4">
        <f>Raw_Transactions!G513</f>
        <v/>
      </c>
      <c r="H513" s="4">
        <f>XLOOKUP(B513,Raw_Risk_Profiles!$A:$A,Raw_Risk_Profiles!$B:$B,"Not Found")</f>
        <v/>
      </c>
      <c r="I513" s="4">
        <f>XLOOKUP(B513,Raw_Risk_Profiles!$A:$A,Raw_Risk_Profiles!$C:$C,"Missing")</f>
        <v/>
      </c>
      <c r="J513" s="4">
        <f>XLOOKUP(B513,Raw_Risk_Profiles!$A:$A,Raw_Risk_Profiles!$D:$D,"")</f>
        <v/>
      </c>
      <c r="K513" s="4">
        <f>IFERROR(INDEX(Raw_Risk_Profiles!$E:$E,MATCH(B513,Raw_Risk_Profiles!$A:$A,0)),"Unknown")</f>
        <v/>
      </c>
      <c r="L513" s="4">
        <f>IFERROR(XLOOKUP(A513,Raw_Alerts!$B:$B,Raw_Alerts!$A:$A),"No Alert")</f>
        <v/>
      </c>
      <c r="M513" s="4">
        <f>IFERROR(XLOOKUP(A513,Raw_Alerts!$B:$B,Raw_Alerts!$C:$C),"")</f>
        <v/>
      </c>
      <c r="N513" s="4">
        <f>IFERROR(XLOOKUP(A513,Raw_Alerts!$B:$B,Raw_Alerts!$D:$D),"")</f>
        <v/>
      </c>
      <c r="O513" s="4">
        <f>IFERROR(XLOOKUP(A513,Raw_Alerts!$B:$B,Raw_Alerts!$F:$F),"")</f>
        <v/>
      </c>
      <c r="P513" s="4">
        <f>IF(H513="Not Found","CRITICAL: No Risk Profile",IF(I513="Missing","WARN: Missing KYC",IF(I513="Expired","WARN: KYC Expired",IF(I513="Pending","INFO: KYC Pending","OK"))))</f>
        <v/>
      </c>
    </row>
    <row r="514">
      <c r="A514" s="2">
        <f>Raw_Transactions!A514</f>
        <v/>
      </c>
      <c r="B514" s="2">
        <f>Raw_Transactions!B514</f>
        <v/>
      </c>
      <c r="C514" s="2">
        <f>Raw_Transactions!C514</f>
        <v/>
      </c>
      <c r="D514" s="3">
        <f>Raw_Transactions!D514</f>
        <v/>
      </c>
      <c r="E514" s="2">
        <f>Raw_Transactions!E514</f>
        <v/>
      </c>
      <c r="F514" s="2">
        <f>Raw_Transactions!F514</f>
        <v/>
      </c>
      <c r="G514" s="2">
        <f>Raw_Transactions!G514</f>
        <v/>
      </c>
      <c r="H514" s="2">
        <f>XLOOKUP(B514,Raw_Risk_Profiles!$A:$A,Raw_Risk_Profiles!$B:$B,"Not Found")</f>
        <v/>
      </c>
      <c r="I514" s="2">
        <f>XLOOKUP(B514,Raw_Risk_Profiles!$A:$A,Raw_Risk_Profiles!$C:$C,"Missing")</f>
        <v/>
      </c>
      <c r="J514" s="2">
        <f>XLOOKUP(B514,Raw_Risk_Profiles!$A:$A,Raw_Risk_Profiles!$D:$D,"")</f>
        <v/>
      </c>
      <c r="K514" s="2">
        <f>IFERROR(INDEX(Raw_Risk_Profiles!$E:$E,MATCH(B514,Raw_Risk_Profiles!$A:$A,0)),"Unknown")</f>
        <v/>
      </c>
      <c r="L514" s="2">
        <f>IFERROR(XLOOKUP(A514,Raw_Alerts!$B:$B,Raw_Alerts!$A:$A),"No Alert")</f>
        <v/>
      </c>
      <c r="M514" s="2">
        <f>IFERROR(XLOOKUP(A514,Raw_Alerts!$B:$B,Raw_Alerts!$C:$C),"")</f>
        <v/>
      </c>
      <c r="N514" s="2">
        <f>IFERROR(XLOOKUP(A514,Raw_Alerts!$B:$B,Raw_Alerts!$D:$D),"")</f>
        <v/>
      </c>
      <c r="O514" s="2">
        <f>IFERROR(XLOOKUP(A514,Raw_Alerts!$B:$B,Raw_Alerts!$F:$F),"")</f>
        <v/>
      </c>
      <c r="P514" s="2">
        <f>IF(H514="Not Found","CRITICAL: No Risk Profile",IF(I514="Missing","WARN: Missing KYC",IF(I514="Expired","WARN: KYC Expired",IF(I514="Pending","INFO: KYC Pending","OK"))))</f>
        <v/>
      </c>
    </row>
    <row r="515">
      <c r="A515" s="4">
        <f>Raw_Transactions!A515</f>
        <v/>
      </c>
      <c r="B515" s="4">
        <f>Raw_Transactions!B515</f>
        <v/>
      </c>
      <c r="C515" s="4">
        <f>Raw_Transactions!C515</f>
        <v/>
      </c>
      <c r="D515" s="5">
        <f>Raw_Transactions!D515</f>
        <v/>
      </c>
      <c r="E515" s="4">
        <f>Raw_Transactions!E515</f>
        <v/>
      </c>
      <c r="F515" s="4">
        <f>Raw_Transactions!F515</f>
        <v/>
      </c>
      <c r="G515" s="4">
        <f>Raw_Transactions!G515</f>
        <v/>
      </c>
      <c r="H515" s="4">
        <f>XLOOKUP(B515,Raw_Risk_Profiles!$A:$A,Raw_Risk_Profiles!$B:$B,"Not Found")</f>
        <v/>
      </c>
      <c r="I515" s="4">
        <f>XLOOKUP(B515,Raw_Risk_Profiles!$A:$A,Raw_Risk_Profiles!$C:$C,"Missing")</f>
        <v/>
      </c>
      <c r="J515" s="4">
        <f>XLOOKUP(B515,Raw_Risk_Profiles!$A:$A,Raw_Risk_Profiles!$D:$D,"")</f>
        <v/>
      </c>
      <c r="K515" s="4">
        <f>IFERROR(INDEX(Raw_Risk_Profiles!$E:$E,MATCH(B515,Raw_Risk_Profiles!$A:$A,0)),"Unknown")</f>
        <v/>
      </c>
      <c r="L515" s="4">
        <f>IFERROR(XLOOKUP(A515,Raw_Alerts!$B:$B,Raw_Alerts!$A:$A),"No Alert")</f>
        <v/>
      </c>
      <c r="M515" s="4">
        <f>IFERROR(XLOOKUP(A515,Raw_Alerts!$B:$B,Raw_Alerts!$C:$C),"")</f>
        <v/>
      </c>
      <c r="N515" s="4">
        <f>IFERROR(XLOOKUP(A515,Raw_Alerts!$B:$B,Raw_Alerts!$D:$D),"")</f>
        <v/>
      </c>
      <c r="O515" s="4">
        <f>IFERROR(XLOOKUP(A515,Raw_Alerts!$B:$B,Raw_Alerts!$F:$F),"")</f>
        <v/>
      </c>
      <c r="P515" s="4">
        <f>IF(H515="Not Found","CRITICAL: No Risk Profile",IF(I515="Missing","WARN: Missing KYC",IF(I515="Expired","WARN: KYC Expired",IF(I515="Pending","INFO: KYC Pending","OK"))))</f>
        <v/>
      </c>
    </row>
    <row r="516">
      <c r="A516" s="2">
        <f>Raw_Transactions!A516</f>
        <v/>
      </c>
      <c r="B516" s="2">
        <f>Raw_Transactions!B516</f>
        <v/>
      </c>
      <c r="C516" s="2">
        <f>Raw_Transactions!C516</f>
        <v/>
      </c>
      <c r="D516" s="3">
        <f>Raw_Transactions!D516</f>
        <v/>
      </c>
      <c r="E516" s="2">
        <f>Raw_Transactions!E516</f>
        <v/>
      </c>
      <c r="F516" s="2">
        <f>Raw_Transactions!F516</f>
        <v/>
      </c>
      <c r="G516" s="2">
        <f>Raw_Transactions!G516</f>
        <v/>
      </c>
      <c r="H516" s="2">
        <f>XLOOKUP(B516,Raw_Risk_Profiles!$A:$A,Raw_Risk_Profiles!$B:$B,"Not Found")</f>
        <v/>
      </c>
      <c r="I516" s="2">
        <f>XLOOKUP(B516,Raw_Risk_Profiles!$A:$A,Raw_Risk_Profiles!$C:$C,"Missing")</f>
        <v/>
      </c>
      <c r="J516" s="2">
        <f>XLOOKUP(B516,Raw_Risk_Profiles!$A:$A,Raw_Risk_Profiles!$D:$D,"")</f>
        <v/>
      </c>
      <c r="K516" s="2">
        <f>IFERROR(INDEX(Raw_Risk_Profiles!$E:$E,MATCH(B516,Raw_Risk_Profiles!$A:$A,0)),"Unknown")</f>
        <v/>
      </c>
      <c r="L516" s="2">
        <f>IFERROR(XLOOKUP(A516,Raw_Alerts!$B:$B,Raw_Alerts!$A:$A),"No Alert")</f>
        <v/>
      </c>
      <c r="M516" s="2">
        <f>IFERROR(XLOOKUP(A516,Raw_Alerts!$B:$B,Raw_Alerts!$C:$C),"")</f>
        <v/>
      </c>
      <c r="N516" s="2">
        <f>IFERROR(XLOOKUP(A516,Raw_Alerts!$B:$B,Raw_Alerts!$D:$D),"")</f>
        <v/>
      </c>
      <c r="O516" s="2">
        <f>IFERROR(XLOOKUP(A516,Raw_Alerts!$B:$B,Raw_Alerts!$F:$F),"")</f>
        <v/>
      </c>
      <c r="P516" s="2">
        <f>IF(H516="Not Found","CRITICAL: No Risk Profile",IF(I516="Missing","WARN: Missing KYC",IF(I516="Expired","WARN: KYC Expired",IF(I516="Pending","INFO: KYC Pending","OK"))))</f>
        <v/>
      </c>
    </row>
    <row r="517">
      <c r="A517" s="4">
        <f>Raw_Transactions!A517</f>
        <v/>
      </c>
      <c r="B517" s="4">
        <f>Raw_Transactions!B517</f>
        <v/>
      </c>
      <c r="C517" s="4">
        <f>Raw_Transactions!C517</f>
        <v/>
      </c>
      <c r="D517" s="5">
        <f>Raw_Transactions!D517</f>
        <v/>
      </c>
      <c r="E517" s="4">
        <f>Raw_Transactions!E517</f>
        <v/>
      </c>
      <c r="F517" s="4">
        <f>Raw_Transactions!F517</f>
        <v/>
      </c>
      <c r="G517" s="4">
        <f>Raw_Transactions!G517</f>
        <v/>
      </c>
      <c r="H517" s="4">
        <f>XLOOKUP(B517,Raw_Risk_Profiles!$A:$A,Raw_Risk_Profiles!$B:$B,"Not Found")</f>
        <v/>
      </c>
      <c r="I517" s="4">
        <f>XLOOKUP(B517,Raw_Risk_Profiles!$A:$A,Raw_Risk_Profiles!$C:$C,"Missing")</f>
        <v/>
      </c>
      <c r="J517" s="4">
        <f>XLOOKUP(B517,Raw_Risk_Profiles!$A:$A,Raw_Risk_Profiles!$D:$D,"")</f>
        <v/>
      </c>
      <c r="K517" s="4">
        <f>IFERROR(INDEX(Raw_Risk_Profiles!$E:$E,MATCH(B517,Raw_Risk_Profiles!$A:$A,0)),"Unknown")</f>
        <v/>
      </c>
      <c r="L517" s="4">
        <f>IFERROR(XLOOKUP(A517,Raw_Alerts!$B:$B,Raw_Alerts!$A:$A),"No Alert")</f>
        <v/>
      </c>
      <c r="M517" s="4">
        <f>IFERROR(XLOOKUP(A517,Raw_Alerts!$B:$B,Raw_Alerts!$C:$C),"")</f>
        <v/>
      </c>
      <c r="N517" s="4">
        <f>IFERROR(XLOOKUP(A517,Raw_Alerts!$B:$B,Raw_Alerts!$D:$D),"")</f>
        <v/>
      </c>
      <c r="O517" s="4">
        <f>IFERROR(XLOOKUP(A517,Raw_Alerts!$B:$B,Raw_Alerts!$F:$F),"")</f>
        <v/>
      </c>
      <c r="P517" s="4">
        <f>IF(H517="Not Found","CRITICAL: No Risk Profile",IF(I517="Missing","WARN: Missing KYC",IF(I517="Expired","WARN: KYC Expired",IF(I517="Pending","INFO: KYC Pending","OK"))))</f>
        <v/>
      </c>
    </row>
    <row r="518">
      <c r="A518" s="2">
        <f>Raw_Transactions!A518</f>
        <v/>
      </c>
      <c r="B518" s="2">
        <f>Raw_Transactions!B518</f>
        <v/>
      </c>
      <c r="C518" s="2">
        <f>Raw_Transactions!C518</f>
        <v/>
      </c>
      <c r="D518" s="3">
        <f>Raw_Transactions!D518</f>
        <v/>
      </c>
      <c r="E518" s="2">
        <f>Raw_Transactions!E518</f>
        <v/>
      </c>
      <c r="F518" s="2">
        <f>Raw_Transactions!F518</f>
        <v/>
      </c>
      <c r="G518" s="2">
        <f>Raw_Transactions!G518</f>
        <v/>
      </c>
      <c r="H518" s="2">
        <f>XLOOKUP(B518,Raw_Risk_Profiles!$A:$A,Raw_Risk_Profiles!$B:$B,"Not Found")</f>
        <v/>
      </c>
      <c r="I518" s="2">
        <f>XLOOKUP(B518,Raw_Risk_Profiles!$A:$A,Raw_Risk_Profiles!$C:$C,"Missing")</f>
        <v/>
      </c>
      <c r="J518" s="2">
        <f>XLOOKUP(B518,Raw_Risk_Profiles!$A:$A,Raw_Risk_Profiles!$D:$D,"")</f>
        <v/>
      </c>
      <c r="K518" s="2">
        <f>IFERROR(INDEX(Raw_Risk_Profiles!$E:$E,MATCH(B518,Raw_Risk_Profiles!$A:$A,0)),"Unknown")</f>
        <v/>
      </c>
      <c r="L518" s="2">
        <f>IFERROR(XLOOKUP(A518,Raw_Alerts!$B:$B,Raw_Alerts!$A:$A),"No Alert")</f>
        <v/>
      </c>
      <c r="M518" s="2">
        <f>IFERROR(XLOOKUP(A518,Raw_Alerts!$B:$B,Raw_Alerts!$C:$C),"")</f>
        <v/>
      </c>
      <c r="N518" s="2">
        <f>IFERROR(XLOOKUP(A518,Raw_Alerts!$B:$B,Raw_Alerts!$D:$D),"")</f>
        <v/>
      </c>
      <c r="O518" s="2">
        <f>IFERROR(XLOOKUP(A518,Raw_Alerts!$B:$B,Raw_Alerts!$F:$F),"")</f>
        <v/>
      </c>
      <c r="P518" s="2">
        <f>IF(H518="Not Found","CRITICAL: No Risk Profile",IF(I518="Missing","WARN: Missing KYC",IF(I518="Expired","WARN: KYC Expired",IF(I518="Pending","INFO: KYC Pending","OK"))))</f>
        <v/>
      </c>
    </row>
    <row r="519">
      <c r="A519" s="4">
        <f>Raw_Transactions!A519</f>
        <v/>
      </c>
      <c r="B519" s="4">
        <f>Raw_Transactions!B519</f>
        <v/>
      </c>
      <c r="C519" s="4">
        <f>Raw_Transactions!C519</f>
        <v/>
      </c>
      <c r="D519" s="5">
        <f>Raw_Transactions!D519</f>
        <v/>
      </c>
      <c r="E519" s="4">
        <f>Raw_Transactions!E519</f>
        <v/>
      </c>
      <c r="F519" s="4">
        <f>Raw_Transactions!F519</f>
        <v/>
      </c>
      <c r="G519" s="4">
        <f>Raw_Transactions!G519</f>
        <v/>
      </c>
      <c r="H519" s="4">
        <f>XLOOKUP(B519,Raw_Risk_Profiles!$A:$A,Raw_Risk_Profiles!$B:$B,"Not Found")</f>
        <v/>
      </c>
      <c r="I519" s="4">
        <f>XLOOKUP(B519,Raw_Risk_Profiles!$A:$A,Raw_Risk_Profiles!$C:$C,"Missing")</f>
        <v/>
      </c>
      <c r="J519" s="4">
        <f>XLOOKUP(B519,Raw_Risk_Profiles!$A:$A,Raw_Risk_Profiles!$D:$D,"")</f>
        <v/>
      </c>
      <c r="K519" s="4">
        <f>IFERROR(INDEX(Raw_Risk_Profiles!$E:$E,MATCH(B519,Raw_Risk_Profiles!$A:$A,0)),"Unknown")</f>
        <v/>
      </c>
      <c r="L519" s="4">
        <f>IFERROR(XLOOKUP(A519,Raw_Alerts!$B:$B,Raw_Alerts!$A:$A),"No Alert")</f>
        <v/>
      </c>
      <c r="M519" s="4">
        <f>IFERROR(XLOOKUP(A519,Raw_Alerts!$B:$B,Raw_Alerts!$C:$C),"")</f>
        <v/>
      </c>
      <c r="N519" s="4">
        <f>IFERROR(XLOOKUP(A519,Raw_Alerts!$B:$B,Raw_Alerts!$D:$D),"")</f>
        <v/>
      </c>
      <c r="O519" s="4">
        <f>IFERROR(XLOOKUP(A519,Raw_Alerts!$B:$B,Raw_Alerts!$F:$F),"")</f>
        <v/>
      </c>
      <c r="P519" s="4">
        <f>IF(H519="Not Found","CRITICAL: No Risk Profile",IF(I519="Missing","WARN: Missing KYC",IF(I519="Expired","WARN: KYC Expired",IF(I519="Pending","INFO: KYC Pending","OK"))))</f>
        <v/>
      </c>
    </row>
    <row r="520">
      <c r="A520" s="2">
        <f>Raw_Transactions!A520</f>
        <v/>
      </c>
      <c r="B520" s="2">
        <f>Raw_Transactions!B520</f>
        <v/>
      </c>
      <c r="C520" s="2">
        <f>Raw_Transactions!C520</f>
        <v/>
      </c>
      <c r="D520" s="3">
        <f>Raw_Transactions!D520</f>
        <v/>
      </c>
      <c r="E520" s="2">
        <f>Raw_Transactions!E520</f>
        <v/>
      </c>
      <c r="F520" s="2">
        <f>Raw_Transactions!F520</f>
        <v/>
      </c>
      <c r="G520" s="2">
        <f>Raw_Transactions!G520</f>
        <v/>
      </c>
      <c r="H520" s="2">
        <f>XLOOKUP(B520,Raw_Risk_Profiles!$A:$A,Raw_Risk_Profiles!$B:$B,"Not Found")</f>
        <v/>
      </c>
      <c r="I520" s="2">
        <f>XLOOKUP(B520,Raw_Risk_Profiles!$A:$A,Raw_Risk_Profiles!$C:$C,"Missing")</f>
        <v/>
      </c>
      <c r="J520" s="2">
        <f>XLOOKUP(B520,Raw_Risk_Profiles!$A:$A,Raw_Risk_Profiles!$D:$D,"")</f>
        <v/>
      </c>
      <c r="K520" s="2">
        <f>IFERROR(INDEX(Raw_Risk_Profiles!$E:$E,MATCH(B520,Raw_Risk_Profiles!$A:$A,0)),"Unknown")</f>
        <v/>
      </c>
      <c r="L520" s="2">
        <f>IFERROR(XLOOKUP(A520,Raw_Alerts!$B:$B,Raw_Alerts!$A:$A),"No Alert")</f>
        <v/>
      </c>
      <c r="M520" s="2">
        <f>IFERROR(XLOOKUP(A520,Raw_Alerts!$B:$B,Raw_Alerts!$C:$C),"")</f>
        <v/>
      </c>
      <c r="N520" s="2">
        <f>IFERROR(XLOOKUP(A520,Raw_Alerts!$B:$B,Raw_Alerts!$D:$D),"")</f>
        <v/>
      </c>
      <c r="O520" s="2">
        <f>IFERROR(XLOOKUP(A520,Raw_Alerts!$B:$B,Raw_Alerts!$F:$F),"")</f>
        <v/>
      </c>
      <c r="P520" s="2">
        <f>IF(H520="Not Found","CRITICAL: No Risk Profile",IF(I520="Missing","WARN: Missing KYC",IF(I520="Expired","WARN: KYC Expired",IF(I520="Pending","INFO: KYC Pending","OK"))))</f>
        <v/>
      </c>
    </row>
    <row r="521">
      <c r="A521" s="4">
        <f>Raw_Transactions!A521</f>
        <v/>
      </c>
      <c r="B521" s="4">
        <f>Raw_Transactions!B521</f>
        <v/>
      </c>
      <c r="C521" s="4">
        <f>Raw_Transactions!C521</f>
        <v/>
      </c>
      <c r="D521" s="5">
        <f>Raw_Transactions!D521</f>
        <v/>
      </c>
      <c r="E521" s="4">
        <f>Raw_Transactions!E521</f>
        <v/>
      </c>
      <c r="F521" s="4">
        <f>Raw_Transactions!F521</f>
        <v/>
      </c>
      <c r="G521" s="4">
        <f>Raw_Transactions!G521</f>
        <v/>
      </c>
      <c r="H521" s="4">
        <f>XLOOKUP(B521,Raw_Risk_Profiles!$A:$A,Raw_Risk_Profiles!$B:$B,"Not Found")</f>
        <v/>
      </c>
      <c r="I521" s="4">
        <f>XLOOKUP(B521,Raw_Risk_Profiles!$A:$A,Raw_Risk_Profiles!$C:$C,"Missing")</f>
        <v/>
      </c>
      <c r="J521" s="4">
        <f>XLOOKUP(B521,Raw_Risk_Profiles!$A:$A,Raw_Risk_Profiles!$D:$D,"")</f>
        <v/>
      </c>
      <c r="K521" s="4">
        <f>IFERROR(INDEX(Raw_Risk_Profiles!$E:$E,MATCH(B521,Raw_Risk_Profiles!$A:$A,0)),"Unknown")</f>
        <v/>
      </c>
      <c r="L521" s="4">
        <f>IFERROR(XLOOKUP(A521,Raw_Alerts!$B:$B,Raw_Alerts!$A:$A),"No Alert")</f>
        <v/>
      </c>
      <c r="M521" s="4">
        <f>IFERROR(XLOOKUP(A521,Raw_Alerts!$B:$B,Raw_Alerts!$C:$C),"")</f>
        <v/>
      </c>
      <c r="N521" s="4">
        <f>IFERROR(XLOOKUP(A521,Raw_Alerts!$B:$B,Raw_Alerts!$D:$D),"")</f>
        <v/>
      </c>
      <c r="O521" s="4">
        <f>IFERROR(XLOOKUP(A521,Raw_Alerts!$B:$B,Raw_Alerts!$F:$F),"")</f>
        <v/>
      </c>
      <c r="P521" s="4">
        <f>IF(H521="Not Found","CRITICAL: No Risk Profile",IF(I521="Missing","WARN: Missing KYC",IF(I521="Expired","WARN: KYC Expired",IF(I521="Pending","INFO: KYC Pending","OK"))))</f>
        <v/>
      </c>
    </row>
    <row r="522">
      <c r="A522" s="2">
        <f>Raw_Transactions!A522</f>
        <v/>
      </c>
      <c r="B522" s="2">
        <f>Raw_Transactions!B522</f>
        <v/>
      </c>
      <c r="C522" s="2">
        <f>Raw_Transactions!C522</f>
        <v/>
      </c>
      <c r="D522" s="3">
        <f>Raw_Transactions!D522</f>
        <v/>
      </c>
      <c r="E522" s="2">
        <f>Raw_Transactions!E522</f>
        <v/>
      </c>
      <c r="F522" s="2">
        <f>Raw_Transactions!F522</f>
        <v/>
      </c>
      <c r="G522" s="2">
        <f>Raw_Transactions!G522</f>
        <v/>
      </c>
      <c r="H522" s="2">
        <f>XLOOKUP(B522,Raw_Risk_Profiles!$A:$A,Raw_Risk_Profiles!$B:$B,"Not Found")</f>
        <v/>
      </c>
      <c r="I522" s="2">
        <f>XLOOKUP(B522,Raw_Risk_Profiles!$A:$A,Raw_Risk_Profiles!$C:$C,"Missing")</f>
        <v/>
      </c>
      <c r="J522" s="2">
        <f>XLOOKUP(B522,Raw_Risk_Profiles!$A:$A,Raw_Risk_Profiles!$D:$D,"")</f>
        <v/>
      </c>
      <c r="K522" s="2">
        <f>IFERROR(INDEX(Raw_Risk_Profiles!$E:$E,MATCH(B522,Raw_Risk_Profiles!$A:$A,0)),"Unknown")</f>
        <v/>
      </c>
      <c r="L522" s="2">
        <f>IFERROR(XLOOKUP(A522,Raw_Alerts!$B:$B,Raw_Alerts!$A:$A),"No Alert")</f>
        <v/>
      </c>
      <c r="M522" s="2">
        <f>IFERROR(XLOOKUP(A522,Raw_Alerts!$B:$B,Raw_Alerts!$C:$C),"")</f>
        <v/>
      </c>
      <c r="N522" s="2">
        <f>IFERROR(XLOOKUP(A522,Raw_Alerts!$B:$B,Raw_Alerts!$D:$D),"")</f>
        <v/>
      </c>
      <c r="O522" s="2">
        <f>IFERROR(XLOOKUP(A522,Raw_Alerts!$B:$B,Raw_Alerts!$F:$F),"")</f>
        <v/>
      </c>
      <c r="P522" s="2">
        <f>IF(H522="Not Found","CRITICAL: No Risk Profile",IF(I522="Missing","WARN: Missing KYC",IF(I522="Expired","WARN: KYC Expired",IF(I522="Pending","INFO: KYC Pending","OK"))))</f>
        <v/>
      </c>
    </row>
    <row r="523">
      <c r="A523" s="4">
        <f>Raw_Transactions!A523</f>
        <v/>
      </c>
      <c r="B523" s="4">
        <f>Raw_Transactions!B523</f>
        <v/>
      </c>
      <c r="C523" s="4">
        <f>Raw_Transactions!C523</f>
        <v/>
      </c>
      <c r="D523" s="5">
        <f>Raw_Transactions!D523</f>
        <v/>
      </c>
      <c r="E523" s="4">
        <f>Raw_Transactions!E523</f>
        <v/>
      </c>
      <c r="F523" s="4">
        <f>Raw_Transactions!F523</f>
        <v/>
      </c>
      <c r="G523" s="4">
        <f>Raw_Transactions!G523</f>
        <v/>
      </c>
      <c r="H523" s="4">
        <f>XLOOKUP(B523,Raw_Risk_Profiles!$A:$A,Raw_Risk_Profiles!$B:$B,"Not Found")</f>
        <v/>
      </c>
      <c r="I523" s="4">
        <f>XLOOKUP(B523,Raw_Risk_Profiles!$A:$A,Raw_Risk_Profiles!$C:$C,"Missing")</f>
        <v/>
      </c>
      <c r="J523" s="4">
        <f>XLOOKUP(B523,Raw_Risk_Profiles!$A:$A,Raw_Risk_Profiles!$D:$D,"")</f>
        <v/>
      </c>
      <c r="K523" s="4">
        <f>IFERROR(INDEX(Raw_Risk_Profiles!$E:$E,MATCH(B523,Raw_Risk_Profiles!$A:$A,0)),"Unknown")</f>
        <v/>
      </c>
      <c r="L523" s="4">
        <f>IFERROR(XLOOKUP(A523,Raw_Alerts!$B:$B,Raw_Alerts!$A:$A),"No Alert")</f>
        <v/>
      </c>
      <c r="M523" s="4">
        <f>IFERROR(XLOOKUP(A523,Raw_Alerts!$B:$B,Raw_Alerts!$C:$C),"")</f>
        <v/>
      </c>
      <c r="N523" s="4">
        <f>IFERROR(XLOOKUP(A523,Raw_Alerts!$B:$B,Raw_Alerts!$D:$D),"")</f>
        <v/>
      </c>
      <c r="O523" s="4">
        <f>IFERROR(XLOOKUP(A523,Raw_Alerts!$B:$B,Raw_Alerts!$F:$F),"")</f>
        <v/>
      </c>
      <c r="P523" s="4">
        <f>IF(H523="Not Found","CRITICAL: No Risk Profile",IF(I523="Missing","WARN: Missing KYC",IF(I523="Expired","WARN: KYC Expired",IF(I523="Pending","INFO: KYC Pending","OK"))))</f>
        <v/>
      </c>
    </row>
    <row r="524">
      <c r="A524" s="2">
        <f>Raw_Transactions!A524</f>
        <v/>
      </c>
      <c r="B524" s="2">
        <f>Raw_Transactions!B524</f>
        <v/>
      </c>
      <c r="C524" s="2">
        <f>Raw_Transactions!C524</f>
        <v/>
      </c>
      <c r="D524" s="3">
        <f>Raw_Transactions!D524</f>
        <v/>
      </c>
      <c r="E524" s="2">
        <f>Raw_Transactions!E524</f>
        <v/>
      </c>
      <c r="F524" s="2">
        <f>Raw_Transactions!F524</f>
        <v/>
      </c>
      <c r="G524" s="2">
        <f>Raw_Transactions!G524</f>
        <v/>
      </c>
      <c r="H524" s="2">
        <f>XLOOKUP(B524,Raw_Risk_Profiles!$A:$A,Raw_Risk_Profiles!$B:$B,"Not Found")</f>
        <v/>
      </c>
      <c r="I524" s="2">
        <f>XLOOKUP(B524,Raw_Risk_Profiles!$A:$A,Raw_Risk_Profiles!$C:$C,"Missing")</f>
        <v/>
      </c>
      <c r="J524" s="2">
        <f>XLOOKUP(B524,Raw_Risk_Profiles!$A:$A,Raw_Risk_Profiles!$D:$D,"")</f>
        <v/>
      </c>
      <c r="K524" s="2">
        <f>IFERROR(INDEX(Raw_Risk_Profiles!$E:$E,MATCH(B524,Raw_Risk_Profiles!$A:$A,0)),"Unknown")</f>
        <v/>
      </c>
      <c r="L524" s="2">
        <f>IFERROR(XLOOKUP(A524,Raw_Alerts!$B:$B,Raw_Alerts!$A:$A),"No Alert")</f>
        <v/>
      </c>
      <c r="M524" s="2">
        <f>IFERROR(XLOOKUP(A524,Raw_Alerts!$B:$B,Raw_Alerts!$C:$C),"")</f>
        <v/>
      </c>
      <c r="N524" s="2">
        <f>IFERROR(XLOOKUP(A524,Raw_Alerts!$B:$B,Raw_Alerts!$D:$D),"")</f>
        <v/>
      </c>
      <c r="O524" s="2">
        <f>IFERROR(XLOOKUP(A524,Raw_Alerts!$B:$B,Raw_Alerts!$F:$F),"")</f>
        <v/>
      </c>
      <c r="P524" s="2">
        <f>IF(H524="Not Found","CRITICAL: No Risk Profile",IF(I524="Missing","WARN: Missing KYC",IF(I524="Expired","WARN: KYC Expired",IF(I524="Pending","INFO: KYC Pending","OK"))))</f>
        <v/>
      </c>
    </row>
    <row r="525">
      <c r="A525" s="4">
        <f>Raw_Transactions!A525</f>
        <v/>
      </c>
      <c r="B525" s="4">
        <f>Raw_Transactions!B525</f>
        <v/>
      </c>
      <c r="C525" s="4">
        <f>Raw_Transactions!C525</f>
        <v/>
      </c>
      <c r="D525" s="5">
        <f>Raw_Transactions!D525</f>
        <v/>
      </c>
      <c r="E525" s="4">
        <f>Raw_Transactions!E525</f>
        <v/>
      </c>
      <c r="F525" s="4">
        <f>Raw_Transactions!F525</f>
        <v/>
      </c>
      <c r="G525" s="4">
        <f>Raw_Transactions!G525</f>
        <v/>
      </c>
      <c r="H525" s="4">
        <f>XLOOKUP(B525,Raw_Risk_Profiles!$A:$A,Raw_Risk_Profiles!$B:$B,"Not Found")</f>
        <v/>
      </c>
      <c r="I525" s="4">
        <f>XLOOKUP(B525,Raw_Risk_Profiles!$A:$A,Raw_Risk_Profiles!$C:$C,"Missing")</f>
        <v/>
      </c>
      <c r="J525" s="4">
        <f>XLOOKUP(B525,Raw_Risk_Profiles!$A:$A,Raw_Risk_Profiles!$D:$D,"")</f>
        <v/>
      </c>
      <c r="K525" s="4">
        <f>IFERROR(INDEX(Raw_Risk_Profiles!$E:$E,MATCH(B525,Raw_Risk_Profiles!$A:$A,0)),"Unknown")</f>
        <v/>
      </c>
      <c r="L525" s="4">
        <f>IFERROR(XLOOKUP(A525,Raw_Alerts!$B:$B,Raw_Alerts!$A:$A),"No Alert")</f>
        <v/>
      </c>
      <c r="M525" s="4">
        <f>IFERROR(XLOOKUP(A525,Raw_Alerts!$B:$B,Raw_Alerts!$C:$C),"")</f>
        <v/>
      </c>
      <c r="N525" s="4">
        <f>IFERROR(XLOOKUP(A525,Raw_Alerts!$B:$B,Raw_Alerts!$D:$D),"")</f>
        <v/>
      </c>
      <c r="O525" s="4">
        <f>IFERROR(XLOOKUP(A525,Raw_Alerts!$B:$B,Raw_Alerts!$F:$F),"")</f>
        <v/>
      </c>
      <c r="P525" s="4">
        <f>IF(H525="Not Found","CRITICAL: No Risk Profile",IF(I525="Missing","WARN: Missing KYC",IF(I525="Expired","WARN: KYC Expired",IF(I525="Pending","INFO: KYC Pending","OK"))))</f>
        <v/>
      </c>
    </row>
    <row r="526">
      <c r="A526" s="2">
        <f>Raw_Transactions!A526</f>
        <v/>
      </c>
      <c r="B526" s="2">
        <f>Raw_Transactions!B526</f>
        <v/>
      </c>
      <c r="C526" s="2">
        <f>Raw_Transactions!C526</f>
        <v/>
      </c>
      <c r="D526" s="3">
        <f>Raw_Transactions!D526</f>
        <v/>
      </c>
      <c r="E526" s="2">
        <f>Raw_Transactions!E526</f>
        <v/>
      </c>
      <c r="F526" s="2">
        <f>Raw_Transactions!F526</f>
        <v/>
      </c>
      <c r="G526" s="2">
        <f>Raw_Transactions!G526</f>
        <v/>
      </c>
      <c r="H526" s="2">
        <f>XLOOKUP(B526,Raw_Risk_Profiles!$A:$A,Raw_Risk_Profiles!$B:$B,"Not Found")</f>
        <v/>
      </c>
      <c r="I526" s="2">
        <f>XLOOKUP(B526,Raw_Risk_Profiles!$A:$A,Raw_Risk_Profiles!$C:$C,"Missing")</f>
        <v/>
      </c>
      <c r="J526" s="2">
        <f>XLOOKUP(B526,Raw_Risk_Profiles!$A:$A,Raw_Risk_Profiles!$D:$D,"")</f>
        <v/>
      </c>
      <c r="K526" s="2">
        <f>IFERROR(INDEX(Raw_Risk_Profiles!$E:$E,MATCH(B526,Raw_Risk_Profiles!$A:$A,0)),"Unknown")</f>
        <v/>
      </c>
      <c r="L526" s="2">
        <f>IFERROR(XLOOKUP(A526,Raw_Alerts!$B:$B,Raw_Alerts!$A:$A),"No Alert")</f>
        <v/>
      </c>
      <c r="M526" s="2">
        <f>IFERROR(XLOOKUP(A526,Raw_Alerts!$B:$B,Raw_Alerts!$C:$C),"")</f>
        <v/>
      </c>
      <c r="N526" s="2">
        <f>IFERROR(XLOOKUP(A526,Raw_Alerts!$B:$B,Raw_Alerts!$D:$D),"")</f>
        <v/>
      </c>
      <c r="O526" s="2">
        <f>IFERROR(XLOOKUP(A526,Raw_Alerts!$B:$B,Raw_Alerts!$F:$F),"")</f>
        <v/>
      </c>
      <c r="P526" s="2">
        <f>IF(H526="Not Found","CRITICAL: No Risk Profile",IF(I526="Missing","WARN: Missing KYC",IF(I526="Expired","WARN: KYC Expired",IF(I526="Pending","INFO: KYC Pending","OK"))))</f>
        <v/>
      </c>
    </row>
    <row r="527">
      <c r="A527" s="4">
        <f>Raw_Transactions!A527</f>
        <v/>
      </c>
      <c r="B527" s="4">
        <f>Raw_Transactions!B527</f>
        <v/>
      </c>
      <c r="C527" s="4">
        <f>Raw_Transactions!C527</f>
        <v/>
      </c>
      <c r="D527" s="5">
        <f>Raw_Transactions!D527</f>
        <v/>
      </c>
      <c r="E527" s="4">
        <f>Raw_Transactions!E527</f>
        <v/>
      </c>
      <c r="F527" s="4">
        <f>Raw_Transactions!F527</f>
        <v/>
      </c>
      <c r="G527" s="4">
        <f>Raw_Transactions!G527</f>
        <v/>
      </c>
      <c r="H527" s="4">
        <f>XLOOKUP(B527,Raw_Risk_Profiles!$A:$A,Raw_Risk_Profiles!$B:$B,"Not Found")</f>
        <v/>
      </c>
      <c r="I527" s="4">
        <f>XLOOKUP(B527,Raw_Risk_Profiles!$A:$A,Raw_Risk_Profiles!$C:$C,"Missing")</f>
        <v/>
      </c>
      <c r="J527" s="4">
        <f>XLOOKUP(B527,Raw_Risk_Profiles!$A:$A,Raw_Risk_Profiles!$D:$D,"")</f>
        <v/>
      </c>
      <c r="K527" s="4">
        <f>IFERROR(INDEX(Raw_Risk_Profiles!$E:$E,MATCH(B527,Raw_Risk_Profiles!$A:$A,0)),"Unknown")</f>
        <v/>
      </c>
      <c r="L527" s="4">
        <f>IFERROR(XLOOKUP(A527,Raw_Alerts!$B:$B,Raw_Alerts!$A:$A),"No Alert")</f>
        <v/>
      </c>
      <c r="M527" s="4">
        <f>IFERROR(XLOOKUP(A527,Raw_Alerts!$B:$B,Raw_Alerts!$C:$C),"")</f>
        <v/>
      </c>
      <c r="N527" s="4">
        <f>IFERROR(XLOOKUP(A527,Raw_Alerts!$B:$B,Raw_Alerts!$D:$D),"")</f>
        <v/>
      </c>
      <c r="O527" s="4">
        <f>IFERROR(XLOOKUP(A527,Raw_Alerts!$B:$B,Raw_Alerts!$F:$F),"")</f>
        <v/>
      </c>
      <c r="P527" s="4">
        <f>IF(H527="Not Found","CRITICAL: No Risk Profile",IF(I527="Missing","WARN: Missing KYC",IF(I527="Expired","WARN: KYC Expired",IF(I527="Pending","INFO: KYC Pending","OK"))))</f>
        <v/>
      </c>
    </row>
    <row r="528">
      <c r="A528" s="2">
        <f>Raw_Transactions!A528</f>
        <v/>
      </c>
      <c r="B528" s="2">
        <f>Raw_Transactions!B528</f>
        <v/>
      </c>
      <c r="C528" s="2">
        <f>Raw_Transactions!C528</f>
        <v/>
      </c>
      <c r="D528" s="3">
        <f>Raw_Transactions!D528</f>
        <v/>
      </c>
      <c r="E528" s="2">
        <f>Raw_Transactions!E528</f>
        <v/>
      </c>
      <c r="F528" s="2">
        <f>Raw_Transactions!F528</f>
        <v/>
      </c>
      <c r="G528" s="2">
        <f>Raw_Transactions!G528</f>
        <v/>
      </c>
      <c r="H528" s="2">
        <f>XLOOKUP(B528,Raw_Risk_Profiles!$A:$A,Raw_Risk_Profiles!$B:$B,"Not Found")</f>
        <v/>
      </c>
      <c r="I528" s="2">
        <f>XLOOKUP(B528,Raw_Risk_Profiles!$A:$A,Raw_Risk_Profiles!$C:$C,"Missing")</f>
        <v/>
      </c>
      <c r="J528" s="2">
        <f>XLOOKUP(B528,Raw_Risk_Profiles!$A:$A,Raw_Risk_Profiles!$D:$D,"")</f>
        <v/>
      </c>
      <c r="K528" s="2">
        <f>IFERROR(INDEX(Raw_Risk_Profiles!$E:$E,MATCH(B528,Raw_Risk_Profiles!$A:$A,0)),"Unknown")</f>
        <v/>
      </c>
      <c r="L528" s="2">
        <f>IFERROR(XLOOKUP(A528,Raw_Alerts!$B:$B,Raw_Alerts!$A:$A),"No Alert")</f>
        <v/>
      </c>
      <c r="M528" s="2">
        <f>IFERROR(XLOOKUP(A528,Raw_Alerts!$B:$B,Raw_Alerts!$C:$C),"")</f>
        <v/>
      </c>
      <c r="N528" s="2">
        <f>IFERROR(XLOOKUP(A528,Raw_Alerts!$B:$B,Raw_Alerts!$D:$D),"")</f>
        <v/>
      </c>
      <c r="O528" s="2">
        <f>IFERROR(XLOOKUP(A528,Raw_Alerts!$B:$B,Raw_Alerts!$F:$F),"")</f>
        <v/>
      </c>
      <c r="P528" s="2">
        <f>IF(H528="Not Found","CRITICAL: No Risk Profile",IF(I528="Missing","WARN: Missing KYC",IF(I528="Expired","WARN: KYC Expired",IF(I528="Pending","INFO: KYC Pending","OK"))))</f>
        <v/>
      </c>
    </row>
    <row r="529">
      <c r="A529" s="4">
        <f>Raw_Transactions!A529</f>
        <v/>
      </c>
      <c r="B529" s="4">
        <f>Raw_Transactions!B529</f>
        <v/>
      </c>
      <c r="C529" s="4">
        <f>Raw_Transactions!C529</f>
        <v/>
      </c>
      <c r="D529" s="5">
        <f>Raw_Transactions!D529</f>
        <v/>
      </c>
      <c r="E529" s="4">
        <f>Raw_Transactions!E529</f>
        <v/>
      </c>
      <c r="F529" s="4">
        <f>Raw_Transactions!F529</f>
        <v/>
      </c>
      <c r="G529" s="4">
        <f>Raw_Transactions!G529</f>
        <v/>
      </c>
      <c r="H529" s="4">
        <f>XLOOKUP(B529,Raw_Risk_Profiles!$A:$A,Raw_Risk_Profiles!$B:$B,"Not Found")</f>
        <v/>
      </c>
      <c r="I529" s="4">
        <f>XLOOKUP(B529,Raw_Risk_Profiles!$A:$A,Raw_Risk_Profiles!$C:$C,"Missing")</f>
        <v/>
      </c>
      <c r="J529" s="4">
        <f>XLOOKUP(B529,Raw_Risk_Profiles!$A:$A,Raw_Risk_Profiles!$D:$D,"")</f>
        <v/>
      </c>
      <c r="K529" s="4">
        <f>IFERROR(INDEX(Raw_Risk_Profiles!$E:$E,MATCH(B529,Raw_Risk_Profiles!$A:$A,0)),"Unknown")</f>
        <v/>
      </c>
      <c r="L529" s="4">
        <f>IFERROR(XLOOKUP(A529,Raw_Alerts!$B:$B,Raw_Alerts!$A:$A),"No Alert")</f>
        <v/>
      </c>
      <c r="M529" s="4">
        <f>IFERROR(XLOOKUP(A529,Raw_Alerts!$B:$B,Raw_Alerts!$C:$C),"")</f>
        <v/>
      </c>
      <c r="N529" s="4">
        <f>IFERROR(XLOOKUP(A529,Raw_Alerts!$B:$B,Raw_Alerts!$D:$D),"")</f>
        <v/>
      </c>
      <c r="O529" s="4">
        <f>IFERROR(XLOOKUP(A529,Raw_Alerts!$B:$B,Raw_Alerts!$F:$F),"")</f>
        <v/>
      </c>
      <c r="P529" s="4">
        <f>IF(H529="Not Found","CRITICAL: No Risk Profile",IF(I529="Missing","WARN: Missing KYC",IF(I529="Expired","WARN: KYC Expired",IF(I529="Pending","INFO: KYC Pending","OK"))))</f>
        <v/>
      </c>
    </row>
    <row r="530">
      <c r="A530" s="2">
        <f>Raw_Transactions!A530</f>
        <v/>
      </c>
      <c r="B530" s="2">
        <f>Raw_Transactions!B530</f>
        <v/>
      </c>
      <c r="C530" s="2">
        <f>Raw_Transactions!C530</f>
        <v/>
      </c>
      <c r="D530" s="3">
        <f>Raw_Transactions!D530</f>
        <v/>
      </c>
      <c r="E530" s="2">
        <f>Raw_Transactions!E530</f>
        <v/>
      </c>
      <c r="F530" s="2">
        <f>Raw_Transactions!F530</f>
        <v/>
      </c>
      <c r="G530" s="2">
        <f>Raw_Transactions!G530</f>
        <v/>
      </c>
      <c r="H530" s="2">
        <f>XLOOKUP(B530,Raw_Risk_Profiles!$A:$A,Raw_Risk_Profiles!$B:$B,"Not Found")</f>
        <v/>
      </c>
      <c r="I530" s="2">
        <f>XLOOKUP(B530,Raw_Risk_Profiles!$A:$A,Raw_Risk_Profiles!$C:$C,"Missing")</f>
        <v/>
      </c>
      <c r="J530" s="2">
        <f>XLOOKUP(B530,Raw_Risk_Profiles!$A:$A,Raw_Risk_Profiles!$D:$D,"")</f>
        <v/>
      </c>
      <c r="K530" s="2">
        <f>IFERROR(INDEX(Raw_Risk_Profiles!$E:$E,MATCH(B530,Raw_Risk_Profiles!$A:$A,0)),"Unknown")</f>
        <v/>
      </c>
      <c r="L530" s="2">
        <f>IFERROR(XLOOKUP(A530,Raw_Alerts!$B:$B,Raw_Alerts!$A:$A),"No Alert")</f>
        <v/>
      </c>
      <c r="M530" s="2">
        <f>IFERROR(XLOOKUP(A530,Raw_Alerts!$B:$B,Raw_Alerts!$C:$C),"")</f>
        <v/>
      </c>
      <c r="N530" s="2">
        <f>IFERROR(XLOOKUP(A530,Raw_Alerts!$B:$B,Raw_Alerts!$D:$D),"")</f>
        <v/>
      </c>
      <c r="O530" s="2">
        <f>IFERROR(XLOOKUP(A530,Raw_Alerts!$B:$B,Raw_Alerts!$F:$F),"")</f>
        <v/>
      </c>
      <c r="P530" s="2">
        <f>IF(H530="Not Found","CRITICAL: No Risk Profile",IF(I530="Missing","WARN: Missing KYC",IF(I530="Expired","WARN: KYC Expired",IF(I530="Pending","INFO: KYC Pending","OK"))))</f>
        <v/>
      </c>
    </row>
    <row r="531">
      <c r="A531" s="4">
        <f>Raw_Transactions!A531</f>
        <v/>
      </c>
      <c r="B531" s="4">
        <f>Raw_Transactions!B531</f>
        <v/>
      </c>
      <c r="C531" s="4">
        <f>Raw_Transactions!C531</f>
        <v/>
      </c>
      <c r="D531" s="5">
        <f>Raw_Transactions!D531</f>
        <v/>
      </c>
      <c r="E531" s="4">
        <f>Raw_Transactions!E531</f>
        <v/>
      </c>
      <c r="F531" s="4">
        <f>Raw_Transactions!F531</f>
        <v/>
      </c>
      <c r="G531" s="4">
        <f>Raw_Transactions!G531</f>
        <v/>
      </c>
      <c r="H531" s="4">
        <f>XLOOKUP(B531,Raw_Risk_Profiles!$A:$A,Raw_Risk_Profiles!$B:$B,"Not Found")</f>
        <v/>
      </c>
      <c r="I531" s="4">
        <f>XLOOKUP(B531,Raw_Risk_Profiles!$A:$A,Raw_Risk_Profiles!$C:$C,"Missing")</f>
        <v/>
      </c>
      <c r="J531" s="4">
        <f>XLOOKUP(B531,Raw_Risk_Profiles!$A:$A,Raw_Risk_Profiles!$D:$D,"")</f>
        <v/>
      </c>
      <c r="K531" s="4">
        <f>IFERROR(INDEX(Raw_Risk_Profiles!$E:$E,MATCH(B531,Raw_Risk_Profiles!$A:$A,0)),"Unknown")</f>
        <v/>
      </c>
      <c r="L531" s="4">
        <f>IFERROR(XLOOKUP(A531,Raw_Alerts!$B:$B,Raw_Alerts!$A:$A),"No Alert")</f>
        <v/>
      </c>
      <c r="M531" s="4">
        <f>IFERROR(XLOOKUP(A531,Raw_Alerts!$B:$B,Raw_Alerts!$C:$C),"")</f>
        <v/>
      </c>
      <c r="N531" s="4">
        <f>IFERROR(XLOOKUP(A531,Raw_Alerts!$B:$B,Raw_Alerts!$D:$D),"")</f>
        <v/>
      </c>
      <c r="O531" s="4">
        <f>IFERROR(XLOOKUP(A531,Raw_Alerts!$B:$B,Raw_Alerts!$F:$F),"")</f>
        <v/>
      </c>
      <c r="P531" s="4">
        <f>IF(H531="Not Found","CRITICAL: No Risk Profile",IF(I531="Missing","WARN: Missing KYC",IF(I531="Expired","WARN: KYC Expired",IF(I531="Pending","INFO: KYC Pending","OK"))))</f>
        <v/>
      </c>
    </row>
    <row r="532">
      <c r="A532" s="2">
        <f>Raw_Transactions!A532</f>
        <v/>
      </c>
      <c r="B532" s="2">
        <f>Raw_Transactions!B532</f>
        <v/>
      </c>
      <c r="C532" s="2">
        <f>Raw_Transactions!C532</f>
        <v/>
      </c>
      <c r="D532" s="3">
        <f>Raw_Transactions!D532</f>
        <v/>
      </c>
      <c r="E532" s="2">
        <f>Raw_Transactions!E532</f>
        <v/>
      </c>
      <c r="F532" s="2">
        <f>Raw_Transactions!F532</f>
        <v/>
      </c>
      <c r="G532" s="2">
        <f>Raw_Transactions!G532</f>
        <v/>
      </c>
      <c r="H532" s="2">
        <f>XLOOKUP(B532,Raw_Risk_Profiles!$A:$A,Raw_Risk_Profiles!$B:$B,"Not Found")</f>
        <v/>
      </c>
      <c r="I532" s="2">
        <f>XLOOKUP(B532,Raw_Risk_Profiles!$A:$A,Raw_Risk_Profiles!$C:$C,"Missing")</f>
        <v/>
      </c>
      <c r="J532" s="2">
        <f>XLOOKUP(B532,Raw_Risk_Profiles!$A:$A,Raw_Risk_Profiles!$D:$D,"")</f>
        <v/>
      </c>
      <c r="K532" s="2">
        <f>IFERROR(INDEX(Raw_Risk_Profiles!$E:$E,MATCH(B532,Raw_Risk_Profiles!$A:$A,0)),"Unknown")</f>
        <v/>
      </c>
      <c r="L532" s="2">
        <f>IFERROR(XLOOKUP(A532,Raw_Alerts!$B:$B,Raw_Alerts!$A:$A),"No Alert")</f>
        <v/>
      </c>
      <c r="M532" s="2">
        <f>IFERROR(XLOOKUP(A532,Raw_Alerts!$B:$B,Raw_Alerts!$C:$C),"")</f>
        <v/>
      </c>
      <c r="N532" s="2">
        <f>IFERROR(XLOOKUP(A532,Raw_Alerts!$B:$B,Raw_Alerts!$D:$D),"")</f>
        <v/>
      </c>
      <c r="O532" s="2">
        <f>IFERROR(XLOOKUP(A532,Raw_Alerts!$B:$B,Raw_Alerts!$F:$F),"")</f>
        <v/>
      </c>
      <c r="P532" s="2">
        <f>IF(H532="Not Found","CRITICAL: No Risk Profile",IF(I532="Missing","WARN: Missing KYC",IF(I532="Expired","WARN: KYC Expired",IF(I532="Pending","INFO: KYC Pending","OK"))))</f>
        <v/>
      </c>
    </row>
    <row r="533">
      <c r="A533" s="4">
        <f>Raw_Transactions!A533</f>
        <v/>
      </c>
      <c r="B533" s="4">
        <f>Raw_Transactions!B533</f>
        <v/>
      </c>
      <c r="C533" s="4">
        <f>Raw_Transactions!C533</f>
        <v/>
      </c>
      <c r="D533" s="5">
        <f>Raw_Transactions!D533</f>
        <v/>
      </c>
      <c r="E533" s="4">
        <f>Raw_Transactions!E533</f>
        <v/>
      </c>
      <c r="F533" s="4">
        <f>Raw_Transactions!F533</f>
        <v/>
      </c>
      <c r="G533" s="4">
        <f>Raw_Transactions!G533</f>
        <v/>
      </c>
      <c r="H533" s="4">
        <f>XLOOKUP(B533,Raw_Risk_Profiles!$A:$A,Raw_Risk_Profiles!$B:$B,"Not Found")</f>
        <v/>
      </c>
      <c r="I533" s="4">
        <f>XLOOKUP(B533,Raw_Risk_Profiles!$A:$A,Raw_Risk_Profiles!$C:$C,"Missing")</f>
        <v/>
      </c>
      <c r="J533" s="4">
        <f>XLOOKUP(B533,Raw_Risk_Profiles!$A:$A,Raw_Risk_Profiles!$D:$D,"")</f>
        <v/>
      </c>
      <c r="K533" s="4">
        <f>IFERROR(INDEX(Raw_Risk_Profiles!$E:$E,MATCH(B533,Raw_Risk_Profiles!$A:$A,0)),"Unknown")</f>
        <v/>
      </c>
      <c r="L533" s="4">
        <f>IFERROR(XLOOKUP(A533,Raw_Alerts!$B:$B,Raw_Alerts!$A:$A),"No Alert")</f>
        <v/>
      </c>
      <c r="M533" s="4">
        <f>IFERROR(XLOOKUP(A533,Raw_Alerts!$B:$B,Raw_Alerts!$C:$C),"")</f>
        <v/>
      </c>
      <c r="N533" s="4">
        <f>IFERROR(XLOOKUP(A533,Raw_Alerts!$B:$B,Raw_Alerts!$D:$D),"")</f>
        <v/>
      </c>
      <c r="O533" s="4">
        <f>IFERROR(XLOOKUP(A533,Raw_Alerts!$B:$B,Raw_Alerts!$F:$F),"")</f>
        <v/>
      </c>
      <c r="P533" s="4">
        <f>IF(H533="Not Found","CRITICAL: No Risk Profile",IF(I533="Missing","WARN: Missing KYC",IF(I533="Expired","WARN: KYC Expired",IF(I533="Pending","INFO: KYC Pending","OK"))))</f>
        <v/>
      </c>
    </row>
    <row r="534">
      <c r="A534" s="2">
        <f>Raw_Transactions!A534</f>
        <v/>
      </c>
      <c r="B534" s="2">
        <f>Raw_Transactions!B534</f>
        <v/>
      </c>
      <c r="C534" s="2">
        <f>Raw_Transactions!C534</f>
        <v/>
      </c>
      <c r="D534" s="3">
        <f>Raw_Transactions!D534</f>
        <v/>
      </c>
      <c r="E534" s="2">
        <f>Raw_Transactions!E534</f>
        <v/>
      </c>
      <c r="F534" s="2">
        <f>Raw_Transactions!F534</f>
        <v/>
      </c>
      <c r="G534" s="2">
        <f>Raw_Transactions!G534</f>
        <v/>
      </c>
      <c r="H534" s="2">
        <f>XLOOKUP(B534,Raw_Risk_Profiles!$A:$A,Raw_Risk_Profiles!$B:$B,"Not Found")</f>
        <v/>
      </c>
      <c r="I534" s="2">
        <f>XLOOKUP(B534,Raw_Risk_Profiles!$A:$A,Raw_Risk_Profiles!$C:$C,"Missing")</f>
        <v/>
      </c>
      <c r="J534" s="2">
        <f>XLOOKUP(B534,Raw_Risk_Profiles!$A:$A,Raw_Risk_Profiles!$D:$D,"")</f>
        <v/>
      </c>
      <c r="K534" s="2">
        <f>IFERROR(INDEX(Raw_Risk_Profiles!$E:$E,MATCH(B534,Raw_Risk_Profiles!$A:$A,0)),"Unknown")</f>
        <v/>
      </c>
      <c r="L534" s="2">
        <f>IFERROR(XLOOKUP(A534,Raw_Alerts!$B:$B,Raw_Alerts!$A:$A),"No Alert")</f>
        <v/>
      </c>
      <c r="M534" s="2">
        <f>IFERROR(XLOOKUP(A534,Raw_Alerts!$B:$B,Raw_Alerts!$C:$C),"")</f>
        <v/>
      </c>
      <c r="N534" s="2">
        <f>IFERROR(XLOOKUP(A534,Raw_Alerts!$B:$B,Raw_Alerts!$D:$D),"")</f>
        <v/>
      </c>
      <c r="O534" s="2">
        <f>IFERROR(XLOOKUP(A534,Raw_Alerts!$B:$B,Raw_Alerts!$F:$F),"")</f>
        <v/>
      </c>
      <c r="P534" s="2">
        <f>IF(H534="Not Found","CRITICAL: No Risk Profile",IF(I534="Missing","WARN: Missing KYC",IF(I534="Expired","WARN: KYC Expired",IF(I534="Pending","INFO: KYC Pending","OK"))))</f>
        <v/>
      </c>
    </row>
    <row r="535">
      <c r="A535" s="4">
        <f>Raw_Transactions!A535</f>
        <v/>
      </c>
      <c r="B535" s="4">
        <f>Raw_Transactions!B535</f>
        <v/>
      </c>
      <c r="C535" s="4">
        <f>Raw_Transactions!C535</f>
        <v/>
      </c>
      <c r="D535" s="5">
        <f>Raw_Transactions!D535</f>
        <v/>
      </c>
      <c r="E535" s="4">
        <f>Raw_Transactions!E535</f>
        <v/>
      </c>
      <c r="F535" s="4">
        <f>Raw_Transactions!F535</f>
        <v/>
      </c>
      <c r="G535" s="4">
        <f>Raw_Transactions!G535</f>
        <v/>
      </c>
      <c r="H535" s="4">
        <f>XLOOKUP(B535,Raw_Risk_Profiles!$A:$A,Raw_Risk_Profiles!$B:$B,"Not Found")</f>
        <v/>
      </c>
      <c r="I535" s="4">
        <f>XLOOKUP(B535,Raw_Risk_Profiles!$A:$A,Raw_Risk_Profiles!$C:$C,"Missing")</f>
        <v/>
      </c>
      <c r="J535" s="4">
        <f>XLOOKUP(B535,Raw_Risk_Profiles!$A:$A,Raw_Risk_Profiles!$D:$D,"")</f>
        <v/>
      </c>
      <c r="K535" s="4">
        <f>IFERROR(INDEX(Raw_Risk_Profiles!$E:$E,MATCH(B535,Raw_Risk_Profiles!$A:$A,0)),"Unknown")</f>
        <v/>
      </c>
      <c r="L535" s="4">
        <f>IFERROR(XLOOKUP(A535,Raw_Alerts!$B:$B,Raw_Alerts!$A:$A),"No Alert")</f>
        <v/>
      </c>
      <c r="M535" s="4">
        <f>IFERROR(XLOOKUP(A535,Raw_Alerts!$B:$B,Raw_Alerts!$C:$C),"")</f>
        <v/>
      </c>
      <c r="N535" s="4">
        <f>IFERROR(XLOOKUP(A535,Raw_Alerts!$B:$B,Raw_Alerts!$D:$D),"")</f>
        <v/>
      </c>
      <c r="O535" s="4">
        <f>IFERROR(XLOOKUP(A535,Raw_Alerts!$B:$B,Raw_Alerts!$F:$F),"")</f>
        <v/>
      </c>
      <c r="P535" s="4">
        <f>IF(H535="Not Found","CRITICAL: No Risk Profile",IF(I535="Missing","WARN: Missing KYC",IF(I535="Expired","WARN: KYC Expired",IF(I535="Pending","INFO: KYC Pending","OK"))))</f>
        <v/>
      </c>
    </row>
    <row r="536">
      <c r="A536" s="2">
        <f>Raw_Transactions!A536</f>
        <v/>
      </c>
      <c r="B536" s="2">
        <f>Raw_Transactions!B536</f>
        <v/>
      </c>
      <c r="C536" s="2">
        <f>Raw_Transactions!C536</f>
        <v/>
      </c>
      <c r="D536" s="3">
        <f>Raw_Transactions!D536</f>
        <v/>
      </c>
      <c r="E536" s="2">
        <f>Raw_Transactions!E536</f>
        <v/>
      </c>
      <c r="F536" s="2">
        <f>Raw_Transactions!F536</f>
        <v/>
      </c>
      <c r="G536" s="2">
        <f>Raw_Transactions!G536</f>
        <v/>
      </c>
      <c r="H536" s="2">
        <f>XLOOKUP(B536,Raw_Risk_Profiles!$A:$A,Raw_Risk_Profiles!$B:$B,"Not Found")</f>
        <v/>
      </c>
      <c r="I536" s="2">
        <f>XLOOKUP(B536,Raw_Risk_Profiles!$A:$A,Raw_Risk_Profiles!$C:$C,"Missing")</f>
        <v/>
      </c>
      <c r="J536" s="2">
        <f>XLOOKUP(B536,Raw_Risk_Profiles!$A:$A,Raw_Risk_Profiles!$D:$D,"")</f>
        <v/>
      </c>
      <c r="K536" s="2">
        <f>IFERROR(INDEX(Raw_Risk_Profiles!$E:$E,MATCH(B536,Raw_Risk_Profiles!$A:$A,0)),"Unknown")</f>
        <v/>
      </c>
      <c r="L536" s="2">
        <f>IFERROR(XLOOKUP(A536,Raw_Alerts!$B:$B,Raw_Alerts!$A:$A),"No Alert")</f>
        <v/>
      </c>
      <c r="M536" s="2">
        <f>IFERROR(XLOOKUP(A536,Raw_Alerts!$B:$B,Raw_Alerts!$C:$C),"")</f>
        <v/>
      </c>
      <c r="N536" s="2">
        <f>IFERROR(XLOOKUP(A536,Raw_Alerts!$B:$B,Raw_Alerts!$D:$D),"")</f>
        <v/>
      </c>
      <c r="O536" s="2">
        <f>IFERROR(XLOOKUP(A536,Raw_Alerts!$B:$B,Raw_Alerts!$F:$F),"")</f>
        <v/>
      </c>
      <c r="P536" s="2">
        <f>IF(H536="Not Found","CRITICAL: No Risk Profile",IF(I536="Missing","WARN: Missing KYC",IF(I536="Expired","WARN: KYC Expired",IF(I536="Pending","INFO: KYC Pending","OK"))))</f>
        <v/>
      </c>
    </row>
    <row r="537">
      <c r="A537" s="4">
        <f>Raw_Transactions!A537</f>
        <v/>
      </c>
      <c r="B537" s="4">
        <f>Raw_Transactions!B537</f>
        <v/>
      </c>
      <c r="C537" s="4">
        <f>Raw_Transactions!C537</f>
        <v/>
      </c>
      <c r="D537" s="5">
        <f>Raw_Transactions!D537</f>
        <v/>
      </c>
      <c r="E537" s="4">
        <f>Raw_Transactions!E537</f>
        <v/>
      </c>
      <c r="F537" s="4">
        <f>Raw_Transactions!F537</f>
        <v/>
      </c>
      <c r="G537" s="4">
        <f>Raw_Transactions!G537</f>
        <v/>
      </c>
      <c r="H537" s="4">
        <f>XLOOKUP(B537,Raw_Risk_Profiles!$A:$A,Raw_Risk_Profiles!$B:$B,"Not Found")</f>
        <v/>
      </c>
      <c r="I537" s="4">
        <f>XLOOKUP(B537,Raw_Risk_Profiles!$A:$A,Raw_Risk_Profiles!$C:$C,"Missing")</f>
        <v/>
      </c>
      <c r="J537" s="4">
        <f>XLOOKUP(B537,Raw_Risk_Profiles!$A:$A,Raw_Risk_Profiles!$D:$D,"")</f>
        <v/>
      </c>
      <c r="K537" s="4">
        <f>IFERROR(INDEX(Raw_Risk_Profiles!$E:$E,MATCH(B537,Raw_Risk_Profiles!$A:$A,0)),"Unknown")</f>
        <v/>
      </c>
      <c r="L537" s="4">
        <f>IFERROR(XLOOKUP(A537,Raw_Alerts!$B:$B,Raw_Alerts!$A:$A),"No Alert")</f>
        <v/>
      </c>
      <c r="M537" s="4">
        <f>IFERROR(XLOOKUP(A537,Raw_Alerts!$B:$B,Raw_Alerts!$C:$C),"")</f>
        <v/>
      </c>
      <c r="N537" s="4">
        <f>IFERROR(XLOOKUP(A537,Raw_Alerts!$B:$B,Raw_Alerts!$D:$D),"")</f>
        <v/>
      </c>
      <c r="O537" s="4">
        <f>IFERROR(XLOOKUP(A537,Raw_Alerts!$B:$B,Raw_Alerts!$F:$F),"")</f>
        <v/>
      </c>
      <c r="P537" s="4">
        <f>IF(H537="Not Found","CRITICAL: No Risk Profile",IF(I537="Missing","WARN: Missing KYC",IF(I537="Expired","WARN: KYC Expired",IF(I537="Pending","INFO: KYC Pending","OK"))))</f>
        <v/>
      </c>
    </row>
    <row r="538">
      <c r="A538" s="2">
        <f>Raw_Transactions!A538</f>
        <v/>
      </c>
      <c r="B538" s="2">
        <f>Raw_Transactions!B538</f>
        <v/>
      </c>
      <c r="C538" s="2">
        <f>Raw_Transactions!C538</f>
        <v/>
      </c>
      <c r="D538" s="3">
        <f>Raw_Transactions!D538</f>
        <v/>
      </c>
      <c r="E538" s="2">
        <f>Raw_Transactions!E538</f>
        <v/>
      </c>
      <c r="F538" s="2">
        <f>Raw_Transactions!F538</f>
        <v/>
      </c>
      <c r="G538" s="2">
        <f>Raw_Transactions!G538</f>
        <v/>
      </c>
      <c r="H538" s="2">
        <f>XLOOKUP(B538,Raw_Risk_Profiles!$A:$A,Raw_Risk_Profiles!$B:$B,"Not Found")</f>
        <v/>
      </c>
      <c r="I538" s="2">
        <f>XLOOKUP(B538,Raw_Risk_Profiles!$A:$A,Raw_Risk_Profiles!$C:$C,"Missing")</f>
        <v/>
      </c>
      <c r="J538" s="2">
        <f>XLOOKUP(B538,Raw_Risk_Profiles!$A:$A,Raw_Risk_Profiles!$D:$D,"")</f>
        <v/>
      </c>
      <c r="K538" s="2">
        <f>IFERROR(INDEX(Raw_Risk_Profiles!$E:$E,MATCH(B538,Raw_Risk_Profiles!$A:$A,0)),"Unknown")</f>
        <v/>
      </c>
      <c r="L538" s="2">
        <f>IFERROR(XLOOKUP(A538,Raw_Alerts!$B:$B,Raw_Alerts!$A:$A),"No Alert")</f>
        <v/>
      </c>
      <c r="M538" s="2">
        <f>IFERROR(XLOOKUP(A538,Raw_Alerts!$B:$B,Raw_Alerts!$C:$C),"")</f>
        <v/>
      </c>
      <c r="N538" s="2">
        <f>IFERROR(XLOOKUP(A538,Raw_Alerts!$B:$B,Raw_Alerts!$D:$D),"")</f>
        <v/>
      </c>
      <c r="O538" s="2">
        <f>IFERROR(XLOOKUP(A538,Raw_Alerts!$B:$B,Raw_Alerts!$F:$F),"")</f>
        <v/>
      </c>
      <c r="P538" s="2">
        <f>IF(H538="Not Found","CRITICAL: No Risk Profile",IF(I538="Missing","WARN: Missing KYC",IF(I538="Expired","WARN: KYC Expired",IF(I538="Pending","INFO: KYC Pending","OK"))))</f>
        <v/>
      </c>
    </row>
    <row r="539">
      <c r="A539" s="4">
        <f>Raw_Transactions!A539</f>
        <v/>
      </c>
      <c r="B539" s="4">
        <f>Raw_Transactions!B539</f>
        <v/>
      </c>
      <c r="C539" s="4">
        <f>Raw_Transactions!C539</f>
        <v/>
      </c>
      <c r="D539" s="5">
        <f>Raw_Transactions!D539</f>
        <v/>
      </c>
      <c r="E539" s="4">
        <f>Raw_Transactions!E539</f>
        <v/>
      </c>
      <c r="F539" s="4">
        <f>Raw_Transactions!F539</f>
        <v/>
      </c>
      <c r="G539" s="4">
        <f>Raw_Transactions!G539</f>
        <v/>
      </c>
      <c r="H539" s="4">
        <f>XLOOKUP(B539,Raw_Risk_Profiles!$A:$A,Raw_Risk_Profiles!$B:$B,"Not Found")</f>
        <v/>
      </c>
      <c r="I539" s="4">
        <f>XLOOKUP(B539,Raw_Risk_Profiles!$A:$A,Raw_Risk_Profiles!$C:$C,"Missing")</f>
        <v/>
      </c>
      <c r="J539" s="4">
        <f>XLOOKUP(B539,Raw_Risk_Profiles!$A:$A,Raw_Risk_Profiles!$D:$D,"")</f>
        <v/>
      </c>
      <c r="K539" s="4">
        <f>IFERROR(INDEX(Raw_Risk_Profiles!$E:$E,MATCH(B539,Raw_Risk_Profiles!$A:$A,0)),"Unknown")</f>
        <v/>
      </c>
      <c r="L539" s="4">
        <f>IFERROR(XLOOKUP(A539,Raw_Alerts!$B:$B,Raw_Alerts!$A:$A),"No Alert")</f>
        <v/>
      </c>
      <c r="M539" s="4">
        <f>IFERROR(XLOOKUP(A539,Raw_Alerts!$B:$B,Raw_Alerts!$C:$C),"")</f>
        <v/>
      </c>
      <c r="N539" s="4">
        <f>IFERROR(XLOOKUP(A539,Raw_Alerts!$B:$B,Raw_Alerts!$D:$D),"")</f>
        <v/>
      </c>
      <c r="O539" s="4">
        <f>IFERROR(XLOOKUP(A539,Raw_Alerts!$B:$B,Raw_Alerts!$F:$F),"")</f>
        <v/>
      </c>
      <c r="P539" s="4">
        <f>IF(H539="Not Found","CRITICAL: No Risk Profile",IF(I539="Missing","WARN: Missing KYC",IF(I539="Expired","WARN: KYC Expired",IF(I539="Pending","INFO: KYC Pending","OK"))))</f>
        <v/>
      </c>
    </row>
    <row r="540">
      <c r="A540" s="2">
        <f>Raw_Transactions!A540</f>
        <v/>
      </c>
      <c r="B540" s="2">
        <f>Raw_Transactions!B540</f>
        <v/>
      </c>
      <c r="C540" s="2">
        <f>Raw_Transactions!C540</f>
        <v/>
      </c>
      <c r="D540" s="3">
        <f>Raw_Transactions!D540</f>
        <v/>
      </c>
      <c r="E540" s="2">
        <f>Raw_Transactions!E540</f>
        <v/>
      </c>
      <c r="F540" s="2">
        <f>Raw_Transactions!F540</f>
        <v/>
      </c>
      <c r="G540" s="2">
        <f>Raw_Transactions!G540</f>
        <v/>
      </c>
      <c r="H540" s="2">
        <f>XLOOKUP(B540,Raw_Risk_Profiles!$A:$A,Raw_Risk_Profiles!$B:$B,"Not Found")</f>
        <v/>
      </c>
      <c r="I540" s="2">
        <f>XLOOKUP(B540,Raw_Risk_Profiles!$A:$A,Raw_Risk_Profiles!$C:$C,"Missing")</f>
        <v/>
      </c>
      <c r="J540" s="2">
        <f>XLOOKUP(B540,Raw_Risk_Profiles!$A:$A,Raw_Risk_Profiles!$D:$D,"")</f>
        <v/>
      </c>
      <c r="K540" s="2">
        <f>IFERROR(INDEX(Raw_Risk_Profiles!$E:$E,MATCH(B540,Raw_Risk_Profiles!$A:$A,0)),"Unknown")</f>
        <v/>
      </c>
      <c r="L540" s="2">
        <f>IFERROR(XLOOKUP(A540,Raw_Alerts!$B:$B,Raw_Alerts!$A:$A),"No Alert")</f>
        <v/>
      </c>
      <c r="M540" s="2">
        <f>IFERROR(XLOOKUP(A540,Raw_Alerts!$B:$B,Raw_Alerts!$C:$C),"")</f>
        <v/>
      </c>
      <c r="N540" s="2">
        <f>IFERROR(XLOOKUP(A540,Raw_Alerts!$B:$B,Raw_Alerts!$D:$D),"")</f>
        <v/>
      </c>
      <c r="O540" s="2">
        <f>IFERROR(XLOOKUP(A540,Raw_Alerts!$B:$B,Raw_Alerts!$F:$F),"")</f>
        <v/>
      </c>
      <c r="P540" s="2">
        <f>IF(H540="Not Found","CRITICAL: No Risk Profile",IF(I540="Missing","WARN: Missing KYC",IF(I540="Expired","WARN: KYC Expired",IF(I540="Pending","INFO: KYC Pending","OK"))))</f>
        <v/>
      </c>
    </row>
    <row r="541">
      <c r="A541" s="4">
        <f>Raw_Transactions!A541</f>
        <v/>
      </c>
      <c r="B541" s="4">
        <f>Raw_Transactions!B541</f>
        <v/>
      </c>
      <c r="C541" s="4">
        <f>Raw_Transactions!C541</f>
        <v/>
      </c>
      <c r="D541" s="5">
        <f>Raw_Transactions!D541</f>
        <v/>
      </c>
      <c r="E541" s="4">
        <f>Raw_Transactions!E541</f>
        <v/>
      </c>
      <c r="F541" s="4">
        <f>Raw_Transactions!F541</f>
        <v/>
      </c>
      <c r="G541" s="4">
        <f>Raw_Transactions!G541</f>
        <v/>
      </c>
      <c r="H541" s="4">
        <f>XLOOKUP(B541,Raw_Risk_Profiles!$A:$A,Raw_Risk_Profiles!$B:$B,"Not Found")</f>
        <v/>
      </c>
      <c r="I541" s="4">
        <f>XLOOKUP(B541,Raw_Risk_Profiles!$A:$A,Raw_Risk_Profiles!$C:$C,"Missing")</f>
        <v/>
      </c>
      <c r="J541" s="4">
        <f>XLOOKUP(B541,Raw_Risk_Profiles!$A:$A,Raw_Risk_Profiles!$D:$D,"")</f>
        <v/>
      </c>
      <c r="K541" s="4">
        <f>IFERROR(INDEX(Raw_Risk_Profiles!$E:$E,MATCH(B541,Raw_Risk_Profiles!$A:$A,0)),"Unknown")</f>
        <v/>
      </c>
      <c r="L541" s="4">
        <f>IFERROR(XLOOKUP(A541,Raw_Alerts!$B:$B,Raw_Alerts!$A:$A),"No Alert")</f>
        <v/>
      </c>
      <c r="M541" s="4">
        <f>IFERROR(XLOOKUP(A541,Raw_Alerts!$B:$B,Raw_Alerts!$C:$C),"")</f>
        <v/>
      </c>
      <c r="N541" s="4">
        <f>IFERROR(XLOOKUP(A541,Raw_Alerts!$B:$B,Raw_Alerts!$D:$D),"")</f>
        <v/>
      </c>
      <c r="O541" s="4">
        <f>IFERROR(XLOOKUP(A541,Raw_Alerts!$B:$B,Raw_Alerts!$F:$F),"")</f>
        <v/>
      </c>
      <c r="P541" s="4">
        <f>IF(H541="Not Found","CRITICAL: No Risk Profile",IF(I541="Missing","WARN: Missing KYC",IF(I541="Expired","WARN: KYC Expired",IF(I541="Pending","INFO: KYC Pending","OK"))))</f>
        <v/>
      </c>
    </row>
    <row r="542">
      <c r="A542" s="2">
        <f>Raw_Transactions!A542</f>
        <v/>
      </c>
      <c r="B542" s="2">
        <f>Raw_Transactions!B542</f>
        <v/>
      </c>
      <c r="C542" s="2">
        <f>Raw_Transactions!C542</f>
        <v/>
      </c>
      <c r="D542" s="3">
        <f>Raw_Transactions!D542</f>
        <v/>
      </c>
      <c r="E542" s="2">
        <f>Raw_Transactions!E542</f>
        <v/>
      </c>
      <c r="F542" s="2">
        <f>Raw_Transactions!F542</f>
        <v/>
      </c>
      <c r="G542" s="2">
        <f>Raw_Transactions!G542</f>
        <v/>
      </c>
      <c r="H542" s="2">
        <f>XLOOKUP(B542,Raw_Risk_Profiles!$A:$A,Raw_Risk_Profiles!$B:$B,"Not Found")</f>
        <v/>
      </c>
      <c r="I542" s="2">
        <f>XLOOKUP(B542,Raw_Risk_Profiles!$A:$A,Raw_Risk_Profiles!$C:$C,"Missing")</f>
        <v/>
      </c>
      <c r="J542" s="2">
        <f>XLOOKUP(B542,Raw_Risk_Profiles!$A:$A,Raw_Risk_Profiles!$D:$D,"")</f>
        <v/>
      </c>
      <c r="K542" s="2">
        <f>IFERROR(INDEX(Raw_Risk_Profiles!$E:$E,MATCH(B542,Raw_Risk_Profiles!$A:$A,0)),"Unknown")</f>
        <v/>
      </c>
      <c r="L542" s="2">
        <f>IFERROR(XLOOKUP(A542,Raw_Alerts!$B:$B,Raw_Alerts!$A:$A),"No Alert")</f>
        <v/>
      </c>
      <c r="M542" s="2">
        <f>IFERROR(XLOOKUP(A542,Raw_Alerts!$B:$B,Raw_Alerts!$C:$C),"")</f>
        <v/>
      </c>
      <c r="N542" s="2">
        <f>IFERROR(XLOOKUP(A542,Raw_Alerts!$B:$B,Raw_Alerts!$D:$D),"")</f>
        <v/>
      </c>
      <c r="O542" s="2">
        <f>IFERROR(XLOOKUP(A542,Raw_Alerts!$B:$B,Raw_Alerts!$F:$F),"")</f>
        <v/>
      </c>
      <c r="P542" s="2">
        <f>IF(H542="Not Found","CRITICAL: No Risk Profile",IF(I542="Missing","WARN: Missing KYC",IF(I542="Expired","WARN: KYC Expired",IF(I542="Pending","INFO: KYC Pending","OK"))))</f>
        <v/>
      </c>
    </row>
    <row r="543">
      <c r="A543" s="4">
        <f>Raw_Transactions!A543</f>
        <v/>
      </c>
      <c r="B543" s="4">
        <f>Raw_Transactions!B543</f>
        <v/>
      </c>
      <c r="C543" s="4">
        <f>Raw_Transactions!C543</f>
        <v/>
      </c>
      <c r="D543" s="5">
        <f>Raw_Transactions!D543</f>
        <v/>
      </c>
      <c r="E543" s="4">
        <f>Raw_Transactions!E543</f>
        <v/>
      </c>
      <c r="F543" s="4">
        <f>Raw_Transactions!F543</f>
        <v/>
      </c>
      <c r="G543" s="4">
        <f>Raw_Transactions!G543</f>
        <v/>
      </c>
      <c r="H543" s="4">
        <f>XLOOKUP(B543,Raw_Risk_Profiles!$A:$A,Raw_Risk_Profiles!$B:$B,"Not Found")</f>
        <v/>
      </c>
      <c r="I543" s="4">
        <f>XLOOKUP(B543,Raw_Risk_Profiles!$A:$A,Raw_Risk_Profiles!$C:$C,"Missing")</f>
        <v/>
      </c>
      <c r="J543" s="4">
        <f>XLOOKUP(B543,Raw_Risk_Profiles!$A:$A,Raw_Risk_Profiles!$D:$D,"")</f>
        <v/>
      </c>
      <c r="K543" s="4">
        <f>IFERROR(INDEX(Raw_Risk_Profiles!$E:$E,MATCH(B543,Raw_Risk_Profiles!$A:$A,0)),"Unknown")</f>
        <v/>
      </c>
      <c r="L543" s="4">
        <f>IFERROR(XLOOKUP(A543,Raw_Alerts!$B:$B,Raw_Alerts!$A:$A),"No Alert")</f>
        <v/>
      </c>
      <c r="M543" s="4">
        <f>IFERROR(XLOOKUP(A543,Raw_Alerts!$B:$B,Raw_Alerts!$C:$C),"")</f>
        <v/>
      </c>
      <c r="N543" s="4">
        <f>IFERROR(XLOOKUP(A543,Raw_Alerts!$B:$B,Raw_Alerts!$D:$D),"")</f>
        <v/>
      </c>
      <c r="O543" s="4">
        <f>IFERROR(XLOOKUP(A543,Raw_Alerts!$B:$B,Raw_Alerts!$F:$F),"")</f>
        <v/>
      </c>
      <c r="P543" s="4">
        <f>IF(H543="Not Found","CRITICAL: No Risk Profile",IF(I543="Missing","WARN: Missing KYC",IF(I543="Expired","WARN: KYC Expired",IF(I543="Pending","INFO: KYC Pending","OK"))))</f>
        <v/>
      </c>
    </row>
    <row r="544">
      <c r="A544" s="2">
        <f>Raw_Transactions!A544</f>
        <v/>
      </c>
      <c r="B544" s="2">
        <f>Raw_Transactions!B544</f>
        <v/>
      </c>
      <c r="C544" s="2">
        <f>Raw_Transactions!C544</f>
        <v/>
      </c>
      <c r="D544" s="3">
        <f>Raw_Transactions!D544</f>
        <v/>
      </c>
      <c r="E544" s="2">
        <f>Raw_Transactions!E544</f>
        <v/>
      </c>
      <c r="F544" s="2">
        <f>Raw_Transactions!F544</f>
        <v/>
      </c>
      <c r="G544" s="2">
        <f>Raw_Transactions!G544</f>
        <v/>
      </c>
      <c r="H544" s="2">
        <f>XLOOKUP(B544,Raw_Risk_Profiles!$A:$A,Raw_Risk_Profiles!$B:$B,"Not Found")</f>
        <v/>
      </c>
      <c r="I544" s="2">
        <f>XLOOKUP(B544,Raw_Risk_Profiles!$A:$A,Raw_Risk_Profiles!$C:$C,"Missing")</f>
        <v/>
      </c>
      <c r="J544" s="2">
        <f>XLOOKUP(B544,Raw_Risk_Profiles!$A:$A,Raw_Risk_Profiles!$D:$D,"")</f>
        <v/>
      </c>
      <c r="K544" s="2">
        <f>IFERROR(INDEX(Raw_Risk_Profiles!$E:$E,MATCH(B544,Raw_Risk_Profiles!$A:$A,0)),"Unknown")</f>
        <v/>
      </c>
      <c r="L544" s="2">
        <f>IFERROR(XLOOKUP(A544,Raw_Alerts!$B:$B,Raw_Alerts!$A:$A),"No Alert")</f>
        <v/>
      </c>
      <c r="M544" s="2">
        <f>IFERROR(XLOOKUP(A544,Raw_Alerts!$B:$B,Raw_Alerts!$C:$C),"")</f>
        <v/>
      </c>
      <c r="N544" s="2">
        <f>IFERROR(XLOOKUP(A544,Raw_Alerts!$B:$B,Raw_Alerts!$D:$D),"")</f>
        <v/>
      </c>
      <c r="O544" s="2">
        <f>IFERROR(XLOOKUP(A544,Raw_Alerts!$B:$B,Raw_Alerts!$F:$F),"")</f>
        <v/>
      </c>
      <c r="P544" s="2">
        <f>IF(H544="Not Found","CRITICAL: No Risk Profile",IF(I544="Missing","WARN: Missing KYC",IF(I544="Expired","WARN: KYC Expired",IF(I544="Pending","INFO: KYC Pending","OK"))))</f>
        <v/>
      </c>
    </row>
    <row r="545">
      <c r="A545" s="4">
        <f>Raw_Transactions!A545</f>
        <v/>
      </c>
      <c r="B545" s="4">
        <f>Raw_Transactions!B545</f>
        <v/>
      </c>
      <c r="C545" s="4">
        <f>Raw_Transactions!C545</f>
        <v/>
      </c>
      <c r="D545" s="5">
        <f>Raw_Transactions!D545</f>
        <v/>
      </c>
      <c r="E545" s="4">
        <f>Raw_Transactions!E545</f>
        <v/>
      </c>
      <c r="F545" s="4">
        <f>Raw_Transactions!F545</f>
        <v/>
      </c>
      <c r="G545" s="4">
        <f>Raw_Transactions!G545</f>
        <v/>
      </c>
      <c r="H545" s="4">
        <f>XLOOKUP(B545,Raw_Risk_Profiles!$A:$A,Raw_Risk_Profiles!$B:$B,"Not Found")</f>
        <v/>
      </c>
      <c r="I545" s="4">
        <f>XLOOKUP(B545,Raw_Risk_Profiles!$A:$A,Raw_Risk_Profiles!$C:$C,"Missing")</f>
        <v/>
      </c>
      <c r="J545" s="4">
        <f>XLOOKUP(B545,Raw_Risk_Profiles!$A:$A,Raw_Risk_Profiles!$D:$D,"")</f>
        <v/>
      </c>
      <c r="K545" s="4">
        <f>IFERROR(INDEX(Raw_Risk_Profiles!$E:$E,MATCH(B545,Raw_Risk_Profiles!$A:$A,0)),"Unknown")</f>
        <v/>
      </c>
      <c r="L545" s="4">
        <f>IFERROR(XLOOKUP(A545,Raw_Alerts!$B:$B,Raw_Alerts!$A:$A),"No Alert")</f>
        <v/>
      </c>
      <c r="M545" s="4">
        <f>IFERROR(XLOOKUP(A545,Raw_Alerts!$B:$B,Raw_Alerts!$C:$C),"")</f>
        <v/>
      </c>
      <c r="N545" s="4">
        <f>IFERROR(XLOOKUP(A545,Raw_Alerts!$B:$B,Raw_Alerts!$D:$D),"")</f>
        <v/>
      </c>
      <c r="O545" s="4">
        <f>IFERROR(XLOOKUP(A545,Raw_Alerts!$B:$B,Raw_Alerts!$F:$F),"")</f>
        <v/>
      </c>
      <c r="P545" s="4">
        <f>IF(H545="Not Found","CRITICAL: No Risk Profile",IF(I545="Missing","WARN: Missing KYC",IF(I545="Expired","WARN: KYC Expired",IF(I545="Pending","INFO: KYC Pending","OK"))))</f>
        <v/>
      </c>
    </row>
    <row r="546">
      <c r="A546" s="2">
        <f>Raw_Transactions!A546</f>
        <v/>
      </c>
      <c r="B546" s="2">
        <f>Raw_Transactions!B546</f>
        <v/>
      </c>
      <c r="C546" s="2">
        <f>Raw_Transactions!C546</f>
        <v/>
      </c>
      <c r="D546" s="3">
        <f>Raw_Transactions!D546</f>
        <v/>
      </c>
      <c r="E546" s="2">
        <f>Raw_Transactions!E546</f>
        <v/>
      </c>
      <c r="F546" s="2">
        <f>Raw_Transactions!F546</f>
        <v/>
      </c>
      <c r="G546" s="2">
        <f>Raw_Transactions!G546</f>
        <v/>
      </c>
      <c r="H546" s="2">
        <f>XLOOKUP(B546,Raw_Risk_Profiles!$A:$A,Raw_Risk_Profiles!$B:$B,"Not Found")</f>
        <v/>
      </c>
      <c r="I546" s="2">
        <f>XLOOKUP(B546,Raw_Risk_Profiles!$A:$A,Raw_Risk_Profiles!$C:$C,"Missing")</f>
        <v/>
      </c>
      <c r="J546" s="2">
        <f>XLOOKUP(B546,Raw_Risk_Profiles!$A:$A,Raw_Risk_Profiles!$D:$D,"")</f>
        <v/>
      </c>
      <c r="K546" s="2">
        <f>IFERROR(INDEX(Raw_Risk_Profiles!$E:$E,MATCH(B546,Raw_Risk_Profiles!$A:$A,0)),"Unknown")</f>
        <v/>
      </c>
      <c r="L546" s="2">
        <f>IFERROR(XLOOKUP(A546,Raw_Alerts!$B:$B,Raw_Alerts!$A:$A),"No Alert")</f>
        <v/>
      </c>
      <c r="M546" s="2">
        <f>IFERROR(XLOOKUP(A546,Raw_Alerts!$B:$B,Raw_Alerts!$C:$C),"")</f>
        <v/>
      </c>
      <c r="N546" s="2">
        <f>IFERROR(XLOOKUP(A546,Raw_Alerts!$B:$B,Raw_Alerts!$D:$D),"")</f>
        <v/>
      </c>
      <c r="O546" s="2">
        <f>IFERROR(XLOOKUP(A546,Raw_Alerts!$B:$B,Raw_Alerts!$F:$F),"")</f>
        <v/>
      </c>
      <c r="P546" s="2">
        <f>IF(H546="Not Found","CRITICAL: No Risk Profile",IF(I546="Missing","WARN: Missing KYC",IF(I546="Expired","WARN: KYC Expired",IF(I546="Pending","INFO: KYC Pending","OK"))))</f>
        <v/>
      </c>
    </row>
    <row r="547">
      <c r="A547" s="4">
        <f>Raw_Transactions!A547</f>
        <v/>
      </c>
      <c r="B547" s="4">
        <f>Raw_Transactions!B547</f>
        <v/>
      </c>
      <c r="C547" s="4">
        <f>Raw_Transactions!C547</f>
        <v/>
      </c>
      <c r="D547" s="5">
        <f>Raw_Transactions!D547</f>
        <v/>
      </c>
      <c r="E547" s="4">
        <f>Raw_Transactions!E547</f>
        <v/>
      </c>
      <c r="F547" s="4">
        <f>Raw_Transactions!F547</f>
        <v/>
      </c>
      <c r="G547" s="4">
        <f>Raw_Transactions!G547</f>
        <v/>
      </c>
      <c r="H547" s="4">
        <f>XLOOKUP(B547,Raw_Risk_Profiles!$A:$A,Raw_Risk_Profiles!$B:$B,"Not Found")</f>
        <v/>
      </c>
      <c r="I547" s="4">
        <f>XLOOKUP(B547,Raw_Risk_Profiles!$A:$A,Raw_Risk_Profiles!$C:$C,"Missing")</f>
        <v/>
      </c>
      <c r="J547" s="4">
        <f>XLOOKUP(B547,Raw_Risk_Profiles!$A:$A,Raw_Risk_Profiles!$D:$D,"")</f>
        <v/>
      </c>
      <c r="K547" s="4">
        <f>IFERROR(INDEX(Raw_Risk_Profiles!$E:$E,MATCH(B547,Raw_Risk_Profiles!$A:$A,0)),"Unknown")</f>
        <v/>
      </c>
      <c r="L547" s="4">
        <f>IFERROR(XLOOKUP(A547,Raw_Alerts!$B:$B,Raw_Alerts!$A:$A),"No Alert")</f>
        <v/>
      </c>
      <c r="M547" s="4">
        <f>IFERROR(XLOOKUP(A547,Raw_Alerts!$B:$B,Raw_Alerts!$C:$C),"")</f>
        <v/>
      </c>
      <c r="N547" s="4">
        <f>IFERROR(XLOOKUP(A547,Raw_Alerts!$B:$B,Raw_Alerts!$D:$D),"")</f>
        <v/>
      </c>
      <c r="O547" s="4">
        <f>IFERROR(XLOOKUP(A547,Raw_Alerts!$B:$B,Raw_Alerts!$F:$F),"")</f>
        <v/>
      </c>
      <c r="P547" s="4">
        <f>IF(H547="Not Found","CRITICAL: No Risk Profile",IF(I547="Missing","WARN: Missing KYC",IF(I547="Expired","WARN: KYC Expired",IF(I547="Pending","INFO: KYC Pending","OK"))))</f>
        <v/>
      </c>
    </row>
    <row r="548">
      <c r="A548" s="2">
        <f>Raw_Transactions!A548</f>
        <v/>
      </c>
      <c r="B548" s="2">
        <f>Raw_Transactions!B548</f>
        <v/>
      </c>
      <c r="C548" s="2">
        <f>Raw_Transactions!C548</f>
        <v/>
      </c>
      <c r="D548" s="3">
        <f>Raw_Transactions!D548</f>
        <v/>
      </c>
      <c r="E548" s="2">
        <f>Raw_Transactions!E548</f>
        <v/>
      </c>
      <c r="F548" s="2">
        <f>Raw_Transactions!F548</f>
        <v/>
      </c>
      <c r="G548" s="2">
        <f>Raw_Transactions!G548</f>
        <v/>
      </c>
      <c r="H548" s="2">
        <f>XLOOKUP(B548,Raw_Risk_Profiles!$A:$A,Raw_Risk_Profiles!$B:$B,"Not Found")</f>
        <v/>
      </c>
      <c r="I548" s="2">
        <f>XLOOKUP(B548,Raw_Risk_Profiles!$A:$A,Raw_Risk_Profiles!$C:$C,"Missing")</f>
        <v/>
      </c>
      <c r="J548" s="2">
        <f>XLOOKUP(B548,Raw_Risk_Profiles!$A:$A,Raw_Risk_Profiles!$D:$D,"")</f>
        <v/>
      </c>
      <c r="K548" s="2">
        <f>IFERROR(INDEX(Raw_Risk_Profiles!$E:$E,MATCH(B548,Raw_Risk_Profiles!$A:$A,0)),"Unknown")</f>
        <v/>
      </c>
      <c r="L548" s="2">
        <f>IFERROR(XLOOKUP(A548,Raw_Alerts!$B:$B,Raw_Alerts!$A:$A),"No Alert")</f>
        <v/>
      </c>
      <c r="M548" s="2">
        <f>IFERROR(XLOOKUP(A548,Raw_Alerts!$B:$B,Raw_Alerts!$C:$C),"")</f>
        <v/>
      </c>
      <c r="N548" s="2">
        <f>IFERROR(XLOOKUP(A548,Raw_Alerts!$B:$B,Raw_Alerts!$D:$D),"")</f>
        <v/>
      </c>
      <c r="O548" s="2">
        <f>IFERROR(XLOOKUP(A548,Raw_Alerts!$B:$B,Raw_Alerts!$F:$F),"")</f>
        <v/>
      </c>
      <c r="P548" s="2">
        <f>IF(H548="Not Found","CRITICAL: No Risk Profile",IF(I548="Missing","WARN: Missing KYC",IF(I548="Expired","WARN: KYC Expired",IF(I548="Pending","INFO: KYC Pending","OK"))))</f>
        <v/>
      </c>
    </row>
    <row r="549">
      <c r="A549" s="4">
        <f>Raw_Transactions!A549</f>
        <v/>
      </c>
      <c r="B549" s="4">
        <f>Raw_Transactions!B549</f>
        <v/>
      </c>
      <c r="C549" s="4">
        <f>Raw_Transactions!C549</f>
        <v/>
      </c>
      <c r="D549" s="5">
        <f>Raw_Transactions!D549</f>
        <v/>
      </c>
      <c r="E549" s="4">
        <f>Raw_Transactions!E549</f>
        <v/>
      </c>
      <c r="F549" s="4">
        <f>Raw_Transactions!F549</f>
        <v/>
      </c>
      <c r="G549" s="4">
        <f>Raw_Transactions!G549</f>
        <v/>
      </c>
      <c r="H549" s="4">
        <f>XLOOKUP(B549,Raw_Risk_Profiles!$A:$A,Raw_Risk_Profiles!$B:$B,"Not Found")</f>
        <v/>
      </c>
      <c r="I549" s="4">
        <f>XLOOKUP(B549,Raw_Risk_Profiles!$A:$A,Raw_Risk_Profiles!$C:$C,"Missing")</f>
        <v/>
      </c>
      <c r="J549" s="4">
        <f>XLOOKUP(B549,Raw_Risk_Profiles!$A:$A,Raw_Risk_Profiles!$D:$D,"")</f>
        <v/>
      </c>
      <c r="K549" s="4">
        <f>IFERROR(INDEX(Raw_Risk_Profiles!$E:$E,MATCH(B549,Raw_Risk_Profiles!$A:$A,0)),"Unknown")</f>
        <v/>
      </c>
      <c r="L549" s="4">
        <f>IFERROR(XLOOKUP(A549,Raw_Alerts!$B:$B,Raw_Alerts!$A:$A),"No Alert")</f>
        <v/>
      </c>
      <c r="M549" s="4">
        <f>IFERROR(XLOOKUP(A549,Raw_Alerts!$B:$B,Raw_Alerts!$C:$C),"")</f>
        <v/>
      </c>
      <c r="N549" s="4">
        <f>IFERROR(XLOOKUP(A549,Raw_Alerts!$B:$B,Raw_Alerts!$D:$D),"")</f>
        <v/>
      </c>
      <c r="O549" s="4">
        <f>IFERROR(XLOOKUP(A549,Raw_Alerts!$B:$B,Raw_Alerts!$F:$F),"")</f>
        <v/>
      </c>
      <c r="P549" s="4">
        <f>IF(H549="Not Found","CRITICAL: No Risk Profile",IF(I549="Missing","WARN: Missing KYC",IF(I549="Expired","WARN: KYC Expired",IF(I549="Pending","INFO: KYC Pending","OK"))))</f>
        <v/>
      </c>
    </row>
    <row r="550">
      <c r="A550" s="2">
        <f>Raw_Transactions!A550</f>
        <v/>
      </c>
      <c r="B550" s="2">
        <f>Raw_Transactions!B550</f>
        <v/>
      </c>
      <c r="C550" s="2">
        <f>Raw_Transactions!C550</f>
        <v/>
      </c>
      <c r="D550" s="3">
        <f>Raw_Transactions!D550</f>
        <v/>
      </c>
      <c r="E550" s="2">
        <f>Raw_Transactions!E550</f>
        <v/>
      </c>
      <c r="F550" s="2">
        <f>Raw_Transactions!F550</f>
        <v/>
      </c>
      <c r="G550" s="2">
        <f>Raw_Transactions!G550</f>
        <v/>
      </c>
      <c r="H550" s="2">
        <f>XLOOKUP(B550,Raw_Risk_Profiles!$A:$A,Raw_Risk_Profiles!$B:$B,"Not Found")</f>
        <v/>
      </c>
      <c r="I550" s="2">
        <f>XLOOKUP(B550,Raw_Risk_Profiles!$A:$A,Raw_Risk_Profiles!$C:$C,"Missing")</f>
        <v/>
      </c>
      <c r="J550" s="2">
        <f>XLOOKUP(B550,Raw_Risk_Profiles!$A:$A,Raw_Risk_Profiles!$D:$D,"")</f>
        <v/>
      </c>
      <c r="K550" s="2">
        <f>IFERROR(INDEX(Raw_Risk_Profiles!$E:$E,MATCH(B550,Raw_Risk_Profiles!$A:$A,0)),"Unknown")</f>
        <v/>
      </c>
      <c r="L550" s="2">
        <f>IFERROR(XLOOKUP(A550,Raw_Alerts!$B:$B,Raw_Alerts!$A:$A),"No Alert")</f>
        <v/>
      </c>
      <c r="M550" s="2">
        <f>IFERROR(XLOOKUP(A550,Raw_Alerts!$B:$B,Raw_Alerts!$C:$C),"")</f>
        <v/>
      </c>
      <c r="N550" s="2">
        <f>IFERROR(XLOOKUP(A550,Raw_Alerts!$B:$B,Raw_Alerts!$D:$D),"")</f>
        <v/>
      </c>
      <c r="O550" s="2">
        <f>IFERROR(XLOOKUP(A550,Raw_Alerts!$B:$B,Raw_Alerts!$F:$F),"")</f>
        <v/>
      </c>
      <c r="P550" s="2">
        <f>IF(H550="Not Found","CRITICAL: No Risk Profile",IF(I550="Missing","WARN: Missing KYC",IF(I550="Expired","WARN: KYC Expired",IF(I550="Pending","INFO: KYC Pending","OK"))))</f>
        <v/>
      </c>
    </row>
    <row r="551">
      <c r="A551" s="4">
        <f>Raw_Transactions!A551</f>
        <v/>
      </c>
      <c r="B551" s="4">
        <f>Raw_Transactions!B551</f>
        <v/>
      </c>
      <c r="C551" s="4">
        <f>Raw_Transactions!C551</f>
        <v/>
      </c>
      <c r="D551" s="5">
        <f>Raw_Transactions!D551</f>
        <v/>
      </c>
      <c r="E551" s="4">
        <f>Raw_Transactions!E551</f>
        <v/>
      </c>
      <c r="F551" s="4">
        <f>Raw_Transactions!F551</f>
        <v/>
      </c>
      <c r="G551" s="4">
        <f>Raw_Transactions!G551</f>
        <v/>
      </c>
      <c r="H551" s="4">
        <f>XLOOKUP(B551,Raw_Risk_Profiles!$A:$A,Raw_Risk_Profiles!$B:$B,"Not Found")</f>
        <v/>
      </c>
      <c r="I551" s="4">
        <f>XLOOKUP(B551,Raw_Risk_Profiles!$A:$A,Raw_Risk_Profiles!$C:$C,"Missing")</f>
        <v/>
      </c>
      <c r="J551" s="4">
        <f>XLOOKUP(B551,Raw_Risk_Profiles!$A:$A,Raw_Risk_Profiles!$D:$D,"")</f>
        <v/>
      </c>
      <c r="K551" s="4">
        <f>IFERROR(INDEX(Raw_Risk_Profiles!$E:$E,MATCH(B551,Raw_Risk_Profiles!$A:$A,0)),"Unknown")</f>
        <v/>
      </c>
      <c r="L551" s="4">
        <f>IFERROR(XLOOKUP(A551,Raw_Alerts!$B:$B,Raw_Alerts!$A:$A),"No Alert")</f>
        <v/>
      </c>
      <c r="M551" s="4">
        <f>IFERROR(XLOOKUP(A551,Raw_Alerts!$B:$B,Raw_Alerts!$C:$C),"")</f>
        <v/>
      </c>
      <c r="N551" s="4">
        <f>IFERROR(XLOOKUP(A551,Raw_Alerts!$B:$B,Raw_Alerts!$D:$D),"")</f>
        <v/>
      </c>
      <c r="O551" s="4">
        <f>IFERROR(XLOOKUP(A551,Raw_Alerts!$B:$B,Raw_Alerts!$F:$F),"")</f>
        <v/>
      </c>
      <c r="P551" s="4">
        <f>IF(H551="Not Found","CRITICAL: No Risk Profile",IF(I551="Missing","WARN: Missing KYC",IF(I551="Expired","WARN: KYC Expired",IF(I551="Pending","INFO: KYC Pending","OK"))))</f>
        <v/>
      </c>
    </row>
    <row r="552">
      <c r="A552" s="2">
        <f>Raw_Transactions!A552</f>
        <v/>
      </c>
      <c r="B552" s="2">
        <f>Raw_Transactions!B552</f>
        <v/>
      </c>
      <c r="C552" s="2">
        <f>Raw_Transactions!C552</f>
        <v/>
      </c>
      <c r="D552" s="3">
        <f>Raw_Transactions!D552</f>
        <v/>
      </c>
      <c r="E552" s="2">
        <f>Raw_Transactions!E552</f>
        <v/>
      </c>
      <c r="F552" s="2">
        <f>Raw_Transactions!F552</f>
        <v/>
      </c>
      <c r="G552" s="2">
        <f>Raw_Transactions!G552</f>
        <v/>
      </c>
      <c r="H552" s="2">
        <f>XLOOKUP(B552,Raw_Risk_Profiles!$A:$A,Raw_Risk_Profiles!$B:$B,"Not Found")</f>
        <v/>
      </c>
      <c r="I552" s="2">
        <f>XLOOKUP(B552,Raw_Risk_Profiles!$A:$A,Raw_Risk_Profiles!$C:$C,"Missing")</f>
        <v/>
      </c>
      <c r="J552" s="2">
        <f>XLOOKUP(B552,Raw_Risk_Profiles!$A:$A,Raw_Risk_Profiles!$D:$D,"")</f>
        <v/>
      </c>
      <c r="K552" s="2">
        <f>IFERROR(INDEX(Raw_Risk_Profiles!$E:$E,MATCH(B552,Raw_Risk_Profiles!$A:$A,0)),"Unknown")</f>
        <v/>
      </c>
      <c r="L552" s="2">
        <f>IFERROR(XLOOKUP(A552,Raw_Alerts!$B:$B,Raw_Alerts!$A:$A),"No Alert")</f>
        <v/>
      </c>
      <c r="M552" s="2">
        <f>IFERROR(XLOOKUP(A552,Raw_Alerts!$B:$B,Raw_Alerts!$C:$C),"")</f>
        <v/>
      </c>
      <c r="N552" s="2">
        <f>IFERROR(XLOOKUP(A552,Raw_Alerts!$B:$B,Raw_Alerts!$D:$D),"")</f>
        <v/>
      </c>
      <c r="O552" s="2">
        <f>IFERROR(XLOOKUP(A552,Raw_Alerts!$B:$B,Raw_Alerts!$F:$F),"")</f>
        <v/>
      </c>
      <c r="P552" s="2">
        <f>IF(H552="Not Found","CRITICAL: No Risk Profile",IF(I552="Missing","WARN: Missing KYC",IF(I552="Expired","WARN: KYC Expired",IF(I552="Pending","INFO: KYC Pending","OK"))))</f>
        <v/>
      </c>
    </row>
    <row r="553">
      <c r="A553" s="4">
        <f>Raw_Transactions!A553</f>
        <v/>
      </c>
      <c r="B553" s="4">
        <f>Raw_Transactions!B553</f>
        <v/>
      </c>
      <c r="C553" s="4">
        <f>Raw_Transactions!C553</f>
        <v/>
      </c>
      <c r="D553" s="5">
        <f>Raw_Transactions!D553</f>
        <v/>
      </c>
      <c r="E553" s="4">
        <f>Raw_Transactions!E553</f>
        <v/>
      </c>
      <c r="F553" s="4">
        <f>Raw_Transactions!F553</f>
        <v/>
      </c>
      <c r="G553" s="4">
        <f>Raw_Transactions!G553</f>
        <v/>
      </c>
      <c r="H553" s="4">
        <f>XLOOKUP(B553,Raw_Risk_Profiles!$A:$A,Raw_Risk_Profiles!$B:$B,"Not Found")</f>
        <v/>
      </c>
      <c r="I553" s="4">
        <f>XLOOKUP(B553,Raw_Risk_Profiles!$A:$A,Raw_Risk_Profiles!$C:$C,"Missing")</f>
        <v/>
      </c>
      <c r="J553" s="4">
        <f>XLOOKUP(B553,Raw_Risk_Profiles!$A:$A,Raw_Risk_Profiles!$D:$D,"")</f>
        <v/>
      </c>
      <c r="K553" s="4">
        <f>IFERROR(INDEX(Raw_Risk_Profiles!$E:$E,MATCH(B553,Raw_Risk_Profiles!$A:$A,0)),"Unknown")</f>
        <v/>
      </c>
      <c r="L553" s="4">
        <f>IFERROR(XLOOKUP(A553,Raw_Alerts!$B:$B,Raw_Alerts!$A:$A),"No Alert")</f>
        <v/>
      </c>
      <c r="M553" s="4">
        <f>IFERROR(XLOOKUP(A553,Raw_Alerts!$B:$B,Raw_Alerts!$C:$C),"")</f>
        <v/>
      </c>
      <c r="N553" s="4">
        <f>IFERROR(XLOOKUP(A553,Raw_Alerts!$B:$B,Raw_Alerts!$D:$D),"")</f>
        <v/>
      </c>
      <c r="O553" s="4">
        <f>IFERROR(XLOOKUP(A553,Raw_Alerts!$B:$B,Raw_Alerts!$F:$F),"")</f>
        <v/>
      </c>
      <c r="P553" s="4">
        <f>IF(H553="Not Found","CRITICAL: No Risk Profile",IF(I553="Missing","WARN: Missing KYC",IF(I553="Expired","WARN: KYC Expired",IF(I553="Pending","INFO: KYC Pending","OK"))))</f>
        <v/>
      </c>
    </row>
    <row r="554">
      <c r="A554" s="2">
        <f>Raw_Transactions!A554</f>
        <v/>
      </c>
      <c r="B554" s="2">
        <f>Raw_Transactions!B554</f>
        <v/>
      </c>
      <c r="C554" s="2">
        <f>Raw_Transactions!C554</f>
        <v/>
      </c>
      <c r="D554" s="3">
        <f>Raw_Transactions!D554</f>
        <v/>
      </c>
      <c r="E554" s="2">
        <f>Raw_Transactions!E554</f>
        <v/>
      </c>
      <c r="F554" s="2">
        <f>Raw_Transactions!F554</f>
        <v/>
      </c>
      <c r="G554" s="2">
        <f>Raw_Transactions!G554</f>
        <v/>
      </c>
      <c r="H554" s="2">
        <f>XLOOKUP(B554,Raw_Risk_Profiles!$A:$A,Raw_Risk_Profiles!$B:$B,"Not Found")</f>
        <v/>
      </c>
      <c r="I554" s="2">
        <f>XLOOKUP(B554,Raw_Risk_Profiles!$A:$A,Raw_Risk_Profiles!$C:$C,"Missing")</f>
        <v/>
      </c>
      <c r="J554" s="2">
        <f>XLOOKUP(B554,Raw_Risk_Profiles!$A:$A,Raw_Risk_Profiles!$D:$D,"")</f>
        <v/>
      </c>
      <c r="K554" s="2">
        <f>IFERROR(INDEX(Raw_Risk_Profiles!$E:$E,MATCH(B554,Raw_Risk_Profiles!$A:$A,0)),"Unknown")</f>
        <v/>
      </c>
      <c r="L554" s="2">
        <f>IFERROR(XLOOKUP(A554,Raw_Alerts!$B:$B,Raw_Alerts!$A:$A),"No Alert")</f>
        <v/>
      </c>
      <c r="M554" s="2">
        <f>IFERROR(XLOOKUP(A554,Raw_Alerts!$B:$B,Raw_Alerts!$C:$C),"")</f>
        <v/>
      </c>
      <c r="N554" s="2">
        <f>IFERROR(XLOOKUP(A554,Raw_Alerts!$B:$B,Raw_Alerts!$D:$D),"")</f>
        <v/>
      </c>
      <c r="O554" s="2">
        <f>IFERROR(XLOOKUP(A554,Raw_Alerts!$B:$B,Raw_Alerts!$F:$F),"")</f>
        <v/>
      </c>
      <c r="P554" s="2">
        <f>IF(H554="Not Found","CRITICAL: No Risk Profile",IF(I554="Missing","WARN: Missing KYC",IF(I554="Expired","WARN: KYC Expired",IF(I554="Pending","INFO: KYC Pending","OK"))))</f>
        <v/>
      </c>
    </row>
    <row r="555">
      <c r="A555" s="4">
        <f>Raw_Transactions!A555</f>
        <v/>
      </c>
      <c r="B555" s="4">
        <f>Raw_Transactions!B555</f>
        <v/>
      </c>
      <c r="C555" s="4">
        <f>Raw_Transactions!C555</f>
        <v/>
      </c>
      <c r="D555" s="5">
        <f>Raw_Transactions!D555</f>
        <v/>
      </c>
      <c r="E555" s="4">
        <f>Raw_Transactions!E555</f>
        <v/>
      </c>
      <c r="F555" s="4">
        <f>Raw_Transactions!F555</f>
        <v/>
      </c>
      <c r="G555" s="4">
        <f>Raw_Transactions!G555</f>
        <v/>
      </c>
      <c r="H555" s="4">
        <f>XLOOKUP(B555,Raw_Risk_Profiles!$A:$A,Raw_Risk_Profiles!$B:$B,"Not Found")</f>
        <v/>
      </c>
      <c r="I555" s="4">
        <f>XLOOKUP(B555,Raw_Risk_Profiles!$A:$A,Raw_Risk_Profiles!$C:$C,"Missing")</f>
        <v/>
      </c>
      <c r="J555" s="4">
        <f>XLOOKUP(B555,Raw_Risk_Profiles!$A:$A,Raw_Risk_Profiles!$D:$D,"")</f>
        <v/>
      </c>
      <c r="K555" s="4">
        <f>IFERROR(INDEX(Raw_Risk_Profiles!$E:$E,MATCH(B555,Raw_Risk_Profiles!$A:$A,0)),"Unknown")</f>
        <v/>
      </c>
      <c r="L555" s="4">
        <f>IFERROR(XLOOKUP(A555,Raw_Alerts!$B:$B,Raw_Alerts!$A:$A),"No Alert")</f>
        <v/>
      </c>
      <c r="M555" s="4">
        <f>IFERROR(XLOOKUP(A555,Raw_Alerts!$B:$B,Raw_Alerts!$C:$C),"")</f>
        <v/>
      </c>
      <c r="N555" s="4">
        <f>IFERROR(XLOOKUP(A555,Raw_Alerts!$B:$B,Raw_Alerts!$D:$D),"")</f>
        <v/>
      </c>
      <c r="O555" s="4">
        <f>IFERROR(XLOOKUP(A555,Raw_Alerts!$B:$B,Raw_Alerts!$F:$F),"")</f>
        <v/>
      </c>
      <c r="P555" s="4">
        <f>IF(H555="Not Found","CRITICAL: No Risk Profile",IF(I555="Missing","WARN: Missing KYC",IF(I555="Expired","WARN: KYC Expired",IF(I555="Pending","INFO: KYC Pending","OK"))))</f>
        <v/>
      </c>
    </row>
    <row r="556">
      <c r="A556" s="2">
        <f>Raw_Transactions!A556</f>
        <v/>
      </c>
      <c r="B556" s="2">
        <f>Raw_Transactions!B556</f>
        <v/>
      </c>
      <c r="C556" s="2">
        <f>Raw_Transactions!C556</f>
        <v/>
      </c>
      <c r="D556" s="3">
        <f>Raw_Transactions!D556</f>
        <v/>
      </c>
      <c r="E556" s="2">
        <f>Raw_Transactions!E556</f>
        <v/>
      </c>
      <c r="F556" s="2">
        <f>Raw_Transactions!F556</f>
        <v/>
      </c>
      <c r="G556" s="2">
        <f>Raw_Transactions!G556</f>
        <v/>
      </c>
      <c r="H556" s="2">
        <f>XLOOKUP(B556,Raw_Risk_Profiles!$A:$A,Raw_Risk_Profiles!$B:$B,"Not Found")</f>
        <v/>
      </c>
      <c r="I556" s="2">
        <f>XLOOKUP(B556,Raw_Risk_Profiles!$A:$A,Raw_Risk_Profiles!$C:$C,"Missing")</f>
        <v/>
      </c>
      <c r="J556" s="2">
        <f>XLOOKUP(B556,Raw_Risk_Profiles!$A:$A,Raw_Risk_Profiles!$D:$D,"")</f>
        <v/>
      </c>
      <c r="K556" s="2">
        <f>IFERROR(INDEX(Raw_Risk_Profiles!$E:$E,MATCH(B556,Raw_Risk_Profiles!$A:$A,0)),"Unknown")</f>
        <v/>
      </c>
      <c r="L556" s="2">
        <f>IFERROR(XLOOKUP(A556,Raw_Alerts!$B:$B,Raw_Alerts!$A:$A),"No Alert")</f>
        <v/>
      </c>
      <c r="M556" s="2">
        <f>IFERROR(XLOOKUP(A556,Raw_Alerts!$B:$B,Raw_Alerts!$C:$C),"")</f>
        <v/>
      </c>
      <c r="N556" s="2">
        <f>IFERROR(XLOOKUP(A556,Raw_Alerts!$B:$B,Raw_Alerts!$D:$D),"")</f>
        <v/>
      </c>
      <c r="O556" s="2">
        <f>IFERROR(XLOOKUP(A556,Raw_Alerts!$B:$B,Raw_Alerts!$F:$F),"")</f>
        <v/>
      </c>
      <c r="P556" s="2">
        <f>IF(H556="Not Found","CRITICAL: No Risk Profile",IF(I556="Missing","WARN: Missing KYC",IF(I556="Expired","WARN: KYC Expired",IF(I556="Pending","INFO: KYC Pending","OK"))))</f>
        <v/>
      </c>
    </row>
    <row r="557">
      <c r="A557" s="4">
        <f>Raw_Transactions!A557</f>
        <v/>
      </c>
      <c r="B557" s="4">
        <f>Raw_Transactions!B557</f>
        <v/>
      </c>
      <c r="C557" s="4">
        <f>Raw_Transactions!C557</f>
        <v/>
      </c>
      <c r="D557" s="5">
        <f>Raw_Transactions!D557</f>
        <v/>
      </c>
      <c r="E557" s="4">
        <f>Raw_Transactions!E557</f>
        <v/>
      </c>
      <c r="F557" s="4">
        <f>Raw_Transactions!F557</f>
        <v/>
      </c>
      <c r="G557" s="4">
        <f>Raw_Transactions!G557</f>
        <v/>
      </c>
      <c r="H557" s="4">
        <f>XLOOKUP(B557,Raw_Risk_Profiles!$A:$A,Raw_Risk_Profiles!$B:$B,"Not Found")</f>
        <v/>
      </c>
      <c r="I557" s="4">
        <f>XLOOKUP(B557,Raw_Risk_Profiles!$A:$A,Raw_Risk_Profiles!$C:$C,"Missing")</f>
        <v/>
      </c>
      <c r="J557" s="4">
        <f>XLOOKUP(B557,Raw_Risk_Profiles!$A:$A,Raw_Risk_Profiles!$D:$D,"")</f>
        <v/>
      </c>
      <c r="K557" s="4">
        <f>IFERROR(INDEX(Raw_Risk_Profiles!$E:$E,MATCH(B557,Raw_Risk_Profiles!$A:$A,0)),"Unknown")</f>
        <v/>
      </c>
      <c r="L557" s="4">
        <f>IFERROR(XLOOKUP(A557,Raw_Alerts!$B:$B,Raw_Alerts!$A:$A),"No Alert")</f>
        <v/>
      </c>
      <c r="M557" s="4">
        <f>IFERROR(XLOOKUP(A557,Raw_Alerts!$B:$B,Raw_Alerts!$C:$C),"")</f>
        <v/>
      </c>
      <c r="N557" s="4">
        <f>IFERROR(XLOOKUP(A557,Raw_Alerts!$B:$B,Raw_Alerts!$D:$D),"")</f>
        <v/>
      </c>
      <c r="O557" s="4">
        <f>IFERROR(XLOOKUP(A557,Raw_Alerts!$B:$B,Raw_Alerts!$F:$F),"")</f>
        <v/>
      </c>
      <c r="P557" s="4">
        <f>IF(H557="Not Found","CRITICAL: No Risk Profile",IF(I557="Missing","WARN: Missing KYC",IF(I557="Expired","WARN: KYC Expired",IF(I557="Pending","INFO: KYC Pending","OK"))))</f>
        <v/>
      </c>
    </row>
    <row r="558">
      <c r="A558" s="2">
        <f>Raw_Transactions!A558</f>
        <v/>
      </c>
      <c r="B558" s="2">
        <f>Raw_Transactions!B558</f>
        <v/>
      </c>
      <c r="C558" s="2">
        <f>Raw_Transactions!C558</f>
        <v/>
      </c>
      <c r="D558" s="3">
        <f>Raw_Transactions!D558</f>
        <v/>
      </c>
      <c r="E558" s="2">
        <f>Raw_Transactions!E558</f>
        <v/>
      </c>
      <c r="F558" s="2">
        <f>Raw_Transactions!F558</f>
        <v/>
      </c>
      <c r="G558" s="2">
        <f>Raw_Transactions!G558</f>
        <v/>
      </c>
      <c r="H558" s="2">
        <f>XLOOKUP(B558,Raw_Risk_Profiles!$A:$A,Raw_Risk_Profiles!$B:$B,"Not Found")</f>
        <v/>
      </c>
      <c r="I558" s="2">
        <f>XLOOKUP(B558,Raw_Risk_Profiles!$A:$A,Raw_Risk_Profiles!$C:$C,"Missing")</f>
        <v/>
      </c>
      <c r="J558" s="2">
        <f>XLOOKUP(B558,Raw_Risk_Profiles!$A:$A,Raw_Risk_Profiles!$D:$D,"")</f>
        <v/>
      </c>
      <c r="K558" s="2">
        <f>IFERROR(INDEX(Raw_Risk_Profiles!$E:$E,MATCH(B558,Raw_Risk_Profiles!$A:$A,0)),"Unknown")</f>
        <v/>
      </c>
      <c r="L558" s="2">
        <f>IFERROR(XLOOKUP(A558,Raw_Alerts!$B:$B,Raw_Alerts!$A:$A),"No Alert")</f>
        <v/>
      </c>
      <c r="M558" s="2">
        <f>IFERROR(XLOOKUP(A558,Raw_Alerts!$B:$B,Raw_Alerts!$C:$C),"")</f>
        <v/>
      </c>
      <c r="N558" s="2">
        <f>IFERROR(XLOOKUP(A558,Raw_Alerts!$B:$B,Raw_Alerts!$D:$D),"")</f>
        <v/>
      </c>
      <c r="O558" s="2">
        <f>IFERROR(XLOOKUP(A558,Raw_Alerts!$B:$B,Raw_Alerts!$F:$F),"")</f>
        <v/>
      </c>
      <c r="P558" s="2">
        <f>IF(H558="Not Found","CRITICAL: No Risk Profile",IF(I558="Missing","WARN: Missing KYC",IF(I558="Expired","WARN: KYC Expired",IF(I558="Pending","INFO: KYC Pending","OK"))))</f>
        <v/>
      </c>
    </row>
    <row r="559">
      <c r="A559" s="4">
        <f>Raw_Transactions!A559</f>
        <v/>
      </c>
      <c r="B559" s="4">
        <f>Raw_Transactions!B559</f>
        <v/>
      </c>
      <c r="C559" s="4">
        <f>Raw_Transactions!C559</f>
        <v/>
      </c>
      <c r="D559" s="5">
        <f>Raw_Transactions!D559</f>
        <v/>
      </c>
      <c r="E559" s="4">
        <f>Raw_Transactions!E559</f>
        <v/>
      </c>
      <c r="F559" s="4">
        <f>Raw_Transactions!F559</f>
        <v/>
      </c>
      <c r="G559" s="4">
        <f>Raw_Transactions!G559</f>
        <v/>
      </c>
      <c r="H559" s="4">
        <f>XLOOKUP(B559,Raw_Risk_Profiles!$A:$A,Raw_Risk_Profiles!$B:$B,"Not Found")</f>
        <v/>
      </c>
      <c r="I559" s="4">
        <f>XLOOKUP(B559,Raw_Risk_Profiles!$A:$A,Raw_Risk_Profiles!$C:$C,"Missing")</f>
        <v/>
      </c>
      <c r="J559" s="4">
        <f>XLOOKUP(B559,Raw_Risk_Profiles!$A:$A,Raw_Risk_Profiles!$D:$D,"")</f>
        <v/>
      </c>
      <c r="K559" s="4">
        <f>IFERROR(INDEX(Raw_Risk_Profiles!$E:$E,MATCH(B559,Raw_Risk_Profiles!$A:$A,0)),"Unknown")</f>
        <v/>
      </c>
      <c r="L559" s="4">
        <f>IFERROR(XLOOKUP(A559,Raw_Alerts!$B:$B,Raw_Alerts!$A:$A),"No Alert")</f>
        <v/>
      </c>
      <c r="M559" s="4">
        <f>IFERROR(XLOOKUP(A559,Raw_Alerts!$B:$B,Raw_Alerts!$C:$C),"")</f>
        <v/>
      </c>
      <c r="N559" s="4">
        <f>IFERROR(XLOOKUP(A559,Raw_Alerts!$B:$B,Raw_Alerts!$D:$D),"")</f>
        <v/>
      </c>
      <c r="O559" s="4">
        <f>IFERROR(XLOOKUP(A559,Raw_Alerts!$B:$B,Raw_Alerts!$F:$F),"")</f>
        <v/>
      </c>
      <c r="P559" s="4">
        <f>IF(H559="Not Found","CRITICAL: No Risk Profile",IF(I559="Missing","WARN: Missing KYC",IF(I559="Expired","WARN: KYC Expired",IF(I559="Pending","INFO: KYC Pending","OK"))))</f>
        <v/>
      </c>
    </row>
    <row r="560">
      <c r="A560" s="2">
        <f>Raw_Transactions!A560</f>
        <v/>
      </c>
      <c r="B560" s="2">
        <f>Raw_Transactions!B560</f>
        <v/>
      </c>
      <c r="C560" s="2">
        <f>Raw_Transactions!C560</f>
        <v/>
      </c>
      <c r="D560" s="3">
        <f>Raw_Transactions!D560</f>
        <v/>
      </c>
      <c r="E560" s="2">
        <f>Raw_Transactions!E560</f>
        <v/>
      </c>
      <c r="F560" s="2">
        <f>Raw_Transactions!F560</f>
        <v/>
      </c>
      <c r="G560" s="2">
        <f>Raw_Transactions!G560</f>
        <v/>
      </c>
      <c r="H560" s="2">
        <f>XLOOKUP(B560,Raw_Risk_Profiles!$A:$A,Raw_Risk_Profiles!$B:$B,"Not Found")</f>
        <v/>
      </c>
      <c r="I560" s="2">
        <f>XLOOKUP(B560,Raw_Risk_Profiles!$A:$A,Raw_Risk_Profiles!$C:$C,"Missing")</f>
        <v/>
      </c>
      <c r="J560" s="2">
        <f>XLOOKUP(B560,Raw_Risk_Profiles!$A:$A,Raw_Risk_Profiles!$D:$D,"")</f>
        <v/>
      </c>
      <c r="K560" s="2">
        <f>IFERROR(INDEX(Raw_Risk_Profiles!$E:$E,MATCH(B560,Raw_Risk_Profiles!$A:$A,0)),"Unknown")</f>
        <v/>
      </c>
      <c r="L560" s="2">
        <f>IFERROR(XLOOKUP(A560,Raw_Alerts!$B:$B,Raw_Alerts!$A:$A),"No Alert")</f>
        <v/>
      </c>
      <c r="M560" s="2">
        <f>IFERROR(XLOOKUP(A560,Raw_Alerts!$B:$B,Raw_Alerts!$C:$C),"")</f>
        <v/>
      </c>
      <c r="N560" s="2">
        <f>IFERROR(XLOOKUP(A560,Raw_Alerts!$B:$B,Raw_Alerts!$D:$D),"")</f>
        <v/>
      </c>
      <c r="O560" s="2">
        <f>IFERROR(XLOOKUP(A560,Raw_Alerts!$B:$B,Raw_Alerts!$F:$F),"")</f>
        <v/>
      </c>
      <c r="P560" s="2">
        <f>IF(H560="Not Found","CRITICAL: No Risk Profile",IF(I560="Missing","WARN: Missing KYC",IF(I560="Expired","WARN: KYC Expired",IF(I560="Pending","INFO: KYC Pending","OK"))))</f>
        <v/>
      </c>
    </row>
    <row r="561">
      <c r="A561" s="4">
        <f>Raw_Transactions!A561</f>
        <v/>
      </c>
      <c r="B561" s="4">
        <f>Raw_Transactions!B561</f>
        <v/>
      </c>
      <c r="C561" s="4">
        <f>Raw_Transactions!C561</f>
        <v/>
      </c>
      <c r="D561" s="5">
        <f>Raw_Transactions!D561</f>
        <v/>
      </c>
      <c r="E561" s="4">
        <f>Raw_Transactions!E561</f>
        <v/>
      </c>
      <c r="F561" s="4">
        <f>Raw_Transactions!F561</f>
        <v/>
      </c>
      <c r="G561" s="4">
        <f>Raw_Transactions!G561</f>
        <v/>
      </c>
      <c r="H561" s="4">
        <f>XLOOKUP(B561,Raw_Risk_Profiles!$A:$A,Raw_Risk_Profiles!$B:$B,"Not Found")</f>
        <v/>
      </c>
      <c r="I561" s="4">
        <f>XLOOKUP(B561,Raw_Risk_Profiles!$A:$A,Raw_Risk_Profiles!$C:$C,"Missing")</f>
        <v/>
      </c>
      <c r="J561" s="4">
        <f>XLOOKUP(B561,Raw_Risk_Profiles!$A:$A,Raw_Risk_Profiles!$D:$D,"")</f>
        <v/>
      </c>
      <c r="K561" s="4">
        <f>IFERROR(INDEX(Raw_Risk_Profiles!$E:$E,MATCH(B561,Raw_Risk_Profiles!$A:$A,0)),"Unknown")</f>
        <v/>
      </c>
      <c r="L561" s="4">
        <f>IFERROR(XLOOKUP(A561,Raw_Alerts!$B:$B,Raw_Alerts!$A:$A),"No Alert")</f>
        <v/>
      </c>
      <c r="M561" s="4">
        <f>IFERROR(XLOOKUP(A561,Raw_Alerts!$B:$B,Raw_Alerts!$C:$C),"")</f>
        <v/>
      </c>
      <c r="N561" s="4">
        <f>IFERROR(XLOOKUP(A561,Raw_Alerts!$B:$B,Raw_Alerts!$D:$D),"")</f>
        <v/>
      </c>
      <c r="O561" s="4">
        <f>IFERROR(XLOOKUP(A561,Raw_Alerts!$B:$B,Raw_Alerts!$F:$F),"")</f>
        <v/>
      </c>
      <c r="P561" s="4">
        <f>IF(H561="Not Found","CRITICAL: No Risk Profile",IF(I561="Missing","WARN: Missing KYC",IF(I561="Expired","WARN: KYC Expired",IF(I561="Pending","INFO: KYC Pending","OK"))))</f>
        <v/>
      </c>
    </row>
    <row r="562">
      <c r="A562" s="2">
        <f>Raw_Transactions!A562</f>
        <v/>
      </c>
      <c r="B562" s="2">
        <f>Raw_Transactions!B562</f>
        <v/>
      </c>
      <c r="C562" s="2">
        <f>Raw_Transactions!C562</f>
        <v/>
      </c>
      <c r="D562" s="3">
        <f>Raw_Transactions!D562</f>
        <v/>
      </c>
      <c r="E562" s="2">
        <f>Raw_Transactions!E562</f>
        <v/>
      </c>
      <c r="F562" s="2">
        <f>Raw_Transactions!F562</f>
        <v/>
      </c>
      <c r="G562" s="2">
        <f>Raw_Transactions!G562</f>
        <v/>
      </c>
      <c r="H562" s="2">
        <f>XLOOKUP(B562,Raw_Risk_Profiles!$A:$A,Raw_Risk_Profiles!$B:$B,"Not Found")</f>
        <v/>
      </c>
      <c r="I562" s="2">
        <f>XLOOKUP(B562,Raw_Risk_Profiles!$A:$A,Raw_Risk_Profiles!$C:$C,"Missing")</f>
        <v/>
      </c>
      <c r="J562" s="2">
        <f>XLOOKUP(B562,Raw_Risk_Profiles!$A:$A,Raw_Risk_Profiles!$D:$D,"")</f>
        <v/>
      </c>
      <c r="K562" s="2">
        <f>IFERROR(INDEX(Raw_Risk_Profiles!$E:$E,MATCH(B562,Raw_Risk_Profiles!$A:$A,0)),"Unknown")</f>
        <v/>
      </c>
      <c r="L562" s="2">
        <f>IFERROR(XLOOKUP(A562,Raw_Alerts!$B:$B,Raw_Alerts!$A:$A),"No Alert")</f>
        <v/>
      </c>
      <c r="M562" s="2">
        <f>IFERROR(XLOOKUP(A562,Raw_Alerts!$B:$B,Raw_Alerts!$C:$C),"")</f>
        <v/>
      </c>
      <c r="N562" s="2">
        <f>IFERROR(XLOOKUP(A562,Raw_Alerts!$B:$B,Raw_Alerts!$D:$D),"")</f>
        <v/>
      </c>
      <c r="O562" s="2">
        <f>IFERROR(XLOOKUP(A562,Raw_Alerts!$B:$B,Raw_Alerts!$F:$F),"")</f>
        <v/>
      </c>
      <c r="P562" s="2">
        <f>IF(H562="Not Found","CRITICAL: No Risk Profile",IF(I562="Missing","WARN: Missing KYC",IF(I562="Expired","WARN: KYC Expired",IF(I562="Pending","INFO: KYC Pending","OK"))))</f>
        <v/>
      </c>
    </row>
    <row r="563">
      <c r="A563" s="4">
        <f>Raw_Transactions!A563</f>
        <v/>
      </c>
      <c r="B563" s="4">
        <f>Raw_Transactions!B563</f>
        <v/>
      </c>
      <c r="C563" s="4">
        <f>Raw_Transactions!C563</f>
        <v/>
      </c>
      <c r="D563" s="5">
        <f>Raw_Transactions!D563</f>
        <v/>
      </c>
      <c r="E563" s="4">
        <f>Raw_Transactions!E563</f>
        <v/>
      </c>
      <c r="F563" s="4">
        <f>Raw_Transactions!F563</f>
        <v/>
      </c>
      <c r="G563" s="4">
        <f>Raw_Transactions!G563</f>
        <v/>
      </c>
      <c r="H563" s="4">
        <f>XLOOKUP(B563,Raw_Risk_Profiles!$A:$A,Raw_Risk_Profiles!$B:$B,"Not Found")</f>
        <v/>
      </c>
      <c r="I563" s="4">
        <f>XLOOKUP(B563,Raw_Risk_Profiles!$A:$A,Raw_Risk_Profiles!$C:$C,"Missing")</f>
        <v/>
      </c>
      <c r="J563" s="4">
        <f>XLOOKUP(B563,Raw_Risk_Profiles!$A:$A,Raw_Risk_Profiles!$D:$D,"")</f>
        <v/>
      </c>
      <c r="K563" s="4">
        <f>IFERROR(INDEX(Raw_Risk_Profiles!$E:$E,MATCH(B563,Raw_Risk_Profiles!$A:$A,0)),"Unknown")</f>
        <v/>
      </c>
      <c r="L563" s="4">
        <f>IFERROR(XLOOKUP(A563,Raw_Alerts!$B:$B,Raw_Alerts!$A:$A),"No Alert")</f>
        <v/>
      </c>
      <c r="M563" s="4">
        <f>IFERROR(XLOOKUP(A563,Raw_Alerts!$B:$B,Raw_Alerts!$C:$C),"")</f>
        <v/>
      </c>
      <c r="N563" s="4">
        <f>IFERROR(XLOOKUP(A563,Raw_Alerts!$B:$B,Raw_Alerts!$D:$D),"")</f>
        <v/>
      </c>
      <c r="O563" s="4">
        <f>IFERROR(XLOOKUP(A563,Raw_Alerts!$B:$B,Raw_Alerts!$F:$F),"")</f>
        <v/>
      </c>
      <c r="P563" s="4">
        <f>IF(H563="Not Found","CRITICAL: No Risk Profile",IF(I563="Missing","WARN: Missing KYC",IF(I563="Expired","WARN: KYC Expired",IF(I563="Pending","INFO: KYC Pending","OK"))))</f>
        <v/>
      </c>
    </row>
    <row r="564">
      <c r="A564" s="2">
        <f>Raw_Transactions!A564</f>
        <v/>
      </c>
      <c r="B564" s="2">
        <f>Raw_Transactions!B564</f>
        <v/>
      </c>
      <c r="C564" s="2">
        <f>Raw_Transactions!C564</f>
        <v/>
      </c>
      <c r="D564" s="3">
        <f>Raw_Transactions!D564</f>
        <v/>
      </c>
      <c r="E564" s="2">
        <f>Raw_Transactions!E564</f>
        <v/>
      </c>
      <c r="F564" s="2">
        <f>Raw_Transactions!F564</f>
        <v/>
      </c>
      <c r="G564" s="2">
        <f>Raw_Transactions!G564</f>
        <v/>
      </c>
      <c r="H564" s="2">
        <f>XLOOKUP(B564,Raw_Risk_Profiles!$A:$A,Raw_Risk_Profiles!$B:$B,"Not Found")</f>
        <v/>
      </c>
      <c r="I564" s="2">
        <f>XLOOKUP(B564,Raw_Risk_Profiles!$A:$A,Raw_Risk_Profiles!$C:$C,"Missing")</f>
        <v/>
      </c>
      <c r="J564" s="2">
        <f>XLOOKUP(B564,Raw_Risk_Profiles!$A:$A,Raw_Risk_Profiles!$D:$D,"")</f>
        <v/>
      </c>
      <c r="K564" s="2">
        <f>IFERROR(INDEX(Raw_Risk_Profiles!$E:$E,MATCH(B564,Raw_Risk_Profiles!$A:$A,0)),"Unknown")</f>
        <v/>
      </c>
      <c r="L564" s="2">
        <f>IFERROR(XLOOKUP(A564,Raw_Alerts!$B:$B,Raw_Alerts!$A:$A),"No Alert")</f>
        <v/>
      </c>
      <c r="M564" s="2">
        <f>IFERROR(XLOOKUP(A564,Raw_Alerts!$B:$B,Raw_Alerts!$C:$C),"")</f>
        <v/>
      </c>
      <c r="N564" s="2">
        <f>IFERROR(XLOOKUP(A564,Raw_Alerts!$B:$B,Raw_Alerts!$D:$D),"")</f>
        <v/>
      </c>
      <c r="O564" s="2">
        <f>IFERROR(XLOOKUP(A564,Raw_Alerts!$B:$B,Raw_Alerts!$F:$F),"")</f>
        <v/>
      </c>
      <c r="P564" s="2">
        <f>IF(H564="Not Found","CRITICAL: No Risk Profile",IF(I564="Missing","WARN: Missing KYC",IF(I564="Expired","WARN: KYC Expired",IF(I564="Pending","INFO: KYC Pending","OK"))))</f>
        <v/>
      </c>
    </row>
    <row r="565">
      <c r="A565" s="4">
        <f>Raw_Transactions!A565</f>
        <v/>
      </c>
      <c r="B565" s="4">
        <f>Raw_Transactions!B565</f>
        <v/>
      </c>
      <c r="C565" s="4">
        <f>Raw_Transactions!C565</f>
        <v/>
      </c>
      <c r="D565" s="5">
        <f>Raw_Transactions!D565</f>
        <v/>
      </c>
      <c r="E565" s="4">
        <f>Raw_Transactions!E565</f>
        <v/>
      </c>
      <c r="F565" s="4">
        <f>Raw_Transactions!F565</f>
        <v/>
      </c>
      <c r="G565" s="4">
        <f>Raw_Transactions!G565</f>
        <v/>
      </c>
      <c r="H565" s="4">
        <f>XLOOKUP(B565,Raw_Risk_Profiles!$A:$A,Raw_Risk_Profiles!$B:$B,"Not Found")</f>
        <v/>
      </c>
      <c r="I565" s="4">
        <f>XLOOKUP(B565,Raw_Risk_Profiles!$A:$A,Raw_Risk_Profiles!$C:$C,"Missing")</f>
        <v/>
      </c>
      <c r="J565" s="4">
        <f>XLOOKUP(B565,Raw_Risk_Profiles!$A:$A,Raw_Risk_Profiles!$D:$D,"")</f>
        <v/>
      </c>
      <c r="K565" s="4">
        <f>IFERROR(INDEX(Raw_Risk_Profiles!$E:$E,MATCH(B565,Raw_Risk_Profiles!$A:$A,0)),"Unknown")</f>
        <v/>
      </c>
      <c r="L565" s="4">
        <f>IFERROR(XLOOKUP(A565,Raw_Alerts!$B:$B,Raw_Alerts!$A:$A),"No Alert")</f>
        <v/>
      </c>
      <c r="M565" s="4">
        <f>IFERROR(XLOOKUP(A565,Raw_Alerts!$B:$B,Raw_Alerts!$C:$C),"")</f>
        <v/>
      </c>
      <c r="N565" s="4">
        <f>IFERROR(XLOOKUP(A565,Raw_Alerts!$B:$B,Raw_Alerts!$D:$D),"")</f>
        <v/>
      </c>
      <c r="O565" s="4">
        <f>IFERROR(XLOOKUP(A565,Raw_Alerts!$B:$B,Raw_Alerts!$F:$F),"")</f>
        <v/>
      </c>
      <c r="P565" s="4">
        <f>IF(H565="Not Found","CRITICAL: No Risk Profile",IF(I565="Missing","WARN: Missing KYC",IF(I565="Expired","WARN: KYC Expired",IF(I565="Pending","INFO: KYC Pending","OK"))))</f>
        <v/>
      </c>
    </row>
    <row r="566">
      <c r="A566" s="2">
        <f>Raw_Transactions!A566</f>
        <v/>
      </c>
      <c r="B566" s="2">
        <f>Raw_Transactions!B566</f>
        <v/>
      </c>
      <c r="C566" s="2">
        <f>Raw_Transactions!C566</f>
        <v/>
      </c>
      <c r="D566" s="3">
        <f>Raw_Transactions!D566</f>
        <v/>
      </c>
      <c r="E566" s="2">
        <f>Raw_Transactions!E566</f>
        <v/>
      </c>
      <c r="F566" s="2">
        <f>Raw_Transactions!F566</f>
        <v/>
      </c>
      <c r="G566" s="2">
        <f>Raw_Transactions!G566</f>
        <v/>
      </c>
      <c r="H566" s="2">
        <f>XLOOKUP(B566,Raw_Risk_Profiles!$A:$A,Raw_Risk_Profiles!$B:$B,"Not Found")</f>
        <v/>
      </c>
      <c r="I566" s="2">
        <f>XLOOKUP(B566,Raw_Risk_Profiles!$A:$A,Raw_Risk_Profiles!$C:$C,"Missing")</f>
        <v/>
      </c>
      <c r="J566" s="2">
        <f>XLOOKUP(B566,Raw_Risk_Profiles!$A:$A,Raw_Risk_Profiles!$D:$D,"")</f>
        <v/>
      </c>
      <c r="K566" s="2">
        <f>IFERROR(INDEX(Raw_Risk_Profiles!$E:$E,MATCH(B566,Raw_Risk_Profiles!$A:$A,0)),"Unknown")</f>
        <v/>
      </c>
      <c r="L566" s="2">
        <f>IFERROR(XLOOKUP(A566,Raw_Alerts!$B:$B,Raw_Alerts!$A:$A),"No Alert")</f>
        <v/>
      </c>
      <c r="M566" s="2">
        <f>IFERROR(XLOOKUP(A566,Raw_Alerts!$B:$B,Raw_Alerts!$C:$C),"")</f>
        <v/>
      </c>
      <c r="N566" s="2">
        <f>IFERROR(XLOOKUP(A566,Raw_Alerts!$B:$B,Raw_Alerts!$D:$D),"")</f>
        <v/>
      </c>
      <c r="O566" s="2">
        <f>IFERROR(XLOOKUP(A566,Raw_Alerts!$B:$B,Raw_Alerts!$F:$F),"")</f>
        <v/>
      </c>
      <c r="P566" s="2">
        <f>IF(H566="Not Found","CRITICAL: No Risk Profile",IF(I566="Missing","WARN: Missing KYC",IF(I566="Expired","WARN: KYC Expired",IF(I566="Pending","INFO: KYC Pending","OK"))))</f>
        <v/>
      </c>
    </row>
    <row r="567">
      <c r="A567" s="4">
        <f>Raw_Transactions!A567</f>
        <v/>
      </c>
      <c r="B567" s="4">
        <f>Raw_Transactions!B567</f>
        <v/>
      </c>
      <c r="C567" s="4">
        <f>Raw_Transactions!C567</f>
        <v/>
      </c>
      <c r="D567" s="5">
        <f>Raw_Transactions!D567</f>
        <v/>
      </c>
      <c r="E567" s="4">
        <f>Raw_Transactions!E567</f>
        <v/>
      </c>
      <c r="F567" s="4">
        <f>Raw_Transactions!F567</f>
        <v/>
      </c>
      <c r="G567" s="4">
        <f>Raw_Transactions!G567</f>
        <v/>
      </c>
      <c r="H567" s="4">
        <f>XLOOKUP(B567,Raw_Risk_Profiles!$A:$A,Raw_Risk_Profiles!$B:$B,"Not Found")</f>
        <v/>
      </c>
      <c r="I567" s="4">
        <f>XLOOKUP(B567,Raw_Risk_Profiles!$A:$A,Raw_Risk_Profiles!$C:$C,"Missing")</f>
        <v/>
      </c>
      <c r="J567" s="4">
        <f>XLOOKUP(B567,Raw_Risk_Profiles!$A:$A,Raw_Risk_Profiles!$D:$D,"")</f>
        <v/>
      </c>
      <c r="K567" s="4">
        <f>IFERROR(INDEX(Raw_Risk_Profiles!$E:$E,MATCH(B567,Raw_Risk_Profiles!$A:$A,0)),"Unknown")</f>
        <v/>
      </c>
      <c r="L567" s="4">
        <f>IFERROR(XLOOKUP(A567,Raw_Alerts!$B:$B,Raw_Alerts!$A:$A),"No Alert")</f>
        <v/>
      </c>
      <c r="M567" s="4">
        <f>IFERROR(XLOOKUP(A567,Raw_Alerts!$B:$B,Raw_Alerts!$C:$C),"")</f>
        <v/>
      </c>
      <c r="N567" s="4">
        <f>IFERROR(XLOOKUP(A567,Raw_Alerts!$B:$B,Raw_Alerts!$D:$D),"")</f>
        <v/>
      </c>
      <c r="O567" s="4">
        <f>IFERROR(XLOOKUP(A567,Raw_Alerts!$B:$B,Raw_Alerts!$F:$F),"")</f>
        <v/>
      </c>
      <c r="P567" s="4">
        <f>IF(H567="Not Found","CRITICAL: No Risk Profile",IF(I567="Missing","WARN: Missing KYC",IF(I567="Expired","WARN: KYC Expired",IF(I567="Pending","INFO: KYC Pending","OK"))))</f>
        <v/>
      </c>
    </row>
    <row r="568">
      <c r="A568" s="2">
        <f>Raw_Transactions!A568</f>
        <v/>
      </c>
      <c r="B568" s="2">
        <f>Raw_Transactions!B568</f>
        <v/>
      </c>
      <c r="C568" s="2">
        <f>Raw_Transactions!C568</f>
        <v/>
      </c>
      <c r="D568" s="3">
        <f>Raw_Transactions!D568</f>
        <v/>
      </c>
      <c r="E568" s="2">
        <f>Raw_Transactions!E568</f>
        <v/>
      </c>
      <c r="F568" s="2">
        <f>Raw_Transactions!F568</f>
        <v/>
      </c>
      <c r="G568" s="2">
        <f>Raw_Transactions!G568</f>
        <v/>
      </c>
      <c r="H568" s="2">
        <f>XLOOKUP(B568,Raw_Risk_Profiles!$A:$A,Raw_Risk_Profiles!$B:$B,"Not Found")</f>
        <v/>
      </c>
      <c r="I568" s="2">
        <f>XLOOKUP(B568,Raw_Risk_Profiles!$A:$A,Raw_Risk_Profiles!$C:$C,"Missing")</f>
        <v/>
      </c>
      <c r="J568" s="2">
        <f>XLOOKUP(B568,Raw_Risk_Profiles!$A:$A,Raw_Risk_Profiles!$D:$D,"")</f>
        <v/>
      </c>
      <c r="K568" s="2">
        <f>IFERROR(INDEX(Raw_Risk_Profiles!$E:$E,MATCH(B568,Raw_Risk_Profiles!$A:$A,0)),"Unknown")</f>
        <v/>
      </c>
      <c r="L568" s="2">
        <f>IFERROR(XLOOKUP(A568,Raw_Alerts!$B:$B,Raw_Alerts!$A:$A),"No Alert")</f>
        <v/>
      </c>
      <c r="M568" s="2">
        <f>IFERROR(XLOOKUP(A568,Raw_Alerts!$B:$B,Raw_Alerts!$C:$C),"")</f>
        <v/>
      </c>
      <c r="N568" s="2">
        <f>IFERROR(XLOOKUP(A568,Raw_Alerts!$B:$B,Raw_Alerts!$D:$D),"")</f>
        <v/>
      </c>
      <c r="O568" s="2">
        <f>IFERROR(XLOOKUP(A568,Raw_Alerts!$B:$B,Raw_Alerts!$F:$F),"")</f>
        <v/>
      </c>
      <c r="P568" s="2">
        <f>IF(H568="Not Found","CRITICAL: No Risk Profile",IF(I568="Missing","WARN: Missing KYC",IF(I568="Expired","WARN: KYC Expired",IF(I568="Pending","INFO: KYC Pending","OK"))))</f>
        <v/>
      </c>
    </row>
    <row r="569">
      <c r="A569" s="4">
        <f>Raw_Transactions!A569</f>
        <v/>
      </c>
      <c r="B569" s="4">
        <f>Raw_Transactions!B569</f>
        <v/>
      </c>
      <c r="C569" s="4">
        <f>Raw_Transactions!C569</f>
        <v/>
      </c>
      <c r="D569" s="5">
        <f>Raw_Transactions!D569</f>
        <v/>
      </c>
      <c r="E569" s="4">
        <f>Raw_Transactions!E569</f>
        <v/>
      </c>
      <c r="F569" s="4">
        <f>Raw_Transactions!F569</f>
        <v/>
      </c>
      <c r="G569" s="4">
        <f>Raw_Transactions!G569</f>
        <v/>
      </c>
      <c r="H569" s="4">
        <f>XLOOKUP(B569,Raw_Risk_Profiles!$A:$A,Raw_Risk_Profiles!$B:$B,"Not Found")</f>
        <v/>
      </c>
      <c r="I569" s="4">
        <f>XLOOKUP(B569,Raw_Risk_Profiles!$A:$A,Raw_Risk_Profiles!$C:$C,"Missing")</f>
        <v/>
      </c>
      <c r="J569" s="4">
        <f>XLOOKUP(B569,Raw_Risk_Profiles!$A:$A,Raw_Risk_Profiles!$D:$D,"")</f>
        <v/>
      </c>
      <c r="K569" s="4">
        <f>IFERROR(INDEX(Raw_Risk_Profiles!$E:$E,MATCH(B569,Raw_Risk_Profiles!$A:$A,0)),"Unknown")</f>
        <v/>
      </c>
      <c r="L569" s="4">
        <f>IFERROR(XLOOKUP(A569,Raw_Alerts!$B:$B,Raw_Alerts!$A:$A),"No Alert")</f>
        <v/>
      </c>
      <c r="M569" s="4">
        <f>IFERROR(XLOOKUP(A569,Raw_Alerts!$B:$B,Raw_Alerts!$C:$C),"")</f>
        <v/>
      </c>
      <c r="N569" s="4">
        <f>IFERROR(XLOOKUP(A569,Raw_Alerts!$B:$B,Raw_Alerts!$D:$D),"")</f>
        <v/>
      </c>
      <c r="O569" s="4">
        <f>IFERROR(XLOOKUP(A569,Raw_Alerts!$B:$B,Raw_Alerts!$F:$F),"")</f>
        <v/>
      </c>
      <c r="P569" s="4">
        <f>IF(H569="Not Found","CRITICAL: No Risk Profile",IF(I569="Missing","WARN: Missing KYC",IF(I569="Expired","WARN: KYC Expired",IF(I569="Pending","INFO: KYC Pending","OK"))))</f>
        <v/>
      </c>
    </row>
    <row r="570">
      <c r="A570" s="2">
        <f>Raw_Transactions!A570</f>
        <v/>
      </c>
      <c r="B570" s="2">
        <f>Raw_Transactions!B570</f>
        <v/>
      </c>
      <c r="C570" s="2">
        <f>Raw_Transactions!C570</f>
        <v/>
      </c>
      <c r="D570" s="3">
        <f>Raw_Transactions!D570</f>
        <v/>
      </c>
      <c r="E570" s="2">
        <f>Raw_Transactions!E570</f>
        <v/>
      </c>
      <c r="F570" s="2">
        <f>Raw_Transactions!F570</f>
        <v/>
      </c>
      <c r="G570" s="2">
        <f>Raw_Transactions!G570</f>
        <v/>
      </c>
      <c r="H570" s="2">
        <f>XLOOKUP(B570,Raw_Risk_Profiles!$A:$A,Raw_Risk_Profiles!$B:$B,"Not Found")</f>
        <v/>
      </c>
      <c r="I570" s="2">
        <f>XLOOKUP(B570,Raw_Risk_Profiles!$A:$A,Raw_Risk_Profiles!$C:$C,"Missing")</f>
        <v/>
      </c>
      <c r="J570" s="2">
        <f>XLOOKUP(B570,Raw_Risk_Profiles!$A:$A,Raw_Risk_Profiles!$D:$D,"")</f>
        <v/>
      </c>
      <c r="K570" s="2">
        <f>IFERROR(INDEX(Raw_Risk_Profiles!$E:$E,MATCH(B570,Raw_Risk_Profiles!$A:$A,0)),"Unknown")</f>
        <v/>
      </c>
      <c r="L570" s="2">
        <f>IFERROR(XLOOKUP(A570,Raw_Alerts!$B:$B,Raw_Alerts!$A:$A),"No Alert")</f>
        <v/>
      </c>
      <c r="M570" s="2">
        <f>IFERROR(XLOOKUP(A570,Raw_Alerts!$B:$B,Raw_Alerts!$C:$C),"")</f>
        <v/>
      </c>
      <c r="N570" s="2">
        <f>IFERROR(XLOOKUP(A570,Raw_Alerts!$B:$B,Raw_Alerts!$D:$D),"")</f>
        <v/>
      </c>
      <c r="O570" s="2">
        <f>IFERROR(XLOOKUP(A570,Raw_Alerts!$B:$B,Raw_Alerts!$F:$F),"")</f>
        <v/>
      </c>
      <c r="P570" s="2">
        <f>IF(H570="Not Found","CRITICAL: No Risk Profile",IF(I570="Missing","WARN: Missing KYC",IF(I570="Expired","WARN: KYC Expired",IF(I570="Pending","INFO: KYC Pending","OK"))))</f>
        <v/>
      </c>
    </row>
    <row r="571">
      <c r="A571" s="4">
        <f>Raw_Transactions!A571</f>
        <v/>
      </c>
      <c r="B571" s="4">
        <f>Raw_Transactions!B571</f>
        <v/>
      </c>
      <c r="C571" s="4">
        <f>Raw_Transactions!C571</f>
        <v/>
      </c>
      <c r="D571" s="5">
        <f>Raw_Transactions!D571</f>
        <v/>
      </c>
      <c r="E571" s="4">
        <f>Raw_Transactions!E571</f>
        <v/>
      </c>
      <c r="F571" s="4">
        <f>Raw_Transactions!F571</f>
        <v/>
      </c>
      <c r="G571" s="4">
        <f>Raw_Transactions!G571</f>
        <v/>
      </c>
      <c r="H571" s="4">
        <f>XLOOKUP(B571,Raw_Risk_Profiles!$A:$A,Raw_Risk_Profiles!$B:$B,"Not Found")</f>
        <v/>
      </c>
      <c r="I571" s="4">
        <f>XLOOKUP(B571,Raw_Risk_Profiles!$A:$A,Raw_Risk_Profiles!$C:$C,"Missing")</f>
        <v/>
      </c>
      <c r="J571" s="4">
        <f>XLOOKUP(B571,Raw_Risk_Profiles!$A:$A,Raw_Risk_Profiles!$D:$D,"")</f>
        <v/>
      </c>
      <c r="K571" s="4">
        <f>IFERROR(INDEX(Raw_Risk_Profiles!$E:$E,MATCH(B571,Raw_Risk_Profiles!$A:$A,0)),"Unknown")</f>
        <v/>
      </c>
      <c r="L571" s="4">
        <f>IFERROR(XLOOKUP(A571,Raw_Alerts!$B:$B,Raw_Alerts!$A:$A),"No Alert")</f>
        <v/>
      </c>
      <c r="M571" s="4">
        <f>IFERROR(XLOOKUP(A571,Raw_Alerts!$B:$B,Raw_Alerts!$C:$C),"")</f>
        <v/>
      </c>
      <c r="N571" s="4">
        <f>IFERROR(XLOOKUP(A571,Raw_Alerts!$B:$B,Raw_Alerts!$D:$D),"")</f>
        <v/>
      </c>
      <c r="O571" s="4">
        <f>IFERROR(XLOOKUP(A571,Raw_Alerts!$B:$B,Raw_Alerts!$F:$F),"")</f>
        <v/>
      </c>
      <c r="P571" s="4">
        <f>IF(H571="Not Found","CRITICAL: No Risk Profile",IF(I571="Missing","WARN: Missing KYC",IF(I571="Expired","WARN: KYC Expired",IF(I571="Pending","INFO: KYC Pending","OK"))))</f>
        <v/>
      </c>
    </row>
    <row r="572">
      <c r="A572" s="2">
        <f>Raw_Transactions!A572</f>
        <v/>
      </c>
      <c r="B572" s="2">
        <f>Raw_Transactions!B572</f>
        <v/>
      </c>
      <c r="C572" s="2">
        <f>Raw_Transactions!C572</f>
        <v/>
      </c>
      <c r="D572" s="3">
        <f>Raw_Transactions!D572</f>
        <v/>
      </c>
      <c r="E572" s="2">
        <f>Raw_Transactions!E572</f>
        <v/>
      </c>
      <c r="F572" s="2">
        <f>Raw_Transactions!F572</f>
        <v/>
      </c>
      <c r="G572" s="2">
        <f>Raw_Transactions!G572</f>
        <v/>
      </c>
      <c r="H572" s="2">
        <f>XLOOKUP(B572,Raw_Risk_Profiles!$A:$A,Raw_Risk_Profiles!$B:$B,"Not Found")</f>
        <v/>
      </c>
      <c r="I572" s="2">
        <f>XLOOKUP(B572,Raw_Risk_Profiles!$A:$A,Raw_Risk_Profiles!$C:$C,"Missing")</f>
        <v/>
      </c>
      <c r="J572" s="2">
        <f>XLOOKUP(B572,Raw_Risk_Profiles!$A:$A,Raw_Risk_Profiles!$D:$D,"")</f>
        <v/>
      </c>
      <c r="K572" s="2">
        <f>IFERROR(INDEX(Raw_Risk_Profiles!$E:$E,MATCH(B572,Raw_Risk_Profiles!$A:$A,0)),"Unknown")</f>
        <v/>
      </c>
      <c r="L572" s="2">
        <f>IFERROR(XLOOKUP(A572,Raw_Alerts!$B:$B,Raw_Alerts!$A:$A),"No Alert")</f>
        <v/>
      </c>
      <c r="M572" s="2">
        <f>IFERROR(XLOOKUP(A572,Raw_Alerts!$B:$B,Raw_Alerts!$C:$C),"")</f>
        <v/>
      </c>
      <c r="N572" s="2">
        <f>IFERROR(XLOOKUP(A572,Raw_Alerts!$B:$B,Raw_Alerts!$D:$D),"")</f>
        <v/>
      </c>
      <c r="O572" s="2">
        <f>IFERROR(XLOOKUP(A572,Raw_Alerts!$B:$B,Raw_Alerts!$F:$F),"")</f>
        <v/>
      </c>
      <c r="P572" s="2">
        <f>IF(H572="Not Found","CRITICAL: No Risk Profile",IF(I572="Missing","WARN: Missing KYC",IF(I572="Expired","WARN: KYC Expired",IF(I572="Pending","INFO: KYC Pending","OK"))))</f>
        <v/>
      </c>
    </row>
    <row r="573">
      <c r="A573" s="4">
        <f>Raw_Transactions!A573</f>
        <v/>
      </c>
      <c r="B573" s="4">
        <f>Raw_Transactions!B573</f>
        <v/>
      </c>
      <c r="C573" s="4">
        <f>Raw_Transactions!C573</f>
        <v/>
      </c>
      <c r="D573" s="5">
        <f>Raw_Transactions!D573</f>
        <v/>
      </c>
      <c r="E573" s="4">
        <f>Raw_Transactions!E573</f>
        <v/>
      </c>
      <c r="F573" s="4">
        <f>Raw_Transactions!F573</f>
        <v/>
      </c>
      <c r="G573" s="4">
        <f>Raw_Transactions!G573</f>
        <v/>
      </c>
      <c r="H573" s="4">
        <f>XLOOKUP(B573,Raw_Risk_Profiles!$A:$A,Raw_Risk_Profiles!$B:$B,"Not Found")</f>
        <v/>
      </c>
      <c r="I573" s="4">
        <f>XLOOKUP(B573,Raw_Risk_Profiles!$A:$A,Raw_Risk_Profiles!$C:$C,"Missing")</f>
        <v/>
      </c>
      <c r="J573" s="4">
        <f>XLOOKUP(B573,Raw_Risk_Profiles!$A:$A,Raw_Risk_Profiles!$D:$D,"")</f>
        <v/>
      </c>
      <c r="K573" s="4">
        <f>IFERROR(INDEX(Raw_Risk_Profiles!$E:$E,MATCH(B573,Raw_Risk_Profiles!$A:$A,0)),"Unknown")</f>
        <v/>
      </c>
      <c r="L573" s="4">
        <f>IFERROR(XLOOKUP(A573,Raw_Alerts!$B:$B,Raw_Alerts!$A:$A),"No Alert")</f>
        <v/>
      </c>
      <c r="M573" s="4">
        <f>IFERROR(XLOOKUP(A573,Raw_Alerts!$B:$B,Raw_Alerts!$C:$C),"")</f>
        <v/>
      </c>
      <c r="N573" s="4">
        <f>IFERROR(XLOOKUP(A573,Raw_Alerts!$B:$B,Raw_Alerts!$D:$D),"")</f>
        <v/>
      </c>
      <c r="O573" s="4">
        <f>IFERROR(XLOOKUP(A573,Raw_Alerts!$B:$B,Raw_Alerts!$F:$F),"")</f>
        <v/>
      </c>
      <c r="P573" s="4">
        <f>IF(H573="Not Found","CRITICAL: No Risk Profile",IF(I573="Missing","WARN: Missing KYC",IF(I573="Expired","WARN: KYC Expired",IF(I573="Pending","INFO: KYC Pending","OK"))))</f>
        <v/>
      </c>
    </row>
    <row r="574">
      <c r="A574" s="2">
        <f>Raw_Transactions!A574</f>
        <v/>
      </c>
      <c r="B574" s="2">
        <f>Raw_Transactions!B574</f>
        <v/>
      </c>
      <c r="C574" s="2">
        <f>Raw_Transactions!C574</f>
        <v/>
      </c>
      <c r="D574" s="3">
        <f>Raw_Transactions!D574</f>
        <v/>
      </c>
      <c r="E574" s="2">
        <f>Raw_Transactions!E574</f>
        <v/>
      </c>
      <c r="F574" s="2">
        <f>Raw_Transactions!F574</f>
        <v/>
      </c>
      <c r="G574" s="2">
        <f>Raw_Transactions!G574</f>
        <v/>
      </c>
      <c r="H574" s="2">
        <f>XLOOKUP(B574,Raw_Risk_Profiles!$A:$A,Raw_Risk_Profiles!$B:$B,"Not Found")</f>
        <v/>
      </c>
      <c r="I574" s="2">
        <f>XLOOKUP(B574,Raw_Risk_Profiles!$A:$A,Raw_Risk_Profiles!$C:$C,"Missing")</f>
        <v/>
      </c>
      <c r="J574" s="2">
        <f>XLOOKUP(B574,Raw_Risk_Profiles!$A:$A,Raw_Risk_Profiles!$D:$D,"")</f>
        <v/>
      </c>
      <c r="K574" s="2">
        <f>IFERROR(INDEX(Raw_Risk_Profiles!$E:$E,MATCH(B574,Raw_Risk_Profiles!$A:$A,0)),"Unknown")</f>
        <v/>
      </c>
      <c r="L574" s="2">
        <f>IFERROR(XLOOKUP(A574,Raw_Alerts!$B:$B,Raw_Alerts!$A:$A),"No Alert")</f>
        <v/>
      </c>
      <c r="M574" s="2">
        <f>IFERROR(XLOOKUP(A574,Raw_Alerts!$B:$B,Raw_Alerts!$C:$C),"")</f>
        <v/>
      </c>
      <c r="N574" s="2">
        <f>IFERROR(XLOOKUP(A574,Raw_Alerts!$B:$B,Raw_Alerts!$D:$D),"")</f>
        <v/>
      </c>
      <c r="O574" s="2">
        <f>IFERROR(XLOOKUP(A574,Raw_Alerts!$B:$B,Raw_Alerts!$F:$F),"")</f>
        <v/>
      </c>
      <c r="P574" s="2">
        <f>IF(H574="Not Found","CRITICAL: No Risk Profile",IF(I574="Missing","WARN: Missing KYC",IF(I574="Expired","WARN: KYC Expired",IF(I574="Pending","INFO: KYC Pending","OK"))))</f>
        <v/>
      </c>
    </row>
    <row r="575">
      <c r="A575" s="4">
        <f>Raw_Transactions!A575</f>
        <v/>
      </c>
      <c r="B575" s="4">
        <f>Raw_Transactions!B575</f>
        <v/>
      </c>
      <c r="C575" s="4">
        <f>Raw_Transactions!C575</f>
        <v/>
      </c>
      <c r="D575" s="5">
        <f>Raw_Transactions!D575</f>
        <v/>
      </c>
      <c r="E575" s="4">
        <f>Raw_Transactions!E575</f>
        <v/>
      </c>
      <c r="F575" s="4">
        <f>Raw_Transactions!F575</f>
        <v/>
      </c>
      <c r="G575" s="4">
        <f>Raw_Transactions!G575</f>
        <v/>
      </c>
      <c r="H575" s="4">
        <f>XLOOKUP(B575,Raw_Risk_Profiles!$A:$A,Raw_Risk_Profiles!$B:$B,"Not Found")</f>
        <v/>
      </c>
      <c r="I575" s="4">
        <f>XLOOKUP(B575,Raw_Risk_Profiles!$A:$A,Raw_Risk_Profiles!$C:$C,"Missing")</f>
        <v/>
      </c>
      <c r="J575" s="4">
        <f>XLOOKUP(B575,Raw_Risk_Profiles!$A:$A,Raw_Risk_Profiles!$D:$D,"")</f>
        <v/>
      </c>
      <c r="K575" s="4">
        <f>IFERROR(INDEX(Raw_Risk_Profiles!$E:$E,MATCH(B575,Raw_Risk_Profiles!$A:$A,0)),"Unknown")</f>
        <v/>
      </c>
      <c r="L575" s="4">
        <f>IFERROR(XLOOKUP(A575,Raw_Alerts!$B:$B,Raw_Alerts!$A:$A),"No Alert")</f>
        <v/>
      </c>
      <c r="M575" s="4">
        <f>IFERROR(XLOOKUP(A575,Raw_Alerts!$B:$B,Raw_Alerts!$C:$C),"")</f>
        <v/>
      </c>
      <c r="N575" s="4">
        <f>IFERROR(XLOOKUP(A575,Raw_Alerts!$B:$B,Raw_Alerts!$D:$D),"")</f>
        <v/>
      </c>
      <c r="O575" s="4">
        <f>IFERROR(XLOOKUP(A575,Raw_Alerts!$B:$B,Raw_Alerts!$F:$F),"")</f>
        <v/>
      </c>
      <c r="P575" s="4">
        <f>IF(H575="Not Found","CRITICAL: No Risk Profile",IF(I575="Missing","WARN: Missing KYC",IF(I575="Expired","WARN: KYC Expired",IF(I575="Pending","INFO: KYC Pending","OK"))))</f>
        <v/>
      </c>
    </row>
    <row r="576">
      <c r="A576" s="2">
        <f>Raw_Transactions!A576</f>
        <v/>
      </c>
      <c r="B576" s="2">
        <f>Raw_Transactions!B576</f>
        <v/>
      </c>
      <c r="C576" s="2">
        <f>Raw_Transactions!C576</f>
        <v/>
      </c>
      <c r="D576" s="3">
        <f>Raw_Transactions!D576</f>
        <v/>
      </c>
      <c r="E576" s="2">
        <f>Raw_Transactions!E576</f>
        <v/>
      </c>
      <c r="F576" s="2">
        <f>Raw_Transactions!F576</f>
        <v/>
      </c>
      <c r="G576" s="2">
        <f>Raw_Transactions!G576</f>
        <v/>
      </c>
      <c r="H576" s="2">
        <f>XLOOKUP(B576,Raw_Risk_Profiles!$A:$A,Raw_Risk_Profiles!$B:$B,"Not Found")</f>
        <v/>
      </c>
      <c r="I576" s="2">
        <f>XLOOKUP(B576,Raw_Risk_Profiles!$A:$A,Raw_Risk_Profiles!$C:$C,"Missing")</f>
        <v/>
      </c>
      <c r="J576" s="2">
        <f>XLOOKUP(B576,Raw_Risk_Profiles!$A:$A,Raw_Risk_Profiles!$D:$D,"")</f>
        <v/>
      </c>
      <c r="K576" s="2">
        <f>IFERROR(INDEX(Raw_Risk_Profiles!$E:$E,MATCH(B576,Raw_Risk_Profiles!$A:$A,0)),"Unknown")</f>
        <v/>
      </c>
      <c r="L576" s="2">
        <f>IFERROR(XLOOKUP(A576,Raw_Alerts!$B:$B,Raw_Alerts!$A:$A),"No Alert")</f>
        <v/>
      </c>
      <c r="M576" s="2">
        <f>IFERROR(XLOOKUP(A576,Raw_Alerts!$B:$B,Raw_Alerts!$C:$C),"")</f>
        <v/>
      </c>
      <c r="N576" s="2">
        <f>IFERROR(XLOOKUP(A576,Raw_Alerts!$B:$B,Raw_Alerts!$D:$D),"")</f>
        <v/>
      </c>
      <c r="O576" s="2">
        <f>IFERROR(XLOOKUP(A576,Raw_Alerts!$B:$B,Raw_Alerts!$F:$F),"")</f>
        <v/>
      </c>
      <c r="P576" s="2">
        <f>IF(H576="Not Found","CRITICAL: No Risk Profile",IF(I576="Missing","WARN: Missing KYC",IF(I576="Expired","WARN: KYC Expired",IF(I576="Pending","INFO: KYC Pending","OK"))))</f>
        <v/>
      </c>
    </row>
    <row r="577">
      <c r="A577" s="4">
        <f>Raw_Transactions!A577</f>
        <v/>
      </c>
      <c r="B577" s="4">
        <f>Raw_Transactions!B577</f>
        <v/>
      </c>
      <c r="C577" s="4">
        <f>Raw_Transactions!C577</f>
        <v/>
      </c>
      <c r="D577" s="5">
        <f>Raw_Transactions!D577</f>
        <v/>
      </c>
      <c r="E577" s="4">
        <f>Raw_Transactions!E577</f>
        <v/>
      </c>
      <c r="F577" s="4">
        <f>Raw_Transactions!F577</f>
        <v/>
      </c>
      <c r="G577" s="4">
        <f>Raw_Transactions!G577</f>
        <v/>
      </c>
      <c r="H577" s="4">
        <f>XLOOKUP(B577,Raw_Risk_Profiles!$A:$A,Raw_Risk_Profiles!$B:$B,"Not Found")</f>
        <v/>
      </c>
      <c r="I577" s="4">
        <f>XLOOKUP(B577,Raw_Risk_Profiles!$A:$A,Raw_Risk_Profiles!$C:$C,"Missing")</f>
        <v/>
      </c>
      <c r="J577" s="4">
        <f>XLOOKUP(B577,Raw_Risk_Profiles!$A:$A,Raw_Risk_Profiles!$D:$D,"")</f>
        <v/>
      </c>
      <c r="K577" s="4">
        <f>IFERROR(INDEX(Raw_Risk_Profiles!$E:$E,MATCH(B577,Raw_Risk_Profiles!$A:$A,0)),"Unknown")</f>
        <v/>
      </c>
      <c r="L577" s="4">
        <f>IFERROR(XLOOKUP(A577,Raw_Alerts!$B:$B,Raw_Alerts!$A:$A),"No Alert")</f>
        <v/>
      </c>
      <c r="M577" s="4">
        <f>IFERROR(XLOOKUP(A577,Raw_Alerts!$B:$B,Raw_Alerts!$C:$C),"")</f>
        <v/>
      </c>
      <c r="N577" s="4">
        <f>IFERROR(XLOOKUP(A577,Raw_Alerts!$B:$B,Raw_Alerts!$D:$D),"")</f>
        <v/>
      </c>
      <c r="O577" s="4">
        <f>IFERROR(XLOOKUP(A577,Raw_Alerts!$B:$B,Raw_Alerts!$F:$F),"")</f>
        <v/>
      </c>
      <c r="P577" s="4">
        <f>IF(H577="Not Found","CRITICAL: No Risk Profile",IF(I577="Missing","WARN: Missing KYC",IF(I577="Expired","WARN: KYC Expired",IF(I577="Pending","INFO: KYC Pending","OK"))))</f>
        <v/>
      </c>
    </row>
    <row r="578">
      <c r="A578" s="2">
        <f>Raw_Transactions!A578</f>
        <v/>
      </c>
      <c r="B578" s="2">
        <f>Raw_Transactions!B578</f>
        <v/>
      </c>
      <c r="C578" s="2">
        <f>Raw_Transactions!C578</f>
        <v/>
      </c>
      <c r="D578" s="3">
        <f>Raw_Transactions!D578</f>
        <v/>
      </c>
      <c r="E578" s="2">
        <f>Raw_Transactions!E578</f>
        <v/>
      </c>
      <c r="F578" s="2">
        <f>Raw_Transactions!F578</f>
        <v/>
      </c>
      <c r="G578" s="2">
        <f>Raw_Transactions!G578</f>
        <v/>
      </c>
      <c r="H578" s="2">
        <f>XLOOKUP(B578,Raw_Risk_Profiles!$A:$A,Raw_Risk_Profiles!$B:$B,"Not Found")</f>
        <v/>
      </c>
      <c r="I578" s="2">
        <f>XLOOKUP(B578,Raw_Risk_Profiles!$A:$A,Raw_Risk_Profiles!$C:$C,"Missing")</f>
        <v/>
      </c>
      <c r="J578" s="2">
        <f>XLOOKUP(B578,Raw_Risk_Profiles!$A:$A,Raw_Risk_Profiles!$D:$D,"")</f>
        <v/>
      </c>
      <c r="K578" s="2">
        <f>IFERROR(INDEX(Raw_Risk_Profiles!$E:$E,MATCH(B578,Raw_Risk_Profiles!$A:$A,0)),"Unknown")</f>
        <v/>
      </c>
      <c r="L578" s="2">
        <f>IFERROR(XLOOKUP(A578,Raw_Alerts!$B:$B,Raw_Alerts!$A:$A),"No Alert")</f>
        <v/>
      </c>
      <c r="M578" s="2">
        <f>IFERROR(XLOOKUP(A578,Raw_Alerts!$B:$B,Raw_Alerts!$C:$C),"")</f>
        <v/>
      </c>
      <c r="N578" s="2">
        <f>IFERROR(XLOOKUP(A578,Raw_Alerts!$B:$B,Raw_Alerts!$D:$D),"")</f>
        <v/>
      </c>
      <c r="O578" s="2">
        <f>IFERROR(XLOOKUP(A578,Raw_Alerts!$B:$B,Raw_Alerts!$F:$F),"")</f>
        <v/>
      </c>
      <c r="P578" s="2">
        <f>IF(H578="Not Found","CRITICAL: No Risk Profile",IF(I578="Missing","WARN: Missing KYC",IF(I578="Expired","WARN: KYC Expired",IF(I578="Pending","INFO: KYC Pending","OK"))))</f>
        <v/>
      </c>
    </row>
    <row r="579">
      <c r="A579" s="4">
        <f>Raw_Transactions!A579</f>
        <v/>
      </c>
      <c r="B579" s="4">
        <f>Raw_Transactions!B579</f>
        <v/>
      </c>
      <c r="C579" s="4">
        <f>Raw_Transactions!C579</f>
        <v/>
      </c>
      <c r="D579" s="5">
        <f>Raw_Transactions!D579</f>
        <v/>
      </c>
      <c r="E579" s="4">
        <f>Raw_Transactions!E579</f>
        <v/>
      </c>
      <c r="F579" s="4">
        <f>Raw_Transactions!F579</f>
        <v/>
      </c>
      <c r="G579" s="4">
        <f>Raw_Transactions!G579</f>
        <v/>
      </c>
      <c r="H579" s="4">
        <f>XLOOKUP(B579,Raw_Risk_Profiles!$A:$A,Raw_Risk_Profiles!$B:$B,"Not Found")</f>
        <v/>
      </c>
      <c r="I579" s="4">
        <f>XLOOKUP(B579,Raw_Risk_Profiles!$A:$A,Raw_Risk_Profiles!$C:$C,"Missing")</f>
        <v/>
      </c>
      <c r="J579" s="4">
        <f>XLOOKUP(B579,Raw_Risk_Profiles!$A:$A,Raw_Risk_Profiles!$D:$D,"")</f>
        <v/>
      </c>
      <c r="K579" s="4">
        <f>IFERROR(INDEX(Raw_Risk_Profiles!$E:$E,MATCH(B579,Raw_Risk_Profiles!$A:$A,0)),"Unknown")</f>
        <v/>
      </c>
      <c r="L579" s="4">
        <f>IFERROR(XLOOKUP(A579,Raw_Alerts!$B:$B,Raw_Alerts!$A:$A),"No Alert")</f>
        <v/>
      </c>
      <c r="M579" s="4">
        <f>IFERROR(XLOOKUP(A579,Raw_Alerts!$B:$B,Raw_Alerts!$C:$C),"")</f>
        <v/>
      </c>
      <c r="N579" s="4">
        <f>IFERROR(XLOOKUP(A579,Raw_Alerts!$B:$B,Raw_Alerts!$D:$D),"")</f>
        <v/>
      </c>
      <c r="O579" s="4">
        <f>IFERROR(XLOOKUP(A579,Raw_Alerts!$B:$B,Raw_Alerts!$F:$F),"")</f>
        <v/>
      </c>
      <c r="P579" s="4">
        <f>IF(H579="Not Found","CRITICAL: No Risk Profile",IF(I579="Missing","WARN: Missing KYC",IF(I579="Expired","WARN: KYC Expired",IF(I579="Pending","INFO: KYC Pending","OK"))))</f>
        <v/>
      </c>
    </row>
    <row r="580">
      <c r="A580" s="2">
        <f>Raw_Transactions!A580</f>
        <v/>
      </c>
      <c r="B580" s="2">
        <f>Raw_Transactions!B580</f>
        <v/>
      </c>
      <c r="C580" s="2">
        <f>Raw_Transactions!C580</f>
        <v/>
      </c>
      <c r="D580" s="3">
        <f>Raw_Transactions!D580</f>
        <v/>
      </c>
      <c r="E580" s="2">
        <f>Raw_Transactions!E580</f>
        <v/>
      </c>
      <c r="F580" s="2">
        <f>Raw_Transactions!F580</f>
        <v/>
      </c>
      <c r="G580" s="2">
        <f>Raw_Transactions!G580</f>
        <v/>
      </c>
      <c r="H580" s="2">
        <f>XLOOKUP(B580,Raw_Risk_Profiles!$A:$A,Raw_Risk_Profiles!$B:$B,"Not Found")</f>
        <v/>
      </c>
      <c r="I580" s="2">
        <f>XLOOKUP(B580,Raw_Risk_Profiles!$A:$A,Raw_Risk_Profiles!$C:$C,"Missing")</f>
        <v/>
      </c>
      <c r="J580" s="2">
        <f>XLOOKUP(B580,Raw_Risk_Profiles!$A:$A,Raw_Risk_Profiles!$D:$D,"")</f>
        <v/>
      </c>
      <c r="K580" s="2">
        <f>IFERROR(INDEX(Raw_Risk_Profiles!$E:$E,MATCH(B580,Raw_Risk_Profiles!$A:$A,0)),"Unknown")</f>
        <v/>
      </c>
      <c r="L580" s="2">
        <f>IFERROR(XLOOKUP(A580,Raw_Alerts!$B:$B,Raw_Alerts!$A:$A),"No Alert")</f>
        <v/>
      </c>
      <c r="M580" s="2">
        <f>IFERROR(XLOOKUP(A580,Raw_Alerts!$B:$B,Raw_Alerts!$C:$C),"")</f>
        <v/>
      </c>
      <c r="N580" s="2">
        <f>IFERROR(XLOOKUP(A580,Raw_Alerts!$B:$B,Raw_Alerts!$D:$D),"")</f>
        <v/>
      </c>
      <c r="O580" s="2">
        <f>IFERROR(XLOOKUP(A580,Raw_Alerts!$B:$B,Raw_Alerts!$F:$F),"")</f>
        <v/>
      </c>
      <c r="P580" s="2">
        <f>IF(H580="Not Found","CRITICAL: No Risk Profile",IF(I580="Missing","WARN: Missing KYC",IF(I580="Expired","WARN: KYC Expired",IF(I580="Pending","INFO: KYC Pending","OK"))))</f>
        <v/>
      </c>
    </row>
    <row r="581">
      <c r="A581" s="4">
        <f>Raw_Transactions!A581</f>
        <v/>
      </c>
      <c r="B581" s="4">
        <f>Raw_Transactions!B581</f>
        <v/>
      </c>
      <c r="C581" s="4">
        <f>Raw_Transactions!C581</f>
        <v/>
      </c>
      <c r="D581" s="5">
        <f>Raw_Transactions!D581</f>
        <v/>
      </c>
      <c r="E581" s="4">
        <f>Raw_Transactions!E581</f>
        <v/>
      </c>
      <c r="F581" s="4">
        <f>Raw_Transactions!F581</f>
        <v/>
      </c>
      <c r="G581" s="4">
        <f>Raw_Transactions!G581</f>
        <v/>
      </c>
      <c r="H581" s="4">
        <f>XLOOKUP(B581,Raw_Risk_Profiles!$A:$A,Raw_Risk_Profiles!$B:$B,"Not Found")</f>
        <v/>
      </c>
      <c r="I581" s="4">
        <f>XLOOKUP(B581,Raw_Risk_Profiles!$A:$A,Raw_Risk_Profiles!$C:$C,"Missing")</f>
        <v/>
      </c>
      <c r="J581" s="4">
        <f>XLOOKUP(B581,Raw_Risk_Profiles!$A:$A,Raw_Risk_Profiles!$D:$D,"")</f>
        <v/>
      </c>
      <c r="K581" s="4">
        <f>IFERROR(INDEX(Raw_Risk_Profiles!$E:$E,MATCH(B581,Raw_Risk_Profiles!$A:$A,0)),"Unknown")</f>
        <v/>
      </c>
      <c r="L581" s="4">
        <f>IFERROR(XLOOKUP(A581,Raw_Alerts!$B:$B,Raw_Alerts!$A:$A),"No Alert")</f>
        <v/>
      </c>
      <c r="M581" s="4">
        <f>IFERROR(XLOOKUP(A581,Raw_Alerts!$B:$B,Raw_Alerts!$C:$C),"")</f>
        <v/>
      </c>
      <c r="N581" s="4">
        <f>IFERROR(XLOOKUP(A581,Raw_Alerts!$B:$B,Raw_Alerts!$D:$D),"")</f>
        <v/>
      </c>
      <c r="O581" s="4">
        <f>IFERROR(XLOOKUP(A581,Raw_Alerts!$B:$B,Raw_Alerts!$F:$F),"")</f>
        <v/>
      </c>
      <c r="P581" s="4">
        <f>IF(H581="Not Found","CRITICAL: No Risk Profile",IF(I581="Missing","WARN: Missing KYC",IF(I581="Expired","WARN: KYC Expired",IF(I581="Pending","INFO: KYC Pending","OK"))))</f>
        <v/>
      </c>
    </row>
    <row r="582">
      <c r="A582" s="2">
        <f>Raw_Transactions!A582</f>
        <v/>
      </c>
      <c r="B582" s="2">
        <f>Raw_Transactions!B582</f>
        <v/>
      </c>
      <c r="C582" s="2">
        <f>Raw_Transactions!C582</f>
        <v/>
      </c>
      <c r="D582" s="3">
        <f>Raw_Transactions!D582</f>
        <v/>
      </c>
      <c r="E582" s="2">
        <f>Raw_Transactions!E582</f>
        <v/>
      </c>
      <c r="F582" s="2">
        <f>Raw_Transactions!F582</f>
        <v/>
      </c>
      <c r="G582" s="2">
        <f>Raw_Transactions!G582</f>
        <v/>
      </c>
      <c r="H582" s="2">
        <f>XLOOKUP(B582,Raw_Risk_Profiles!$A:$A,Raw_Risk_Profiles!$B:$B,"Not Found")</f>
        <v/>
      </c>
      <c r="I582" s="2">
        <f>XLOOKUP(B582,Raw_Risk_Profiles!$A:$A,Raw_Risk_Profiles!$C:$C,"Missing")</f>
        <v/>
      </c>
      <c r="J582" s="2">
        <f>XLOOKUP(B582,Raw_Risk_Profiles!$A:$A,Raw_Risk_Profiles!$D:$D,"")</f>
        <v/>
      </c>
      <c r="K582" s="2">
        <f>IFERROR(INDEX(Raw_Risk_Profiles!$E:$E,MATCH(B582,Raw_Risk_Profiles!$A:$A,0)),"Unknown")</f>
        <v/>
      </c>
      <c r="L582" s="2">
        <f>IFERROR(XLOOKUP(A582,Raw_Alerts!$B:$B,Raw_Alerts!$A:$A),"No Alert")</f>
        <v/>
      </c>
      <c r="M582" s="2">
        <f>IFERROR(XLOOKUP(A582,Raw_Alerts!$B:$B,Raw_Alerts!$C:$C),"")</f>
        <v/>
      </c>
      <c r="N582" s="2">
        <f>IFERROR(XLOOKUP(A582,Raw_Alerts!$B:$B,Raw_Alerts!$D:$D),"")</f>
        <v/>
      </c>
      <c r="O582" s="2">
        <f>IFERROR(XLOOKUP(A582,Raw_Alerts!$B:$B,Raw_Alerts!$F:$F),"")</f>
        <v/>
      </c>
      <c r="P582" s="2">
        <f>IF(H582="Not Found","CRITICAL: No Risk Profile",IF(I582="Missing","WARN: Missing KYC",IF(I582="Expired","WARN: KYC Expired",IF(I582="Pending","INFO: KYC Pending","OK"))))</f>
        <v/>
      </c>
    </row>
    <row r="583">
      <c r="A583" s="4">
        <f>Raw_Transactions!A583</f>
        <v/>
      </c>
      <c r="B583" s="4">
        <f>Raw_Transactions!B583</f>
        <v/>
      </c>
      <c r="C583" s="4">
        <f>Raw_Transactions!C583</f>
        <v/>
      </c>
      <c r="D583" s="5">
        <f>Raw_Transactions!D583</f>
        <v/>
      </c>
      <c r="E583" s="4">
        <f>Raw_Transactions!E583</f>
        <v/>
      </c>
      <c r="F583" s="4">
        <f>Raw_Transactions!F583</f>
        <v/>
      </c>
      <c r="G583" s="4">
        <f>Raw_Transactions!G583</f>
        <v/>
      </c>
      <c r="H583" s="4">
        <f>XLOOKUP(B583,Raw_Risk_Profiles!$A:$A,Raw_Risk_Profiles!$B:$B,"Not Found")</f>
        <v/>
      </c>
      <c r="I583" s="4">
        <f>XLOOKUP(B583,Raw_Risk_Profiles!$A:$A,Raw_Risk_Profiles!$C:$C,"Missing")</f>
        <v/>
      </c>
      <c r="J583" s="4">
        <f>XLOOKUP(B583,Raw_Risk_Profiles!$A:$A,Raw_Risk_Profiles!$D:$D,"")</f>
        <v/>
      </c>
      <c r="K583" s="4">
        <f>IFERROR(INDEX(Raw_Risk_Profiles!$E:$E,MATCH(B583,Raw_Risk_Profiles!$A:$A,0)),"Unknown")</f>
        <v/>
      </c>
      <c r="L583" s="4">
        <f>IFERROR(XLOOKUP(A583,Raw_Alerts!$B:$B,Raw_Alerts!$A:$A),"No Alert")</f>
        <v/>
      </c>
      <c r="M583" s="4">
        <f>IFERROR(XLOOKUP(A583,Raw_Alerts!$B:$B,Raw_Alerts!$C:$C),"")</f>
        <v/>
      </c>
      <c r="N583" s="4">
        <f>IFERROR(XLOOKUP(A583,Raw_Alerts!$B:$B,Raw_Alerts!$D:$D),"")</f>
        <v/>
      </c>
      <c r="O583" s="4">
        <f>IFERROR(XLOOKUP(A583,Raw_Alerts!$B:$B,Raw_Alerts!$F:$F),"")</f>
        <v/>
      </c>
      <c r="P583" s="4">
        <f>IF(H583="Not Found","CRITICAL: No Risk Profile",IF(I583="Missing","WARN: Missing KYC",IF(I583="Expired","WARN: KYC Expired",IF(I583="Pending","INFO: KYC Pending","OK"))))</f>
        <v/>
      </c>
    </row>
    <row r="584">
      <c r="A584" s="2">
        <f>Raw_Transactions!A584</f>
        <v/>
      </c>
      <c r="B584" s="2">
        <f>Raw_Transactions!B584</f>
        <v/>
      </c>
      <c r="C584" s="2">
        <f>Raw_Transactions!C584</f>
        <v/>
      </c>
      <c r="D584" s="3">
        <f>Raw_Transactions!D584</f>
        <v/>
      </c>
      <c r="E584" s="2">
        <f>Raw_Transactions!E584</f>
        <v/>
      </c>
      <c r="F584" s="2">
        <f>Raw_Transactions!F584</f>
        <v/>
      </c>
      <c r="G584" s="2">
        <f>Raw_Transactions!G584</f>
        <v/>
      </c>
      <c r="H584" s="2">
        <f>XLOOKUP(B584,Raw_Risk_Profiles!$A:$A,Raw_Risk_Profiles!$B:$B,"Not Found")</f>
        <v/>
      </c>
      <c r="I584" s="2">
        <f>XLOOKUP(B584,Raw_Risk_Profiles!$A:$A,Raw_Risk_Profiles!$C:$C,"Missing")</f>
        <v/>
      </c>
      <c r="J584" s="2">
        <f>XLOOKUP(B584,Raw_Risk_Profiles!$A:$A,Raw_Risk_Profiles!$D:$D,"")</f>
        <v/>
      </c>
      <c r="K584" s="2">
        <f>IFERROR(INDEX(Raw_Risk_Profiles!$E:$E,MATCH(B584,Raw_Risk_Profiles!$A:$A,0)),"Unknown")</f>
        <v/>
      </c>
      <c r="L584" s="2">
        <f>IFERROR(XLOOKUP(A584,Raw_Alerts!$B:$B,Raw_Alerts!$A:$A),"No Alert")</f>
        <v/>
      </c>
      <c r="M584" s="2">
        <f>IFERROR(XLOOKUP(A584,Raw_Alerts!$B:$B,Raw_Alerts!$C:$C),"")</f>
        <v/>
      </c>
      <c r="N584" s="2">
        <f>IFERROR(XLOOKUP(A584,Raw_Alerts!$B:$B,Raw_Alerts!$D:$D),"")</f>
        <v/>
      </c>
      <c r="O584" s="2">
        <f>IFERROR(XLOOKUP(A584,Raw_Alerts!$B:$B,Raw_Alerts!$F:$F),"")</f>
        <v/>
      </c>
      <c r="P584" s="2">
        <f>IF(H584="Not Found","CRITICAL: No Risk Profile",IF(I584="Missing","WARN: Missing KYC",IF(I584="Expired","WARN: KYC Expired",IF(I584="Pending","INFO: KYC Pending","OK"))))</f>
        <v/>
      </c>
    </row>
    <row r="585">
      <c r="A585" s="4">
        <f>Raw_Transactions!A585</f>
        <v/>
      </c>
      <c r="B585" s="4">
        <f>Raw_Transactions!B585</f>
        <v/>
      </c>
      <c r="C585" s="4">
        <f>Raw_Transactions!C585</f>
        <v/>
      </c>
      <c r="D585" s="5">
        <f>Raw_Transactions!D585</f>
        <v/>
      </c>
      <c r="E585" s="4">
        <f>Raw_Transactions!E585</f>
        <v/>
      </c>
      <c r="F585" s="4">
        <f>Raw_Transactions!F585</f>
        <v/>
      </c>
      <c r="G585" s="4">
        <f>Raw_Transactions!G585</f>
        <v/>
      </c>
      <c r="H585" s="4">
        <f>XLOOKUP(B585,Raw_Risk_Profiles!$A:$A,Raw_Risk_Profiles!$B:$B,"Not Found")</f>
        <v/>
      </c>
      <c r="I585" s="4">
        <f>XLOOKUP(B585,Raw_Risk_Profiles!$A:$A,Raw_Risk_Profiles!$C:$C,"Missing")</f>
        <v/>
      </c>
      <c r="J585" s="4">
        <f>XLOOKUP(B585,Raw_Risk_Profiles!$A:$A,Raw_Risk_Profiles!$D:$D,"")</f>
        <v/>
      </c>
      <c r="K585" s="4">
        <f>IFERROR(INDEX(Raw_Risk_Profiles!$E:$E,MATCH(B585,Raw_Risk_Profiles!$A:$A,0)),"Unknown")</f>
        <v/>
      </c>
      <c r="L585" s="4">
        <f>IFERROR(XLOOKUP(A585,Raw_Alerts!$B:$B,Raw_Alerts!$A:$A),"No Alert")</f>
        <v/>
      </c>
      <c r="M585" s="4">
        <f>IFERROR(XLOOKUP(A585,Raw_Alerts!$B:$B,Raw_Alerts!$C:$C),"")</f>
        <v/>
      </c>
      <c r="N585" s="4">
        <f>IFERROR(XLOOKUP(A585,Raw_Alerts!$B:$B,Raw_Alerts!$D:$D),"")</f>
        <v/>
      </c>
      <c r="O585" s="4">
        <f>IFERROR(XLOOKUP(A585,Raw_Alerts!$B:$B,Raw_Alerts!$F:$F),"")</f>
        <v/>
      </c>
      <c r="P585" s="4">
        <f>IF(H585="Not Found","CRITICAL: No Risk Profile",IF(I585="Missing","WARN: Missing KYC",IF(I585="Expired","WARN: KYC Expired",IF(I585="Pending","INFO: KYC Pending","OK"))))</f>
        <v/>
      </c>
    </row>
    <row r="586">
      <c r="A586" s="2">
        <f>Raw_Transactions!A586</f>
        <v/>
      </c>
      <c r="B586" s="2">
        <f>Raw_Transactions!B586</f>
        <v/>
      </c>
      <c r="C586" s="2">
        <f>Raw_Transactions!C586</f>
        <v/>
      </c>
      <c r="D586" s="3">
        <f>Raw_Transactions!D586</f>
        <v/>
      </c>
      <c r="E586" s="2">
        <f>Raw_Transactions!E586</f>
        <v/>
      </c>
      <c r="F586" s="2">
        <f>Raw_Transactions!F586</f>
        <v/>
      </c>
      <c r="G586" s="2">
        <f>Raw_Transactions!G586</f>
        <v/>
      </c>
      <c r="H586" s="2">
        <f>XLOOKUP(B586,Raw_Risk_Profiles!$A:$A,Raw_Risk_Profiles!$B:$B,"Not Found")</f>
        <v/>
      </c>
      <c r="I586" s="2">
        <f>XLOOKUP(B586,Raw_Risk_Profiles!$A:$A,Raw_Risk_Profiles!$C:$C,"Missing")</f>
        <v/>
      </c>
      <c r="J586" s="2">
        <f>XLOOKUP(B586,Raw_Risk_Profiles!$A:$A,Raw_Risk_Profiles!$D:$D,"")</f>
        <v/>
      </c>
      <c r="K586" s="2">
        <f>IFERROR(INDEX(Raw_Risk_Profiles!$E:$E,MATCH(B586,Raw_Risk_Profiles!$A:$A,0)),"Unknown")</f>
        <v/>
      </c>
      <c r="L586" s="2">
        <f>IFERROR(XLOOKUP(A586,Raw_Alerts!$B:$B,Raw_Alerts!$A:$A),"No Alert")</f>
        <v/>
      </c>
      <c r="M586" s="2">
        <f>IFERROR(XLOOKUP(A586,Raw_Alerts!$B:$B,Raw_Alerts!$C:$C),"")</f>
        <v/>
      </c>
      <c r="N586" s="2">
        <f>IFERROR(XLOOKUP(A586,Raw_Alerts!$B:$B,Raw_Alerts!$D:$D),"")</f>
        <v/>
      </c>
      <c r="O586" s="2">
        <f>IFERROR(XLOOKUP(A586,Raw_Alerts!$B:$B,Raw_Alerts!$F:$F),"")</f>
        <v/>
      </c>
      <c r="P586" s="2">
        <f>IF(H586="Not Found","CRITICAL: No Risk Profile",IF(I586="Missing","WARN: Missing KYC",IF(I586="Expired","WARN: KYC Expired",IF(I586="Pending","INFO: KYC Pending","OK"))))</f>
        <v/>
      </c>
    </row>
    <row r="587">
      <c r="A587" s="4">
        <f>Raw_Transactions!A587</f>
        <v/>
      </c>
      <c r="B587" s="4">
        <f>Raw_Transactions!B587</f>
        <v/>
      </c>
      <c r="C587" s="4">
        <f>Raw_Transactions!C587</f>
        <v/>
      </c>
      <c r="D587" s="5">
        <f>Raw_Transactions!D587</f>
        <v/>
      </c>
      <c r="E587" s="4">
        <f>Raw_Transactions!E587</f>
        <v/>
      </c>
      <c r="F587" s="4">
        <f>Raw_Transactions!F587</f>
        <v/>
      </c>
      <c r="G587" s="4">
        <f>Raw_Transactions!G587</f>
        <v/>
      </c>
      <c r="H587" s="4">
        <f>XLOOKUP(B587,Raw_Risk_Profiles!$A:$A,Raw_Risk_Profiles!$B:$B,"Not Found")</f>
        <v/>
      </c>
      <c r="I587" s="4">
        <f>XLOOKUP(B587,Raw_Risk_Profiles!$A:$A,Raw_Risk_Profiles!$C:$C,"Missing")</f>
        <v/>
      </c>
      <c r="J587" s="4">
        <f>XLOOKUP(B587,Raw_Risk_Profiles!$A:$A,Raw_Risk_Profiles!$D:$D,"")</f>
        <v/>
      </c>
      <c r="K587" s="4">
        <f>IFERROR(INDEX(Raw_Risk_Profiles!$E:$E,MATCH(B587,Raw_Risk_Profiles!$A:$A,0)),"Unknown")</f>
        <v/>
      </c>
      <c r="L587" s="4">
        <f>IFERROR(XLOOKUP(A587,Raw_Alerts!$B:$B,Raw_Alerts!$A:$A),"No Alert")</f>
        <v/>
      </c>
      <c r="M587" s="4">
        <f>IFERROR(XLOOKUP(A587,Raw_Alerts!$B:$B,Raw_Alerts!$C:$C),"")</f>
        <v/>
      </c>
      <c r="N587" s="4">
        <f>IFERROR(XLOOKUP(A587,Raw_Alerts!$B:$B,Raw_Alerts!$D:$D),"")</f>
        <v/>
      </c>
      <c r="O587" s="4">
        <f>IFERROR(XLOOKUP(A587,Raw_Alerts!$B:$B,Raw_Alerts!$F:$F),"")</f>
        <v/>
      </c>
      <c r="P587" s="4">
        <f>IF(H587="Not Found","CRITICAL: No Risk Profile",IF(I587="Missing","WARN: Missing KYC",IF(I587="Expired","WARN: KYC Expired",IF(I587="Pending","INFO: KYC Pending","OK"))))</f>
        <v/>
      </c>
    </row>
    <row r="588">
      <c r="A588" s="2">
        <f>Raw_Transactions!A588</f>
        <v/>
      </c>
      <c r="B588" s="2">
        <f>Raw_Transactions!B588</f>
        <v/>
      </c>
      <c r="C588" s="2">
        <f>Raw_Transactions!C588</f>
        <v/>
      </c>
      <c r="D588" s="3">
        <f>Raw_Transactions!D588</f>
        <v/>
      </c>
      <c r="E588" s="2">
        <f>Raw_Transactions!E588</f>
        <v/>
      </c>
      <c r="F588" s="2">
        <f>Raw_Transactions!F588</f>
        <v/>
      </c>
      <c r="G588" s="2">
        <f>Raw_Transactions!G588</f>
        <v/>
      </c>
      <c r="H588" s="2">
        <f>XLOOKUP(B588,Raw_Risk_Profiles!$A:$A,Raw_Risk_Profiles!$B:$B,"Not Found")</f>
        <v/>
      </c>
      <c r="I588" s="2">
        <f>XLOOKUP(B588,Raw_Risk_Profiles!$A:$A,Raw_Risk_Profiles!$C:$C,"Missing")</f>
        <v/>
      </c>
      <c r="J588" s="2">
        <f>XLOOKUP(B588,Raw_Risk_Profiles!$A:$A,Raw_Risk_Profiles!$D:$D,"")</f>
        <v/>
      </c>
      <c r="K588" s="2">
        <f>IFERROR(INDEX(Raw_Risk_Profiles!$E:$E,MATCH(B588,Raw_Risk_Profiles!$A:$A,0)),"Unknown")</f>
        <v/>
      </c>
      <c r="L588" s="2">
        <f>IFERROR(XLOOKUP(A588,Raw_Alerts!$B:$B,Raw_Alerts!$A:$A),"No Alert")</f>
        <v/>
      </c>
      <c r="M588" s="2">
        <f>IFERROR(XLOOKUP(A588,Raw_Alerts!$B:$B,Raw_Alerts!$C:$C),"")</f>
        <v/>
      </c>
      <c r="N588" s="2">
        <f>IFERROR(XLOOKUP(A588,Raw_Alerts!$B:$B,Raw_Alerts!$D:$D),"")</f>
        <v/>
      </c>
      <c r="O588" s="2">
        <f>IFERROR(XLOOKUP(A588,Raw_Alerts!$B:$B,Raw_Alerts!$F:$F),"")</f>
        <v/>
      </c>
      <c r="P588" s="2">
        <f>IF(H588="Not Found","CRITICAL: No Risk Profile",IF(I588="Missing","WARN: Missing KYC",IF(I588="Expired","WARN: KYC Expired",IF(I588="Pending","INFO: KYC Pending","OK"))))</f>
        <v/>
      </c>
    </row>
    <row r="589">
      <c r="A589" s="4">
        <f>Raw_Transactions!A589</f>
        <v/>
      </c>
      <c r="B589" s="4">
        <f>Raw_Transactions!B589</f>
        <v/>
      </c>
      <c r="C589" s="4">
        <f>Raw_Transactions!C589</f>
        <v/>
      </c>
      <c r="D589" s="5">
        <f>Raw_Transactions!D589</f>
        <v/>
      </c>
      <c r="E589" s="4">
        <f>Raw_Transactions!E589</f>
        <v/>
      </c>
      <c r="F589" s="4">
        <f>Raw_Transactions!F589</f>
        <v/>
      </c>
      <c r="G589" s="4">
        <f>Raw_Transactions!G589</f>
        <v/>
      </c>
      <c r="H589" s="4">
        <f>XLOOKUP(B589,Raw_Risk_Profiles!$A:$A,Raw_Risk_Profiles!$B:$B,"Not Found")</f>
        <v/>
      </c>
      <c r="I589" s="4">
        <f>XLOOKUP(B589,Raw_Risk_Profiles!$A:$A,Raw_Risk_Profiles!$C:$C,"Missing")</f>
        <v/>
      </c>
      <c r="J589" s="4">
        <f>XLOOKUP(B589,Raw_Risk_Profiles!$A:$A,Raw_Risk_Profiles!$D:$D,"")</f>
        <v/>
      </c>
      <c r="K589" s="4">
        <f>IFERROR(INDEX(Raw_Risk_Profiles!$E:$E,MATCH(B589,Raw_Risk_Profiles!$A:$A,0)),"Unknown")</f>
        <v/>
      </c>
      <c r="L589" s="4">
        <f>IFERROR(XLOOKUP(A589,Raw_Alerts!$B:$B,Raw_Alerts!$A:$A),"No Alert")</f>
        <v/>
      </c>
      <c r="M589" s="4">
        <f>IFERROR(XLOOKUP(A589,Raw_Alerts!$B:$B,Raw_Alerts!$C:$C),"")</f>
        <v/>
      </c>
      <c r="N589" s="4">
        <f>IFERROR(XLOOKUP(A589,Raw_Alerts!$B:$B,Raw_Alerts!$D:$D),"")</f>
        <v/>
      </c>
      <c r="O589" s="4">
        <f>IFERROR(XLOOKUP(A589,Raw_Alerts!$B:$B,Raw_Alerts!$F:$F),"")</f>
        <v/>
      </c>
      <c r="P589" s="4">
        <f>IF(H589="Not Found","CRITICAL: No Risk Profile",IF(I589="Missing","WARN: Missing KYC",IF(I589="Expired","WARN: KYC Expired",IF(I589="Pending","INFO: KYC Pending","OK"))))</f>
        <v/>
      </c>
    </row>
    <row r="590">
      <c r="A590" s="2">
        <f>Raw_Transactions!A590</f>
        <v/>
      </c>
      <c r="B590" s="2">
        <f>Raw_Transactions!B590</f>
        <v/>
      </c>
      <c r="C590" s="2">
        <f>Raw_Transactions!C590</f>
        <v/>
      </c>
      <c r="D590" s="3">
        <f>Raw_Transactions!D590</f>
        <v/>
      </c>
      <c r="E590" s="2">
        <f>Raw_Transactions!E590</f>
        <v/>
      </c>
      <c r="F590" s="2">
        <f>Raw_Transactions!F590</f>
        <v/>
      </c>
      <c r="G590" s="2">
        <f>Raw_Transactions!G590</f>
        <v/>
      </c>
      <c r="H590" s="2">
        <f>XLOOKUP(B590,Raw_Risk_Profiles!$A:$A,Raw_Risk_Profiles!$B:$B,"Not Found")</f>
        <v/>
      </c>
      <c r="I590" s="2">
        <f>XLOOKUP(B590,Raw_Risk_Profiles!$A:$A,Raw_Risk_Profiles!$C:$C,"Missing")</f>
        <v/>
      </c>
      <c r="J590" s="2">
        <f>XLOOKUP(B590,Raw_Risk_Profiles!$A:$A,Raw_Risk_Profiles!$D:$D,"")</f>
        <v/>
      </c>
      <c r="K590" s="2">
        <f>IFERROR(INDEX(Raw_Risk_Profiles!$E:$E,MATCH(B590,Raw_Risk_Profiles!$A:$A,0)),"Unknown")</f>
        <v/>
      </c>
      <c r="L590" s="2">
        <f>IFERROR(XLOOKUP(A590,Raw_Alerts!$B:$B,Raw_Alerts!$A:$A),"No Alert")</f>
        <v/>
      </c>
      <c r="M590" s="2">
        <f>IFERROR(XLOOKUP(A590,Raw_Alerts!$B:$B,Raw_Alerts!$C:$C),"")</f>
        <v/>
      </c>
      <c r="N590" s="2">
        <f>IFERROR(XLOOKUP(A590,Raw_Alerts!$B:$B,Raw_Alerts!$D:$D),"")</f>
        <v/>
      </c>
      <c r="O590" s="2">
        <f>IFERROR(XLOOKUP(A590,Raw_Alerts!$B:$B,Raw_Alerts!$F:$F),"")</f>
        <v/>
      </c>
      <c r="P590" s="2">
        <f>IF(H590="Not Found","CRITICAL: No Risk Profile",IF(I590="Missing","WARN: Missing KYC",IF(I590="Expired","WARN: KYC Expired",IF(I590="Pending","INFO: KYC Pending","OK"))))</f>
        <v/>
      </c>
    </row>
    <row r="591">
      <c r="A591" s="4">
        <f>Raw_Transactions!A591</f>
        <v/>
      </c>
      <c r="B591" s="4">
        <f>Raw_Transactions!B591</f>
        <v/>
      </c>
      <c r="C591" s="4">
        <f>Raw_Transactions!C591</f>
        <v/>
      </c>
      <c r="D591" s="5">
        <f>Raw_Transactions!D591</f>
        <v/>
      </c>
      <c r="E591" s="4">
        <f>Raw_Transactions!E591</f>
        <v/>
      </c>
      <c r="F591" s="4">
        <f>Raw_Transactions!F591</f>
        <v/>
      </c>
      <c r="G591" s="4">
        <f>Raw_Transactions!G591</f>
        <v/>
      </c>
      <c r="H591" s="4">
        <f>XLOOKUP(B591,Raw_Risk_Profiles!$A:$A,Raw_Risk_Profiles!$B:$B,"Not Found")</f>
        <v/>
      </c>
      <c r="I591" s="4">
        <f>XLOOKUP(B591,Raw_Risk_Profiles!$A:$A,Raw_Risk_Profiles!$C:$C,"Missing")</f>
        <v/>
      </c>
      <c r="J591" s="4">
        <f>XLOOKUP(B591,Raw_Risk_Profiles!$A:$A,Raw_Risk_Profiles!$D:$D,"")</f>
        <v/>
      </c>
      <c r="K591" s="4">
        <f>IFERROR(INDEX(Raw_Risk_Profiles!$E:$E,MATCH(B591,Raw_Risk_Profiles!$A:$A,0)),"Unknown")</f>
        <v/>
      </c>
      <c r="L591" s="4">
        <f>IFERROR(XLOOKUP(A591,Raw_Alerts!$B:$B,Raw_Alerts!$A:$A),"No Alert")</f>
        <v/>
      </c>
      <c r="M591" s="4">
        <f>IFERROR(XLOOKUP(A591,Raw_Alerts!$B:$B,Raw_Alerts!$C:$C),"")</f>
        <v/>
      </c>
      <c r="N591" s="4">
        <f>IFERROR(XLOOKUP(A591,Raw_Alerts!$B:$B,Raw_Alerts!$D:$D),"")</f>
        <v/>
      </c>
      <c r="O591" s="4">
        <f>IFERROR(XLOOKUP(A591,Raw_Alerts!$B:$B,Raw_Alerts!$F:$F),"")</f>
        <v/>
      </c>
      <c r="P591" s="4">
        <f>IF(H591="Not Found","CRITICAL: No Risk Profile",IF(I591="Missing","WARN: Missing KYC",IF(I591="Expired","WARN: KYC Expired",IF(I591="Pending","INFO: KYC Pending","OK"))))</f>
        <v/>
      </c>
    </row>
    <row r="592">
      <c r="A592" s="2">
        <f>Raw_Transactions!A592</f>
        <v/>
      </c>
      <c r="B592" s="2">
        <f>Raw_Transactions!B592</f>
        <v/>
      </c>
      <c r="C592" s="2">
        <f>Raw_Transactions!C592</f>
        <v/>
      </c>
      <c r="D592" s="3">
        <f>Raw_Transactions!D592</f>
        <v/>
      </c>
      <c r="E592" s="2">
        <f>Raw_Transactions!E592</f>
        <v/>
      </c>
      <c r="F592" s="2">
        <f>Raw_Transactions!F592</f>
        <v/>
      </c>
      <c r="G592" s="2">
        <f>Raw_Transactions!G592</f>
        <v/>
      </c>
      <c r="H592" s="2">
        <f>XLOOKUP(B592,Raw_Risk_Profiles!$A:$A,Raw_Risk_Profiles!$B:$B,"Not Found")</f>
        <v/>
      </c>
      <c r="I592" s="2">
        <f>XLOOKUP(B592,Raw_Risk_Profiles!$A:$A,Raw_Risk_Profiles!$C:$C,"Missing")</f>
        <v/>
      </c>
      <c r="J592" s="2">
        <f>XLOOKUP(B592,Raw_Risk_Profiles!$A:$A,Raw_Risk_Profiles!$D:$D,"")</f>
        <v/>
      </c>
      <c r="K592" s="2">
        <f>IFERROR(INDEX(Raw_Risk_Profiles!$E:$E,MATCH(B592,Raw_Risk_Profiles!$A:$A,0)),"Unknown")</f>
        <v/>
      </c>
      <c r="L592" s="2">
        <f>IFERROR(XLOOKUP(A592,Raw_Alerts!$B:$B,Raw_Alerts!$A:$A),"No Alert")</f>
        <v/>
      </c>
      <c r="M592" s="2">
        <f>IFERROR(XLOOKUP(A592,Raw_Alerts!$B:$B,Raw_Alerts!$C:$C),"")</f>
        <v/>
      </c>
      <c r="N592" s="2">
        <f>IFERROR(XLOOKUP(A592,Raw_Alerts!$B:$B,Raw_Alerts!$D:$D),"")</f>
        <v/>
      </c>
      <c r="O592" s="2">
        <f>IFERROR(XLOOKUP(A592,Raw_Alerts!$B:$B,Raw_Alerts!$F:$F),"")</f>
        <v/>
      </c>
      <c r="P592" s="2">
        <f>IF(H592="Not Found","CRITICAL: No Risk Profile",IF(I592="Missing","WARN: Missing KYC",IF(I592="Expired","WARN: KYC Expired",IF(I592="Pending","INFO: KYC Pending","OK"))))</f>
        <v/>
      </c>
    </row>
    <row r="593">
      <c r="A593" s="4">
        <f>Raw_Transactions!A593</f>
        <v/>
      </c>
      <c r="B593" s="4">
        <f>Raw_Transactions!B593</f>
        <v/>
      </c>
      <c r="C593" s="4">
        <f>Raw_Transactions!C593</f>
        <v/>
      </c>
      <c r="D593" s="5">
        <f>Raw_Transactions!D593</f>
        <v/>
      </c>
      <c r="E593" s="4">
        <f>Raw_Transactions!E593</f>
        <v/>
      </c>
      <c r="F593" s="4">
        <f>Raw_Transactions!F593</f>
        <v/>
      </c>
      <c r="G593" s="4">
        <f>Raw_Transactions!G593</f>
        <v/>
      </c>
      <c r="H593" s="4">
        <f>XLOOKUP(B593,Raw_Risk_Profiles!$A:$A,Raw_Risk_Profiles!$B:$B,"Not Found")</f>
        <v/>
      </c>
      <c r="I593" s="4">
        <f>XLOOKUP(B593,Raw_Risk_Profiles!$A:$A,Raw_Risk_Profiles!$C:$C,"Missing")</f>
        <v/>
      </c>
      <c r="J593" s="4">
        <f>XLOOKUP(B593,Raw_Risk_Profiles!$A:$A,Raw_Risk_Profiles!$D:$D,"")</f>
        <v/>
      </c>
      <c r="K593" s="4">
        <f>IFERROR(INDEX(Raw_Risk_Profiles!$E:$E,MATCH(B593,Raw_Risk_Profiles!$A:$A,0)),"Unknown")</f>
        <v/>
      </c>
      <c r="L593" s="4">
        <f>IFERROR(XLOOKUP(A593,Raw_Alerts!$B:$B,Raw_Alerts!$A:$A),"No Alert")</f>
        <v/>
      </c>
      <c r="M593" s="4">
        <f>IFERROR(XLOOKUP(A593,Raw_Alerts!$B:$B,Raw_Alerts!$C:$C),"")</f>
        <v/>
      </c>
      <c r="N593" s="4">
        <f>IFERROR(XLOOKUP(A593,Raw_Alerts!$B:$B,Raw_Alerts!$D:$D),"")</f>
        <v/>
      </c>
      <c r="O593" s="4">
        <f>IFERROR(XLOOKUP(A593,Raw_Alerts!$B:$B,Raw_Alerts!$F:$F),"")</f>
        <v/>
      </c>
      <c r="P593" s="4">
        <f>IF(H593="Not Found","CRITICAL: No Risk Profile",IF(I593="Missing","WARN: Missing KYC",IF(I593="Expired","WARN: KYC Expired",IF(I593="Pending","INFO: KYC Pending","OK"))))</f>
        <v/>
      </c>
    </row>
    <row r="594">
      <c r="A594" s="2">
        <f>Raw_Transactions!A594</f>
        <v/>
      </c>
      <c r="B594" s="2">
        <f>Raw_Transactions!B594</f>
        <v/>
      </c>
      <c r="C594" s="2">
        <f>Raw_Transactions!C594</f>
        <v/>
      </c>
      <c r="D594" s="3">
        <f>Raw_Transactions!D594</f>
        <v/>
      </c>
      <c r="E594" s="2">
        <f>Raw_Transactions!E594</f>
        <v/>
      </c>
      <c r="F594" s="2">
        <f>Raw_Transactions!F594</f>
        <v/>
      </c>
      <c r="G594" s="2">
        <f>Raw_Transactions!G594</f>
        <v/>
      </c>
      <c r="H594" s="2">
        <f>XLOOKUP(B594,Raw_Risk_Profiles!$A:$A,Raw_Risk_Profiles!$B:$B,"Not Found")</f>
        <v/>
      </c>
      <c r="I594" s="2">
        <f>XLOOKUP(B594,Raw_Risk_Profiles!$A:$A,Raw_Risk_Profiles!$C:$C,"Missing")</f>
        <v/>
      </c>
      <c r="J594" s="2">
        <f>XLOOKUP(B594,Raw_Risk_Profiles!$A:$A,Raw_Risk_Profiles!$D:$D,"")</f>
        <v/>
      </c>
      <c r="K594" s="2">
        <f>IFERROR(INDEX(Raw_Risk_Profiles!$E:$E,MATCH(B594,Raw_Risk_Profiles!$A:$A,0)),"Unknown")</f>
        <v/>
      </c>
      <c r="L594" s="2">
        <f>IFERROR(XLOOKUP(A594,Raw_Alerts!$B:$B,Raw_Alerts!$A:$A),"No Alert")</f>
        <v/>
      </c>
      <c r="M594" s="2">
        <f>IFERROR(XLOOKUP(A594,Raw_Alerts!$B:$B,Raw_Alerts!$C:$C),"")</f>
        <v/>
      </c>
      <c r="N594" s="2">
        <f>IFERROR(XLOOKUP(A594,Raw_Alerts!$B:$B,Raw_Alerts!$D:$D),"")</f>
        <v/>
      </c>
      <c r="O594" s="2">
        <f>IFERROR(XLOOKUP(A594,Raw_Alerts!$B:$B,Raw_Alerts!$F:$F),"")</f>
        <v/>
      </c>
      <c r="P594" s="2">
        <f>IF(H594="Not Found","CRITICAL: No Risk Profile",IF(I594="Missing","WARN: Missing KYC",IF(I594="Expired","WARN: KYC Expired",IF(I594="Pending","INFO: KYC Pending","OK"))))</f>
        <v/>
      </c>
    </row>
    <row r="595">
      <c r="A595" s="4">
        <f>Raw_Transactions!A595</f>
        <v/>
      </c>
      <c r="B595" s="4">
        <f>Raw_Transactions!B595</f>
        <v/>
      </c>
      <c r="C595" s="4">
        <f>Raw_Transactions!C595</f>
        <v/>
      </c>
      <c r="D595" s="5">
        <f>Raw_Transactions!D595</f>
        <v/>
      </c>
      <c r="E595" s="4">
        <f>Raw_Transactions!E595</f>
        <v/>
      </c>
      <c r="F595" s="4">
        <f>Raw_Transactions!F595</f>
        <v/>
      </c>
      <c r="G595" s="4">
        <f>Raw_Transactions!G595</f>
        <v/>
      </c>
      <c r="H595" s="4">
        <f>XLOOKUP(B595,Raw_Risk_Profiles!$A:$A,Raw_Risk_Profiles!$B:$B,"Not Found")</f>
        <v/>
      </c>
      <c r="I595" s="4">
        <f>XLOOKUP(B595,Raw_Risk_Profiles!$A:$A,Raw_Risk_Profiles!$C:$C,"Missing")</f>
        <v/>
      </c>
      <c r="J595" s="4">
        <f>XLOOKUP(B595,Raw_Risk_Profiles!$A:$A,Raw_Risk_Profiles!$D:$D,"")</f>
        <v/>
      </c>
      <c r="K595" s="4">
        <f>IFERROR(INDEX(Raw_Risk_Profiles!$E:$E,MATCH(B595,Raw_Risk_Profiles!$A:$A,0)),"Unknown")</f>
        <v/>
      </c>
      <c r="L595" s="4">
        <f>IFERROR(XLOOKUP(A595,Raw_Alerts!$B:$B,Raw_Alerts!$A:$A),"No Alert")</f>
        <v/>
      </c>
      <c r="M595" s="4">
        <f>IFERROR(XLOOKUP(A595,Raw_Alerts!$B:$B,Raw_Alerts!$C:$C),"")</f>
        <v/>
      </c>
      <c r="N595" s="4">
        <f>IFERROR(XLOOKUP(A595,Raw_Alerts!$B:$B,Raw_Alerts!$D:$D),"")</f>
        <v/>
      </c>
      <c r="O595" s="4">
        <f>IFERROR(XLOOKUP(A595,Raw_Alerts!$B:$B,Raw_Alerts!$F:$F),"")</f>
        <v/>
      </c>
      <c r="P595" s="4">
        <f>IF(H595="Not Found","CRITICAL: No Risk Profile",IF(I595="Missing","WARN: Missing KYC",IF(I595="Expired","WARN: KYC Expired",IF(I595="Pending","INFO: KYC Pending","OK"))))</f>
        <v/>
      </c>
    </row>
    <row r="596">
      <c r="A596" s="2">
        <f>Raw_Transactions!A596</f>
        <v/>
      </c>
      <c r="B596" s="2">
        <f>Raw_Transactions!B596</f>
        <v/>
      </c>
      <c r="C596" s="2">
        <f>Raw_Transactions!C596</f>
        <v/>
      </c>
      <c r="D596" s="3">
        <f>Raw_Transactions!D596</f>
        <v/>
      </c>
      <c r="E596" s="2">
        <f>Raw_Transactions!E596</f>
        <v/>
      </c>
      <c r="F596" s="2">
        <f>Raw_Transactions!F596</f>
        <v/>
      </c>
      <c r="G596" s="2">
        <f>Raw_Transactions!G596</f>
        <v/>
      </c>
      <c r="H596" s="2">
        <f>XLOOKUP(B596,Raw_Risk_Profiles!$A:$A,Raw_Risk_Profiles!$B:$B,"Not Found")</f>
        <v/>
      </c>
      <c r="I596" s="2">
        <f>XLOOKUP(B596,Raw_Risk_Profiles!$A:$A,Raw_Risk_Profiles!$C:$C,"Missing")</f>
        <v/>
      </c>
      <c r="J596" s="2">
        <f>XLOOKUP(B596,Raw_Risk_Profiles!$A:$A,Raw_Risk_Profiles!$D:$D,"")</f>
        <v/>
      </c>
      <c r="K596" s="2">
        <f>IFERROR(INDEX(Raw_Risk_Profiles!$E:$E,MATCH(B596,Raw_Risk_Profiles!$A:$A,0)),"Unknown")</f>
        <v/>
      </c>
      <c r="L596" s="2">
        <f>IFERROR(XLOOKUP(A596,Raw_Alerts!$B:$B,Raw_Alerts!$A:$A),"No Alert")</f>
        <v/>
      </c>
      <c r="M596" s="2">
        <f>IFERROR(XLOOKUP(A596,Raw_Alerts!$B:$B,Raw_Alerts!$C:$C),"")</f>
        <v/>
      </c>
      <c r="N596" s="2">
        <f>IFERROR(XLOOKUP(A596,Raw_Alerts!$B:$B,Raw_Alerts!$D:$D),"")</f>
        <v/>
      </c>
      <c r="O596" s="2">
        <f>IFERROR(XLOOKUP(A596,Raw_Alerts!$B:$B,Raw_Alerts!$F:$F),"")</f>
        <v/>
      </c>
      <c r="P596" s="2">
        <f>IF(H596="Not Found","CRITICAL: No Risk Profile",IF(I596="Missing","WARN: Missing KYC",IF(I596="Expired","WARN: KYC Expired",IF(I596="Pending","INFO: KYC Pending","OK"))))</f>
        <v/>
      </c>
    </row>
    <row r="597">
      <c r="A597" s="4">
        <f>Raw_Transactions!A597</f>
        <v/>
      </c>
      <c r="B597" s="4">
        <f>Raw_Transactions!B597</f>
        <v/>
      </c>
      <c r="C597" s="4">
        <f>Raw_Transactions!C597</f>
        <v/>
      </c>
      <c r="D597" s="5">
        <f>Raw_Transactions!D597</f>
        <v/>
      </c>
      <c r="E597" s="4">
        <f>Raw_Transactions!E597</f>
        <v/>
      </c>
      <c r="F597" s="4">
        <f>Raw_Transactions!F597</f>
        <v/>
      </c>
      <c r="G597" s="4">
        <f>Raw_Transactions!G597</f>
        <v/>
      </c>
      <c r="H597" s="4">
        <f>XLOOKUP(B597,Raw_Risk_Profiles!$A:$A,Raw_Risk_Profiles!$B:$B,"Not Found")</f>
        <v/>
      </c>
      <c r="I597" s="4">
        <f>XLOOKUP(B597,Raw_Risk_Profiles!$A:$A,Raw_Risk_Profiles!$C:$C,"Missing")</f>
        <v/>
      </c>
      <c r="J597" s="4">
        <f>XLOOKUP(B597,Raw_Risk_Profiles!$A:$A,Raw_Risk_Profiles!$D:$D,"")</f>
        <v/>
      </c>
      <c r="K597" s="4">
        <f>IFERROR(INDEX(Raw_Risk_Profiles!$E:$E,MATCH(B597,Raw_Risk_Profiles!$A:$A,0)),"Unknown")</f>
        <v/>
      </c>
      <c r="L597" s="4">
        <f>IFERROR(XLOOKUP(A597,Raw_Alerts!$B:$B,Raw_Alerts!$A:$A),"No Alert")</f>
        <v/>
      </c>
      <c r="M597" s="4">
        <f>IFERROR(XLOOKUP(A597,Raw_Alerts!$B:$B,Raw_Alerts!$C:$C),"")</f>
        <v/>
      </c>
      <c r="N597" s="4">
        <f>IFERROR(XLOOKUP(A597,Raw_Alerts!$B:$B,Raw_Alerts!$D:$D),"")</f>
        <v/>
      </c>
      <c r="O597" s="4">
        <f>IFERROR(XLOOKUP(A597,Raw_Alerts!$B:$B,Raw_Alerts!$F:$F),"")</f>
        <v/>
      </c>
      <c r="P597" s="4">
        <f>IF(H597="Not Found","CRITICAL: No Risk Profile",IF(I597="Missing","WARN: Missing KYC",IF(I597="Expired","WARN: KYC Expired",IF(I597="Pending","INFO: KYC Pending","OK"))))</f>
        <v/>
      </c>
    </row>
    <row r="598">
      <c r="A598" s="2">
        <f>Raw_Transactions!A598</f>
        <v/>
      </c>
      <c r="B598" s="2">
        <f>Raw_Transactions!B598</f>
        <v/>
      </c>
      <c r="C598" s="2">
        <f>Raw_Transactions!C598</f>
        <v/>
      </c>
      <c r="D598" s="3">
        <f>Raw_Transactions!D598</f>
        <v/>
      </c>
      <c r="E598" s="2">
        <f>Raw_Transactions!E598</f>
        <v/>
      </c>
      <c r="F598" s="2">
        <f>Raw_Transactions!F598</f>
        <v/>
      </c>
      <c r="G598" s="2">
        <f>Raw_Transactions!G598</f>
        <v/>
      </c>
      <c r="H598" s="2">
        <f>XLOOKUP(B598,Raw_Risk_Profiles!$A:$A,Raw_Risk_Profiles!$B:$B,"Not Found")</f>
        <v/>
      </c>
      <c r="I598" s="2">
        <f>XLOOKUP(B598,Raw_Risk_Profiles!$A:$A,Raw_Risk_Profiles!$C:$C,"Missing")</f>
        <v/>
      </c>
      <c r="J598" s="2">
        <f>XLOOKUP(B598,Raw_Risk_Profiles!$A:$A,Raw_Risk_Profiles!$D:$D,"")</f>
        <v/>
      </c>
      <c r="K598" s="2">
        <f>IFERROR(INDEX(Raw_Risk_Profiles!$E:$E,MATCH(B598,Raw_Risk_Profiles!$A:$A,0)),"Unknown")</f>
        <v/>
      </c>
      <c r="L598" s="2">
        <f>IFERROR(XLOOKUP(A598,Raw_Alerts!$B:$B,Raw_Alerts!$A:$A),"No Alert")</f>
        <v/>
      </c>
      <c r="M598" s="2">
        <f>IFERROR(XLOOKUP(A598,Raw_Alerts!$B:$B,Raw_Alerts!$C:$C),"")</f>
        <v/>
      </c>
      <c r="N598" s="2">
        <f>IFERROR(XLOOKUP(A598,Raw_Alerts!$B:$B,Raw_Alerts!$D:$D),"")</f>
        <v/>
      </c>
      <c r="O598" s="2">
        <f>IFERROR(XLOOKUP(A598,Raw_Alerts!$B:$B,Raw_Alerts!$F:$F),"")</f>
        <v/>
      </c>
      <c r="P598" s="2">
        <f>IF(H598="Not Found","CRITICAL: No Risk Profile",IF(I598="Missing","WARN: Missing KYC",IF(I598="Expired","WARN: KYC Expired",IF(I598="Pending","INFO: KYC Pending","OK"))))</f>
        <v/>
      </c>
    </row>
    <row r="599">
      <c r="A599" s="4">
        <f>Raw_Transactions!A599</f>
        <v/>
      </c>
      <c r="B599" s="4">
        <f>Raw_Transactions!B599</f>
        <v/>
      </c>
      <c r="C599" s="4">
        <f>Raw_Transactions!C599</f>
        <v/>
      </c>
      <c r="D599" s="5">
        <f>Raw_Transactions!D599</f>
        <v/>
      </c>
      <c r="E599" s="4">
        <f>Raw_Transactions!E599</f>
        <v/>
      </c>
      <c r="F599" s="4">
        <f>Raw_Transactions!F599</f>
        <v/>
      </c>
      <c r="G599" s="4">
        <f>Raw_Transactions!G599</f>
        <v/>
      </c>
      <c r="H599" s="4">
        <f>XLOOKUP(B599,Raw_Risk_Profiles!$A:$A,Raw_Risk_Profiles!$B:$B,"Not Found")</f>
        <v/>
      </c>
      <c r="I599" s="4">
        <f>XLOOKUP(B599,Raw_Risk_Profiles!$A:$A,Raw_Risk_Profiles!$C:$C,"Missing")</f>
        <v/>
      </c>
      <c r="J599" s="4">
        <f>XLOOKUP(B599,Raw_Risk_Profiles!$A:$A,Raw_Risk_Profiles!$D:$D,"")</f>
        <v/>
      </c>
      <c r="K599" s="4">
        <f>IFERROR(INDEX(Raw_Risk_Profiles!$E:$E,MATCH(B599,Raw_Risk_Profiles!$A:$A,0)),"Unknown")</f>
        <v/>
      </c>
      <c r="L599" s="4">
        <f>IFERROR(XLOOKUP(A599,Raw_Alerts!$B:$B,Raw_Alerts!$A:$A),"No Alert")</f>
        <v/>
      </c>
      <c r="M599" s="4">
        <f>IFERROR(XLOOKUP(A599,Raw_Alerts!$B:$B,Raw_Alerts!$C:$C),"")</f>
        <v/>
      </c>
      <c r="N599" s="4">
        <f>IFERROR(XLOOKUP(A599,Raw_Alerts!$B:$B,Raw_Alerts!$D:$D),"")</f>
        <v/>
      </c>
      <c r="O599" s="4">
        <f>IFERROR(XLOOKUP(A599,Raw_Alerts!$B:$B,Raw_Alerts!$F:$F),"")</f>
        <v/>
      </c>
      <c r="P599" s="4">
        <f>IF(H599="Not Found","CRITICAL: No Risk Profile",IF(I599="Missing","WARN: Missing KYC",IF(I599="Expired","WARN: KYC Expired",IF(I599="Pending","INFO: KYC Pending","OK"))))</f>
        <v/>
      </c>
    </row>
    <row r="600">
      <c r="A600" s="2">
        <f>Raw_Transactions!A600</f>
        <v/>
      </c>
      <c r="B600" s="2">
        <f>Raw_Transactions!B600</f>
        <v/>
      </c>
      <c r="C600" s="2">
        <f>Raw_Transactions!C600</f>
        <v/>
      </c>
      <c r="D600" s="3">
        <f>Raw_Transactions!D600</f>
        <v/>
      </c>
      <c r="E600" s="2">
        <f>Raw_Transactions!E600</f>
        <v/>
      </c>
      <c r="F600" s="2">
        <f>Raw_Transactions!F600</f>
        <v/>
      </c>
      <c r="G600" s="2">
        <f>Raw_Transactions!G600</f>
        <v/>
      </c>
      <c r="H600" s="2">
        <f>XLOOKUP(B600,Raw_Risk_Profiles!$A:$A,Raw_Risk_Profiles!$B:$B,"Not Found")</f>
        <v/>
      </c>
      <c r="I600" s="2">
        <f>XLOOKUP(B600,Raw_Risk_Profiles!$A:$A,Raw_Risk_Profiles!$C:$C,"Missing")</f>
        <v/>
      </c>
      <c r="J600" s="2">
        <f>XLOOKUP(B600,Raw_Risk_Profiles!$A:$A,Raw_Risk_Profiles!$D:$D,"")</f>
        <v/>
      </c>
      <c r="K600" s="2">
        <f>IFERROR(INDEX(Raw_Risk_Profiles!$E:$E,MATCH(B600,Raw_Risk_Profiles!$A:$A,0)),"Unknown")</f>
        <v/>
      </c>
      <c r="L600" s="2">
        <f>IFERROR(XLOOKUP(A600,Raw_Alerts!$B:$B,Raw_Alerts!$A:$A),"No Alert")</f>
        <v/>
      </c>
      <c r="M600" s="2">
        <f>IFERROR(XLOOKUP(A600,Raw_Alerts!$B:$B,Raw_Alerts!$C:$C),"")</f>
        <v/>
      </c>
      <c r="N600" s="2">
        <f>IFERROR(XLOOKUP(A600,Raw_Alerts!$B:$B,Raw_Alerts!$D:$D),"")</f>
        <v/>
      </c>
      <c r="O600" s="2">
        <f>IFERROR(XLOOKUP(A600,Raw_Alerts!$B:$B,Raw_Alerts!$F:$F),"")</f>
        <v/>
      </c>
      <c r="P600" s="2">
        <f>IF(H600="Not Found","CRITICAL: No Risk Profile",IF(I600="Missing","WARN: Missing KYC",IF(I600="Expired","WARN: KYC Expired",IF(I600="Pending","INFO: KYC Pending","OK"))))</f>
        <v/>
      </c>
    </row>
    <row r="601">
      <c r="A601" s="4">
        <f>Raw_Transactions!A601</f>
        <v/>
      </c>
      <c r="B601" s="4">
        <f>Raw_Transactions!B601</f>
        <v/>
      </c>
      <c r="C601" s="4">
        <f>Raw_Transactions!C601</f>
        <v/>
      </c>
      <c r="D601" s="5">
        <f>Raw_Transactions!D601</f>
        <v/>
      </c>
      <c r="E601" s="4">
        <f>Raw_Transactions!E601</f>
        <v/>
      </c>
      <c r="F601" s="4">
        <f>Raw_Transactions!F601</f>
        <v/>
      </c>
      <c r="G601" s="4">
        <f>Raw_Transactions!G601</f>
        <v/>
      </c>
      <c r="H601" s="4">
        <f>XLOOKUP(B601,Raw_Risk_Profiles!$A:$A,Raw_Risk_Profiles!$B:$B,"Not Found")</f>
        <v/>
      </c>
      <c r="I601" s="4">
        <f>XLOOKUP(B601,Raw_Risk_Profiles!$A:$A,Raw_Risk_Profiles!$C:$C,"Missing")</f>
        <v/>
      </c>
      <c r="J601" s="4">
        <f>XLOOKUP(B601,Raw_Risk_Profiles!$A:$A,Raw_Risk_Profiles!$D:$D,"")</f>
        <v/>
      </c>
      <c r="K601" s="4">
        <f>IFERROR(INDEX(Raw_Risk_Profiles!$E:$E,MATCH(B601,Raw_Risk_Profiles!$A:$A,0)),"Unknown")</f>
        <v/>
      </c>
      <c r="L601" s="4">
        <f>IFERROR(XLOOKUP(A601,Raw_Alerts!$B:$B,Raw_Alerts!$A:$A),"No Alert")</f>
        <v/>
      </c>
      <c r="M601" s="4">
        <f>IFERROR(XLOOKUP(A601,Raw_Alerts!$B:$B,Raw_Alerts!$C:$C),"")</f>
        <v/>
      </c>
      <c r="N601" s="4">
        <f>IFERROR(XLOOKUP(A601,Raw_Alerts!$B:$B,Raw_Alerts!$D:$D),"")</f>
        <v/>
      </c>
      <c r="O601" s="4">
        <f>IFERROR(XLOOKUP(A601,Raw_Alerts!$B:$B,Raw_Alerts!$F:$F),"")</f>
        <v/>
      </c>
      <c r="P601" s="4">
        <f>IF(H601="Not Found","CRITICAL: No Risk Profile",IF(I601="Missing","WARN: Missing KYC",IF(I601="Expired","WARN: KYC Expired",IF(I601="Pending","INFO: KYC Pending","OK"))))</f>
        <v/>
      </c>
    </row>
    <row r="602">
      <c r="A602" s="2">
        <f>Raw_Transactions!A602</f>
        <v/>
      </c>
      <c r="B602" s="2">
        <f>Raw_Transactions!B602</f>
        <v/>
      </c>
      <c r="C602" s="2">
        <f>Raw_Transactions!C602</f>
        <v/>
      </c>
      <c r="D602" s="3">
        <f>Raw_Transactions!D602</f>
        <v/>
      </c>
      <c r="E602" s="2">
        <f>Raw_Transactions!E602</f>
        <v/>
      </c>
      <c r="F602" s="2">
        <f>Raw_Transactions!F602</f>
        <v/>
      </c>
      <c r="G602" s="2">
        <f>Raw_Transactions!G602</f>
        <v/>
      </c>
      <c r="H602" s="2">
        <f>XLOOKUP(B602,Raw_Risk_Profiles!$A:$A,Raw_Risk_Profiles!$B:$B,"Not Found")</f>
        <v/>
      </c>
      <c r="I602" s="2">
        <f>XLOOKUP(B602,Raw_Risk_Profiles!$A:$A,Raw_Risk_Profiles!$C:$C,"Missing")</f>
        <v/>
      </c>
      <c r="J602" s="2">
        <f>XLOOKUP(B602,Raw_Risk_Profiles!$A:$A,Raw_Risk_Profiles!$D:$D,"")</f>
        <v/>
      </c>
      <c r="K602" s="2">
        <f>IFERROR(INDEX(Raw_Risk_Profiles!$E:$E,MATCH(B602,Raw_Risk_Profiles!$A:$A,0)),"Unknown")</f>
        <v/>
      </c>
      <c r="L602" s="2">
        <f>IFERROR(XLOOKUP(A602,Raw_Alerts!$B:$B,Raw_Alerts!$A:$A),"No Alert")</f>
        <v/>
      </c>
      <c r="M602" s="2">
        <f>IFERROR(XLOOKUP(A602,Raw_Alerts!$B:$B,Raw_Alerts!$C:$C),"")</f>
        <v/>
      </c>
      <c r="N602" s="2">
        <f>IFERROR(XLOOKUP(A602,Raw_Alerts!$B:$B,Raw_Alerts!$D:$D),"")</f>
        <v/>
      </c>
      <c r="O602" s="2">
        <f>IFERROR(XLOOKUP(A602,Raw_Alerts!$B:$B,Raw_Alerts!$F:$F),"")</f>
        <v/>
      </c>
      <c r="P602" s="2">
        <f>IF(H602="Not Found","CRITICAL: No Risk Profile",IF(I602="Missing","WARN: Missing KYC",IF(I602="Expired","WARN: KYC Expired",IF(I602="Pending","INFO: KYC Pending","OK"))))</f>
        <v/>
      </c>
    </row>
    <row r="603">
      <c r="A603" s="4">
        <f>Raw_Transactions!A603</f>
        <v/>
      </c>
      <c r="B603" s="4">
        <f>Raw_Transactions!B603</f>
        <v/>
      </c>
      <c r="C603" s="4">
        <f>Raw_Transactions!C603</f>
        <v/>
      </c>
      <c r="D603" s="5">
        <f>Raw_Transactions!D603</f>
        <v/>
      </c>
      <c r="E603" s="4">
        <f>Raw_Transactions!E603</f>
        <v/>
      </c>
      <c r="F603" s="4">
        <f>Raw_Transactions!F603</f>
        <v/>
      </c>
      <c r="G603" s="4">
        <f>Raw_Transactions!G603</f>
        <v/>
      </c>
      <c r="H603" s="4">
        <f>XLOOKUP(B603,Raw_Risk_Profiles!$A:$A,Raw_Risk_Profiles!$B:$B,"Not Found")</f>
        <v/>
      </c>
      <c r="I603" s="4">
        <f>XLOOKUP(B603,Raw_Risk_Profiles!$A:$A,Raw_Risk_Profiles!$C:$C,"Missing")</f>
        <v/>
      </c>
      <c r="J603" s="4">
        <f>XLOOKUP(B603,Raw_Risk_Profiles!$A:$A,Raw_Risk_Profiles!$D:$D,"")</f>
        <v/>
      </c>
      <c r="K603" s="4">
        <f>IFERROR(INDEX(Raw_Risk_Profiles!$E:$E,MATCH(B603,Raw_Risk_Profiles!$A:$A,0)),"Unknown")</f>
        <v/>
      </c>
      <c r="L603" s="4">
        <f>IFERROR(XLOOKUP(A603,Raw_Alerts!$B:$B,Raw_Alerts!$A:$A),"No Alert")</f>
        <v/>
      </c>
      <c r="M603" s="4">
        <f>IFERROR(XLOOKUP(A603,Raw_Alerts!$B:$B,Raw_Alerts!$C:$C),"")</f>
        <v/>
      </c>
      <c r="N603" s="4">
        <f>IFERROR(XLOOKUP(A603,Raw_Alerts!$B:$B,Raw_Alerts!$D:$D),"")</f>
        <v/>
      </c>
      <c r="O603" s="4">
        <f>IFERROR(XLOOKUP(A603,Raw_Alerts!$B:$B,Raw_Alerts!$F:$F),"")</f>
        <v/>
      </c>
      <c r="P603" s="4">
        <f>IF(H603="Not Found","CRITICAL: No Risk Profile",IF(I603="Missing","WARN: Missing KYC",IF(I603="Expired","WARN: KYC Expired",IF(I603="Pending","INFO: KYC Pending","OK"))))</f>
        <v/>
      </c>
    </row>
    <row r="604">
      <c r="A604" s="2">
        <f>Raw_Transactions!A604</f>
        <v/>
      </c>
      <c r="B604" s="2">
        <f>Raw_Transactions!B604</f>
        <v/>
      </c>
      <c r="C604" s="2">
        <f>Raw_Transactions!C604</f>
        <v/>
      </c>
      <c r="D604" s="3">
        <f>Raw_Transactions!D604</f>
        <v/>
      </c>
      <c r="E604" s="2">
        <f>Raw_Transactions!E604</f>
        <v/>
      </c>
      <c r="F604" s="2">
        <f>Raw_Transactions!F604</f>
        <v/>
      </c>
      <c r="G604" s="2">
        <f>Raw_Transactions!G604</f>
        <v/>
      </c>
      <c r="H604" s="2">
        <f>XLOOKUP(B604,Raw_Risk_Profiles!$A:$A,Raw_Risk_Profiles!$B:$B,"Not Found")</f>
        <v/>
      </c>
      <c r="I604" s="2">
        <f>XLOOKUP(B604,Raw_Risk_Profiles!$A:$A,Raw_Risk_Profiles!$C:$C,"Missing")</f>
        <v/>
      </c>
      <c r="J604" s="2">
        <f>XLOOKUP(B604,Raw_Risk_Profiles!$A:$A,Raw_Risk_Profiles!$D:$D,"")</f>
        <v/>
      </c>
      <c r="K604" s="2">
        <f>IFERROR(INDEX(Raw_Risk_Profiles!$E:$E,MATCH(B604,Raw_Risk_Profiles!$A:$A,0)),"Unknown")</f>
        <v/>
      </c>
      <c r="L604" s="2">
        <f>IFERROR(XLOOKUP(A604,Raw_Alerts!$B:$B,Raw_Alerts!$A:$A),"No Alert")</f>
        <v/>
      </c>
      <c r="M604" s="2">
        <f>IFERROR(XLOOKUP(A604,Raw_Alerts!$B:$B,Raw_Alerts!$C:$C),"")</f>
        <v/>
      </c>
      <c r="N604" s="2">
        <f>IFERROR(XLOOKUP(A604,Raw_Alerts!$B:$B,Raw_Alerts!$D:$D),"")</f>
        <v/>
      </c>
      <c r="O604" s="2">
        <f>IFERROR(XLOOKUP(A604,Raw_Alerts!$B:$B,Raw_Alerts!$F:$F),"")</f>
        <v/>
      </c>
      <c r="P604" s="2">
        <f>IF(H604="Not Found","CRITICAL: No Risk Profile",IF(I604="Missing","WARN: Missing KYC",IF(I604="Expired","WARN: KYC Expired",IF(I604="Pending","INFO: KYC Pending","OK"))))</f>
        <v/>
      </c>
    </row>
    <row r="605">
      <c r="A605" s="4">
        <f>Raw_Transactions!A605</f>
        <v/>
      </c>
      <c r="B605" s="4">
        <f>Raw_Transactions!B605</f>
        <v/>
      </c>
      <c r="C605" s="4">
        <f>Raw_Transactions!C605</f>
        <v/>
      </c>
      <c r="D605" s="5">
        <f>Raw_Transactions!D605</f>
        <v/>
      </c>
      <c r="E605" s="4">
        <f>Raw_Transactions!E605</f>
        <v/>
      </c>
      <c r="F605" s="4">
        <f>Raw_Transactions!F605</f>
        <v/>
      </c>
      <c r="G605" s="4">
        <f>Raw_Transactions!G605</f>
        <v/>
      </c>
      <c r="H605" s="4">
        <f>XLOOKUP(B605,Raw_Risk_Profiles!$A:$A,Raw_Risk_Profiles!$B:$B,"Not Found")</f>
        <v/>
      </c>
      <c r="I605" s="4">
        <f>XLOOKUP(B605,Raw_Risk_Profiles!$A:$A,Raw_Risk_Profiles!$C:$C,"Missing")</f>
        <v/>
      </c>
      <c r="J605" s="4">
        <f>XLOOKUP(B605,Raw_Risk_Profiles!$A:$A,Raw_Risk_Profiles!$D:$D,"")</f>
        <v/>
      </c>
      <c r="K605" s="4">
        <f>IFERROR(INDEX(Raw_Risk_Profiles!$E:$E,MATCH(B605,Raw_Risk_Profiles!$A:$A,0)),"Unknown")</f>
        <v/>
      </c>
      <c r="L605" s="4">
        <f>IFERROR(XLOOKUP(A605,Raw_Alerts!$B:$B,Raw_Alerts!$A:$A),"No Alert")</f>
        <v/>
      </c>
      <c r="M605" s="4">
        <f>IFERROR(XLOOKUP(A605,Raw_Alerts!$B:$B,Raw_Alerts!$C:$C),"")</f>
        <v/>
      </c>
      <c r="N605" s="4">
        <f>IFERROR(XLOOKUP(A605,Raw_Alerts!$B:$B,Raw_Alerts!$D:$D),"")</f>
        <v/>
      </c>
      <c r="O605" s="4">
        <f>IFERROR(XLOOKUP(A605,Raw_Alerts!$B:$B,Raw_Alerts!$F:$F),"")</f>
        <v/>
      </c>
      <c r="P605" s="4">
        <f>IF(H605="Not Found","CRITICAL: No Risk Profile",IF(I605="Missing","WARN: Missing KYC",IF(I605="Expired","WARN: KYC Expired",IF(I605="Pending","INFO: KYC Pending","OK"))))</f>
        <v/>
      </c>
    </row>
    <row r="606">
      <c r="A606" s="2">
        <f>Raw_Transactions!A606</f>
        <v/>
      </c>
      <c r="B606" s="2">
        <f>Raw_Transactions!B606</f>
        <v/>
      </c>
      <c r="C606" s="2">
        <f>Raw_Transactions!C606</f>
        <v/>
      </c>
      <c r="D606" s="3">
        <f>Raw_Transactions!D606</f>
        <v/>
      </c>
      <c r="E606" s="2">
        <f>Raw_Transactions!E606</f>
        <v/>
      </c>
      <c r="F606" s="2">
        <f>Raw_Transactions!F606</f>
        <v/>
      </c>
      <c r="G606" s="2">
        <f>Raw_Transactions!G606</f>
        <v/>
      </c>
      <c r="H606" s="2">
        <f>XLOOKUP(B606,Raw_Risk_Profiles!$A:$A,Raw_Risk_Profiles!$B:$B,"Not Found")</f>
        <v/>
      </c>
      <c r="I606" s="2">
        <f>XLOOKUP(B606,Raw_Risk_Profiles!$A:$A,Raw_Risk_Profiles!$C:$C,"Missing")</f>
        <v/>
      </c>
      <c r="J606" s="2">
        <f>XLOOKUP(B606,Raw_Risk_Profiles!$A:$A,Raw_Risk_Profiles!$D:$D,"")</f>
        <v/>
      </c>
      <c r="K606" s="2">
        <f>IFERROR(INDEX(Raw_Risk_Profiles!$E:$E,MATCH(B606,Raw_Risk_Profiles!$A:$A,0)),"Unknown")</f>
        <v/>
      </c>
      <c r="L606" s="2">
        <f>IFERROR(XLOOKUP(A606,Raw_Alerts!$B:$B,Raw_Alerts!$A:$A),"No Alert")</f>
        <v/>
      </c>
      <c r="M606" s="2">
        <f>IFERROR(XLOOKUP(A606,Raw_Alerts!$B:$B,Raw_Alerts!$C:$C),"")</f>
        <v/>
      </c>
      <c r="N606" s="2">
        <f>IFERROR(XLOOKUP(A606,Raw_Alerts!$B:$B,Raw_Alerts!$D:$D),"")</f>
        <v/>
      </c>
      <c r="O606" s="2">
        <f>IFERROR(XLOOKUP(A606,Raw_Alerts!$B:$B,Raw_Alerts!$F:$F),"")</f>
        <v/>
      </c>
      <c r="P606" s="2">
        <f>IF(H606="Not Found","CRITICAL: No Risk Profile",IF(I606="Missing","WARN: Missing KYC",IF(I606="Expired","WARN: KYC Expired",IF(I606="Pending","INFO: KYC Pending","OK"))))</f>
        <v/>
      </c>
    </row>
    <row r="607">
      <c r="A607" s="4">
        <f>Raw_Transactions!A607</f>
        <v/>
      </c>
      <c r="B607" s="4">
        <f>Raw_Transactions!B607</f>
        <v/>
      </c>
      <c r="C607" s="4">
        <f>Raw_Transactions!C607</f>
        <v/>
      </c>
      <c r="D607" s="5">
        <f>Raw_Transactions!D607</f>
        <v/>
      </c>
      <c r="E607" s="4">
        <f>Raw_Transactions!E607</f>
        <v/>
      </c>
      <c r="F607" s="4">
        <f>Raw_Transactions!F607</f>
        <v/>
      </c>
      <c r="G607" s="4">
        <f>Raw_Transactions!G607</f>
        <v/>
      </c>
      <c r="H607" s="4">
        <f>XLOOKUP(B607,Raw_Risk_Profiles!$A:$A,Raw_Risk_Profiles!$B:$B,"Not Found")</f>
        <v/>
      </c>
      <c r="I607" s="4">
        <f>XLOOKUP(B607,Raw_Risk_Profiles!$A:$A,Raw_Risk_Profiles!$C:$C,"Missing")</f>
        <v/>
      </c>
      <c r="J607" s="4">
        <f>XLOOKUP(B607,Raw_Risk_Profiles!$A:$A,Raw_Risk_Profiles!$D:$D,"")</f>
        <v/>
      </c>
      <c r="K607" s="4">
        <f>IFERROR(INDEX(Raw_Risk_Profiles!$E:$E,MATCH(B607,Raw_Risk_Profiles!$A:$A,0)),"Unknown")</f>
        <v/>
      </c>
      <c r="L607" s="4">
        <f>IFERROR(XLOOKUP(A607,Raw_Alerts!$B:$B,Raw_Alerts!$A:$A),"No Alert")</f>
        <v/>
      </c>
      <c r="M607" s="4">
        <f>IFERROR(XLOOKUP(A607,Raw_Alerts!$B:$B,Raw_Alerts!$C:$C),"")</f>
        <v/>
      </c>
      <c r="N607" s="4">
        <f>IFERROR(XLOOKUP(A607,Raw_Alerts!$B:$B,Raw_Alerts!$D:$D),"")</f>
        <v/>
      </c>
      <c r="O607" s="4">
        <f>IFERROR(XLOOKUP(A607,Raw_Alerts!$B:$B,Raw_Alerts!$F:$F),"")</f>
        <v/>
      </c>
      <c r="P607" s="4">
        <f>IF(H607="Not Found","CRITICAL: No Risk Profile",IF(I607="Missing","WARN: Missing KYC",IF(I607="Expired","WARN: KYC Expired",IF(I607="Pending","INFO: KYC Pending","OK"))))</f>
        <v/>
      </c>
    </row>
    <row r="608">
      <c r="A608" s="2">
        <f>Raw_Transactions!A608</f>
        <v/>
      </c>
      <c r="B608" s="2">
        <f>Raw_Transactions!B608</f>
        <v/>
      </c>
      <c r="C608" s="2">
        <f>Raw_Transactions!C608</f>
        <v/>
      </c>
      <c r="D608" s="3">
        <f>Raw_Transactions!D608</f>
        <v/>
      </c>
      <c r="E608" s="2">
        <f>Raw_Transactions!E608</f>
        <v/>
      </c>
      <c r="F608" s="2">
        <f>Raw_Transactions!F608</f>
        <v/>
      </c>
      <c r="G608" s="2">
        <f>Raw_Transactions!G608</f>
        <v/>
      </c>
      <c r="H608" s="2">
        <f>XLOOKUP(B608,Raw_Risk_Profiles!$A:$A,Raw_Risk_Profiles!$B:$B,"Not Found")</f>
        <v/>
      </c>
      <c r="I608" s="2">
        <f>XLOOKUP(B608,Raw_Risk_Profiles!$A:$A,Raw_Risk_Profiles!$C:$C,"Missing")</f>
        <v/>
      </c>
      <c r="J608" s="2">
        <f>XLOOKUP(B608,Raw_Risk_Profiles!$A:$A,Raw_Risk_Profiles!$D:$D,"")</f>
        <v/>
      </c>
      <c r="K608" s="2">
        <f>IFERROR(INDEX(Raw_Risk_Profiles!$E:$E,MATCH(B608,Raw_Risk_Profiles!$A:$A,0)),"Unknown")</f>
        <v/>
      </c>
      <c r="L608" s="2">
        <f>IFERROR(XLOOKUP(A608,Raw_Alerts!$B:$B,Raw_Alerts!$A:$A),"No Alert")</f>
        <v/>
      </c>
      <c r="M608" s="2">
        <f>IFERROR(XLOOKUP(A608,Raw_Alerts!$B:$B,Raw_Alerts!$C:$C),"")</f>
        <v/>
      </c>
      <c r="N608" s="2">
        <f>IFERROR(XLOOKUP(A608,Raw_Alerts!$B:$B,Raw_Alerts!$D:$D),"")</f>
        <v/>
      </c>
      <c r="O608" s="2">
        <f>IFERROR(XLOOKUP(A608,Raw_Alerts!$B:$B,Raw_Alerts!$F:$F),"")</f>
        <v/>
      </c>
      <c r="P608" s="2">
        <f>IF(H608="Not Found","CRITICAL: No Risk Profile",IF(I608="Missing","WARN: Missing KYC",IF(I608="Expired","WARN: KYC Expired",IF(I608="Pending","INFO: KYC Pending","OK"))))</f>
        <v/>
      </c>
    </row>
    <row r="609">
      <c r="A609" s="4">
        <f>Raw_Transactions!A609</f>
        <v/>
      </c>
      <c r="B609" s="4">
        <f>Raw_Transactions!B609</f>
        <v/>
      </c>
      <c r="C609" s="4">
        <f>Raw_Transactions!C609</f>
        <v/>
      </c>
      <c r="D609" s="5">
        <f>Raw_Transactions!D609</f>
        <v/>
      </c>
      <c r="E609" s="4">
        <f>Raw_Transactions!E609</f>
        <v/>
      </c>
      <c r="F609" s="4">
        <f>Raw_Transactions!F609</f>
        <v/>
      </c>
      <c r="G609" s="4">
        <f>Raw_Transactions!G609</f>
        <v/>
      </c>
      <c r="H609" s="4">
        <f>XLOOKUP(B609,Raw_Risk_Profiles!$A:$A,Raw_Risk_Profiles!$B:$B,"Not Found")</f>
        <v/>
      </c>
      <c r="I609" s="4">
        <f>XLOOKUP(B609,Raw_Risk_Profiles!$A:$A,Raw_Risk_Profiles!$C:$C,"Missing")</f>
        <v/>
      </c>
      <c r="J609" s="4">
        <f>XLOOKUP(B609,Raw_Risk_Profiles!$A:$A,Raw_Risk_Profiles!$D:$D,"")</f>
        <v/>
      </c>
      <c r="K609" s="4">
        <f>IFERROR(INDEX(Raw_Risk_Profiles!$E:$E,MATCH(B609,Raw_Risk_Profiles!$A:$A,0)),"Unknown")</f>
        <v/>
      </c>
      <c r="L609" s="4">
        <f>IFERROR(XLOOKUP(A609,Raw_Alerts!$B:$B,Raw_Alerts!$A:$A),"No Alert")</f>
        <v/>
      </c>
      <c r="M609" s="4">
        <f>IFERROR(XLOOKUP(A609,Raw_Alerts!$B:$B,Raw_Alerts!$C:$C),"")</f>
        <v/>
      </c>
      <c r="N609" s="4">
        <f>IFERROR(XLOOKUP(A609,Raw_Alerts!$B:$B,Raw_Alerts!$D:$D),"")</f>
        <v/>
      </c>
      <c r="O609" s="4">
        <f>IFERROR(XLOOKUP(A609,Raw_Alerts!$B:$B,Raw_Alerts!$F:$F),"")</f>
        <v/>
      </c>
      <c r="P609" s="4">
        <f>IF(H609="Not Found","CRITICAL: No Risk Profile",IF(I609="Missing","WARN: Missing KYC",IF(I609="Expired","WARN: KYC Expired",IF(I609="Pending","INFO: KYC Pending","OK"))))</f>
        <v/>
      </c>
    </row>
    <row r="610">
      <c r="A610" s="2">
        <f>Raw_Transactions!A610</f>
        <v/>
      </c>
      <c r="B610" s="2">
        <f>Raw_Transactions!B610</f>
        <v/>
      </c>
      <c r="C610" s="2">
        <f>Raw_Transactions!C610</f>
        <v/>
      </c>
      <c r="D610" s="3">
        <f>Raw_Transactions!D610</f>
        <v/>
      </c>
      <c r="E610" s="2">
        <f>Raw_Transactions!E610</f>
        <v/>
      </c>
      <c r="F610" s="2">
        <f>Raw_Transactions!F610</f>
        <v/>
      </c>
      <c r="G610" s="2">
        <f>Raw_Transactions!G610</f>
        <v/>
      </c>
      <c r="H610" s="2">
        <f>XLOOKUP(B610,Raw_Risk_Profiles!$A:$A,Raw_Risk_Profiles!$B:$B,"Not Found")</f>
        <v/>
      </c>
      <c r="I610" s="2">
        <f>XLOOKUP(B610,Raw_Risk_Profiles!$A:$A,Raw_Risk_Profiles!$C:$C,"Missing")</f>
        <v/>
      </c>
      <c r="J610" s="2">
        <f>XLOOKUP(B610,Raw_Risk_Profiles!$A:$A,Raw_Risk_Profiles!$D:$D,"")</f>
        <v/>
      </c>
      <c r="K610" s="2">
        <f>IFERROR(INDEX(Raw_Risk_Profiles!$E:$E,MATCH(B610,Raw_Risk_Profiles!$A:$A,0)),"Unknown")</f>
        <v/>
      </c>
      <c r="L610" s="2">
        <f>IFERROR(XLOOKUP(A610,Raw_Alerts!$B:$B,Raw_Alerts!$A:$A),"No Alert")</f>
        <v/>
      </c>
      <c r="M610" s="2">
        <f>IFERROR(XLOOKUP(A610,Raw_Alerts!$B:$B,Raw_Alerts!$C:$C),"")</f>
        <v/>
      </c>
      <c r="N610" s="2">
        <f>IFERROR(XLOOKUP(A610,Raw_Alerts!$B:$B,Raw_Alerts!$D:$D),"")</f>
        <v/>
      </c>
      <c r="O610" s="2">
        <f>IFERROR(XLOOKUP(A610,Raw_Alerts!$B:$B,Raw_Alerts!$F:$F),"")</f>
        <v/>
      </c>
      <c r="P610" s="2">
        <f>IF(H610="Not Found","CRITICAL: No Risk Profile",IF(I610="Missing","WARN: Missing KYC",IF(I610="Expired","WARN: KYC Expired",IF(I610="Pending","INFO: KYC Pending","OK"))))</f>
        <v/>
      </c>
    </row>
    <row r="611">
      <c r="A611" s="4">
        <f>Raw_Transactions!A611</f>
        <v/>
      </c>
      <c r="B611" s="4">
        <f>Raw_Transactions!B611</f>
        <v/>
      </c>
      <c r="C611" s="4">
        <f>Raw_Transactions!C611</f>
        <v/>
      </c>
      <c r="D611" s="5">
        <f>Raw_Transactions!D611</f>
        <v/>
      </c>
      <c r="E611" s="4">
        <f>Raw_Transactions!E611</f>
        <v/>
      </c>
      <c r="F611" s="4">
        <f>Raw_Transactions!F611</f>
        <v/>
      </c>
      <c r="G611" s="4">
        <f>Raw_Transactions!G611</f>
        <v/>
      </c>
      <c r="H611" s="4">
        <f>XLOOKUP(B611,Raw_Risk_Profiles!$A:$A,Raw_Risk_Profiles!$B:$B,"Not Found")</f>
        <v/>
      </c>
      <c r="I611" s="4">
        <f>XLOOKUP(B611,Raw_Risk_Profiles!$A:$A,Raw_Risk_Profiles!$C:$C,"Missing")</f>
        <v/>
      </c>
      <c r="J611" s="4">
        <f>XLOOKUP(B611,Raw_Risk_Profiles!$A:$A,Raw_Risk_Profiles!$D:$D,"")</f>
        <v/>
      </c>
      <c r="K611" s="4">
        <f>IFERROR(INDEX(Raw_Risk_Profiles!$E:$E,MATCH(B611,Raw_Risk_Profiles!$A:$A,0)),"Unknown")</f>
        <v/>
      </c>
      <c r="L611" s="4">
        <f>IFERROR(XLOOKUP(A611,Raw_Alerts!$B:$B,Raw_Alerts!$A:$A),"No Alert")</f>
        <v/>
      </c>
      <c r="M611" s="4">
        <f>IFERROR(XLOOKUP(A611,Raw_Alerts!$B:$B,Raw_Alerts!$C:$C),"")</f>
        <v/>
      </c>
      <c r="N611" s="4">
        <f>IFERROR(XLOOKUP(A611,Raw_Alerts!$B:$B,Raw_Alerts!$D:$D),"")</f>
        <v/>
      </c>
      <c r="O611" s="4">
        <f>IFERROR(XLOOKUP(A611,Raw_Alerts!$B:$B,Raw_Alerts!$F:$F),"")</f>
        <v/>
      </c>
      <c r="P611" s="4">
        <f>IF(H611="Not Found","CRITICAL: No Risk Profile",IF(I611="Missing","WARN: Missing KYC",IF(I611="Expired","WARN: KYC Expired",IF(I611="Pending","INFO: KYC Pending","OK"))))</f>
        <v/>
      </c>
    </row>
    <row r="612">
      <c r="A612" s="2">
        <f>Raw_Transactions!A612</f>
        <v/>
      </c>
      <c r="B612" s="2">
        <f>Raw_Transactions!B612</f>
        <v/>
      </c>
      <c r="C612" s="2">
        <f>Raw_Transactions!C612</f>
        <v/>
      </c>
      <c r="D612" s="3">
        <f>Raw_Transactions!D612</f>
        <v/>
      </c>
      <c r="E612" s="2">
        <f>Raw_Transactions!E612</f>
        <v/>
      </c>
      <c r="F612" s="2">
        <f>Raw_Transactions!F612</f>
        <v/>
      </c>
      <c r="G612" s="2">
        <f>Raw_Transactions!G612</f>
        <v/>
      </c>
      <c r="H612" s="2">
        <f>XLOOKUP(B612,Raw_Risk_Profiles!$A:$A,Raw_Risk_Profiles!$B:$B,"Not Found")</f>
        <v/>
      </c>
      <c r="I612" s="2">
        <f>XLOOKUP(B612,Raw_Risk_Profiles!$A:$A,Raw_Risk_Profiles!$C:$C,"Missing")</f>
        <v/>
      </c>
      <c r="J612" s="2">
        <f>XLOOKUP(B612,Raw_Risk_Profiles!$A:$A,Raw_Risk_Profiles!$D:$D,"")</f>
        <v/>
      </c>
      <c r="K612" s="2">
        <f>IFERROR(INDEX(Raw_Risk_Profiles!$E:$E,MATCH(B612,Raw_Risk_Profiles!$A:$A,0)),"Unknown")</f>
        <v/>
      </c>
      <c r="L612" s="2">
        <f>IFERROR(XLOOKUP(A612,Raw_Alerts!$B:$B,Raw_Alerts!$A:$A),"No Alert")</f>
        <v/>
      </c>
      <c r="M612" s="2">
        <f>IFERROR(XLOOKUP(A612,Raw_Alerts!$B:$B,Raw_Alerts!$C:$C),"")</f>
        <v/>
      </c>
      <c r="N612" s="2">
        <f>IFERROR(XLOOKUP(A612,Raw_Alerts!$B:$B,Raw_Alerts!$D:$D),"")</f>
        <v/>
      </c>
      <c r="O612" s="2">
        <f>IFERROR(XLOOKUP(A612,Raw_Alerts!$B:$B,Raw_Alerts!$F:$F),"")</f>
        <v/>
      </c>
      <c r="P612" s="2">
        <f>IF(H612="Not Found","CRITICAL: No Risk Profile",IF(I612="Missing","WARN: Missing KYC",IF(I612="Expired","WARN: KYC Expired",IF(I612="Pending","INFO: KYC Pending","OK"))))</f>
        <v/>
      </c>
    </row>
    <row r="613">
      <c r="A613" s="4">
        <f>Raw_Transactions!A613</f>
        <v/>
      </c>
      <c r="B613" s="4">
        <f>Raw_Transactions!B613</f>
        <v/>
      </c>
      <c r="C613" s="4">
        <f>Raw_Transactions!C613</f>
        <v/>
      </c>
      <c r="D613" s="5">
        <f>Raw_Transactions!D613</f>
        <v/>
      </c>
      <c r="E613" s="4">
        <f>Raw_Transactions!E613</f>
        <v/>
      </c>
      <c r="F613" s="4">
        <f>Raw_Transactions!F613</f>
        <v/>
      </c>
      <c r="G613" s="4">
        <f>Raw_Transactions!G613</f>
        <v/>
      </c>
      <c r="H613" s="4">
        <f>XLOOKUP(B613,Raw_Risk_Profiles!$A:$A,Raw_Risk_Profiles!$B:$B,"Not Found")</f>
        <v/>
      </c>
      <c r="I613" s="4">
        <f>XLOOKUP(B613,Raw_Risk_Profiles!$A:$A,Raw_Risk_Profiles!$C:$C,"Missing")</f>
        <v/>
      </c>
      <c r="J613" s="4">
        <f>XLOOKUP(B613,Raw_Risk_Profiles!$A:$A,Raw_Risk_Profiles!$D:$D,"")</f>
        <v/>
      </c>
      <c r="K613" s="4">
        <f>IFERROR(INDEX(Raw_Risk_Profiles!$E:$E,MATCH(B613,Raw_Risk_Profiles!$A:$A,0)),"Unknown")</f>
        <v/>
      </c>
      <c r="L613" s="4">
        <f>IFERROR(XLOOKUP(A613,Raw_Alerts!$B:$B,Raw_Alerts!$A:$A),"No Alert")</f>
        <v/>
      </c>
      <c r="M613" s="4">
        <f>IFERROR(XLOOKUP(A613,Raw_Alerts!$B:$B,Raw_Alerts!$C:$C),"")</f>
        <v/>
      </c>
      <c r="N613" s="4">
        <f>IFERROR(XLOOKUP(A613,Raw_Alerts!$B:$B,Raw_Alerts!$D:$D),"")</f>
        <v/>
      </c>
      <c r="O613" s="4">
        <f>IFERROR(XLOOKUP(A613,Raw_Alerts!$B:$B,Raw_Alerts!$F:$F),"")</f>
        <v/>
      </c>
      <c r="P613" s="4">
        <f>IF(H613="Not Found","CRITICAL: No Risk Profile",IF(I613="Missing","WARN: Missing KYC",IF(I613="Expired","WARN: KYC Expired",IF(I613="Pending","INFO: KYC Pending","OK"))))</f>
        <v/>
      </c>
    </row>
    <row r="614">
      <c r="A614" s="2">
        <f>Raw_Transactions!A614</f>
        <v/>
      </c>
      <c r="B614" s="2">
        <f>Raw_Transactions!B614</f>
        <v/>
      </c>
      <c r="C614" s="2">
        <f>Raw_Transactions!C614</f>
        <v/>
      </c>
      <c r="D614" s="3">
        <f>Raw_Transactions!D614</f>
        <v/>
      </c>
      <c r="E614" s="2">
        <f>Raw_Transactions!E614</f>
        <v/>
      </c>
      <c r="F614" s="2">
        <f>Raw_Transactions!F614</f>
        <v/>
      </c>
      <c r="G614" s="2">
        <f>Raw_Transactions!G614</f>
        <v/>
      </c>
      <c r="H614" s="2">
        <f>XLOOKUP(B614,Raw_Risk_Profiles!$A:$A,Raw_Risk_Profiles!$B:$B,"Not Found")</f>
        <v/>
      </c>
      <c r="I614" s="2">
        <f>XLOOKUP(B614,Raw_Risk_Profiles!$A:$A,Raw_Risk_Profiles!$C:$C,"Missing")</f>
        <v/>
      </c>
      <c r="J614" s="2">
        <f>XLOOKUP(B614,Raw_Risk_Profiles!$A:$A,Raw_Risk_Profiles!$D:$D,"")</f>
        <v/>
      </c>
      <c r="K614" s="2">
        <f>IFERROR(INDEX(Raw_Risk_Profiles!$E:$E,MATCH(B614,Raw_Risk_Profiles!$A:$A,0)),"Unknown")</f>
        <v/>
      </c>
      <c r="L614" s="2">
        <f>IFERROR(XLOOKUP(A614,Raw_Alerts!$B:$B,Raw_Alerts!$A:$A),"No Alert")</f>
        <v/>
      </c>
      <c r="M614" s="2">
        <f>IFERROR(XLOOKUP(A614,Raw_Alerts!$B:$B,Raw_Alerts!$C:$C),"")</f>
        <v/>
      </c>
      <c r="N614" s="2">
        <f>IFERROR(XLOOKUP(A614,Raw_Alerts!$B:$B,Raw_Alerts!$D:$D),"")</f>
        <v/>
      </c>
      <c r="O614" s="2">
        <f>IFERROR(XLOOKUP(A614,Raw_Alerts!$B:$B,Raw_Alerts!$F:$F),"")</f>
        <v/>
      </c>
      <c r="P614" s="2">
        <f>IF(H614="Not Found","CRITICAL: No Risk Profile",IF(I614="Missing","WARN: Missing KYC",IF(I614="Expired","WARN: KYC Expired",IF(I614="Pending","INFO: KYC Pending","OK"))))</f>
        <v/>
      </c>
    </row>
    <row r="615">
      <c r="A615" s="4">
        <f>Raw_Transactions!A615</f>
        <v/>
      </c>
      <c r="B615" s="4">
        <f>Raw_Transactions!B615</f>
        <v/>
      </c>
      <c r="C615" s="4">
        <f>Raw_Transactions!C615</f>
        <v/>
      </c>
      <c r="D615" s="5">
        <f>Raw_Transactions!D615</f>
        <v/>
      </c>
      <c r="E615" s="4">
        <f>Raw_Transactions!E615</f>
        <v/>
      </c>
      <c r="F615" s="4">
        <f>Raw_Transactions!F615</f>
        <v/>
      </c>
      <c r="G615" s="4">
        <f>Raw_Transactions!G615</f>
        <v/>
      </c>
      <c r="H615" s="4">
        <f>XLOOKUP(B615,Raw_Risk_Profiles!$A:$A,Raw_Risk_Profiles!$B:$B,"Not Found")</f>
        <v/>
      </c>
      <c r="I615" s="4">
        <f>XLOOKUP(B615,Raw_Risk_Profiles!$A:$A,Raw_Risk_Profiles!$C:$C,"Missing")</f>
        <v/>
      </c>
      <c r="J615" s="4">
        <f>XLOOKUP(B615,Raw_Risk_Profiles!$A:$A,Raw_Risk_Profiles!$D:$D,"")</f>
        <v/>
      </c>
      <c r="K615" s="4">
        <f>IFERROR(INDEX(Raw_Risk_Profiles!$E:$E,MATCH(B615,Raw_Risk_Profiles!$A:$A,0)),"Unknown")</f>
        <v/>
      </c>
      <c r="L615" s="4">
        <f>IFERROR(XLOOKUP(A615,Raw_Alerts!$B:$B,Raw_Alerts!$A:$A),"No Alert")</f>
        <v/>
      </c>
      <c r="M615" s="4">
        <f>IFERROR(XLOOKUP(A615,Raw_Alerts!$B:$B,Raw_Alerts!$C:$C),"")</f>
        <v/>
      </c>
      <c r="N615" s="4">
        <f>IFERROR(XLOOKUP(A615,Raw_Alerts!$B:$B,Raw_Alerts!$D:$D),"")</f>
        <v/>
      </c>
      <c r="O615" s="4">
        <f>IFERROR(XLOOKUP(A615,Raw_Alerts!$B:$B,Raw_Alerts!$F:$F),"")</f>
        <v/>
      </c>
      <c r="P615" s="4">
        <f>IF(H615="Not Found","CRITICAL: No Risk Profile",IF(I615="Missing","WARN: Missing KYC",IF(I615="Expired","WARN: KYC Expired",IF(I615="Pending","INFO: KYC Pending","OK"))))</f>
        <v/>
      </c>
    </row>
    <row r="616">
      <c r="A616" s="2">
        <f>Raw_Transactions!A616</f>
        <v/>
      </c>
      <c r="B616" s="2">
        <f>Raw_Transactions!B616</f>
        <v/>
      </c>
      <c r="C616" s="2">
        <f>Raw_Transactions!C616</f>
        <v/>
      </c>
      <c r="D616" s="3">
        <f>Raw_Transactions!D616</f>
        <v/>
      </c>
      <c r="E616" s="2">
        <f>Raw_Transactions!E616</f>
        <v/>
      </c>
      <c r="F616" s="2">
        <f>Raw_Transactions!F616</f>
        <v/>
      </c>
      <c r="G616" s="2">
        <f>Raw_Transactions!G616</f>
        <v/>
      </c>
      <c r="H616" s="2">
        <f>XLOOKUP(B616,Raw_Risk_Profiles!$A:$A,Raw_Risk_Profiles!$B:$B,"Not Found")</f>
        <v/>
      </c>
      <c r="I616" s="2">
        <f>XLOOKUP(B616,Raw_Risk_Profiles!$A:$A,Raw_Risk_Profiles!$C:$C,"Missing")</f>
        <v/>
      </c>
      <c r="J616" s="2">
        <f>XLOOKUP(B616,Raw_Risk_Profiles!$A:$A,Raw_Risk_Profiles!$D:$D,"")</f>
        <v/>
      </c>
      <c r="K616" s="2">
        <f>IFERROR(INDEX(Raw_Risk_Profiles!$E:$E,MATCH(B616,Raw_Risk_Profiles!$A:$A,0)),"Unknown")</f>
        <v/>
      </c>
      <c r="L616" s="2">
        <f>IFERROR(XLOOKUP(A616,Raw_Alerts!$B:$B,Raw_Alerts!$A:$A),"No Alert")</f>
        <v/>
      </c>
      <c r="M616" s="2">
        <f>IFERROR(XLOOKUP(A616,Raw_Alerts!$B:$B,Raw_Alerts!$C:$C),"")</f>
        <v/>
      </c>
      <c r="N616" s="2">
        <f>IFERROR(XLOOKUP(A616,Raw_Alerts!$B:$B,Raw_Alerts!$D:$D),"")</f>
        <v/>
      </c>
      <c r="O616" s="2">
        <f>IFERROR(XLOOKUP(A616,Raw_Alerts!$B:$B,Raw_Alerts!$F:$F),"")</f>
        <v/>
      </c>
      <c r="P616" s="2">
        <f>IF(H616="Not Found","CRITICAL: No Risk Profile",IF(I616="Missing","WARN: Missing KYC",IF(I616="Expired","WARN: KYC Expired",IF(I616="Pending","INFO: KYC Pending","OK"))))</f>
        <v/>
      </c>
    </row>
    <row r="617">
      <c r="A617" s="4">
        <f>Raw_Transactions!A617</f>
        <v/>
      </c>
      <c r="B617" s="4">
        <f>Raw_Transactions!B617</f>
        <v/>
      </c>
      <c r="C617" s="4">
        <f>Raw_Transactions!C617</f>
        <v/>
      </c>
      <c r="D617" s="5">
        <f>Raw_Transactions!D617</f>
        <v/>
      </c>
      <c r="E617" s="4">
        <f>Raw_Transactions!E617</f>
        <v/>
      </c>
      <c r="F617" s="4">
        <f>Raw_Transactions!F617</f>
        <v/>
      </c>
      <c r="G617" s="4">
        <f>Raw_Transactions!G617</f>
        <v/>
      </c>
      <c r="H617" s="4">
        <f>XLOOKUP(B617,Raw_Risk_Profiles!$A:$A,Raw_Risk_Profiles!$B:$B,"Not Found")</f>
        <v/>
      </c>
      <c r="I617" s="4">
        <f>XLOOKUP(B617,Raw_Risk_Profiles!$A:$A,Raw_Risk_Profiles!$C:$C,"Missing")</f>
        <v/>
      </c>
      <c r="J617" s="4">
        <f>XLOOKUP(B617,Raw_Risk_Profiles!$A:$A,Raw_Risk_Profiles!$D:$D,"")</f>
        <v/>
      </c>
      <c r="K617" s="4">
        <f>IFERROR(INDEX(Raw_Risk_Profiles!$E:$E,MATCH(B617,Raw_Risk_Profiles!$A:$A,0)),"Unknown")</f>
        <v/>
      </c>
      <c r="L617" s="4">
        <f>IFERROR(XLOOKUP(A617,Raw_Alerts!$B:$B,Raw_Alerts!$A:$A),"No Alert")</f>
        <v/>
      </c>
      <c r="M617" s="4">
        <f>IFERROR(XLOOKUP(A617,Raw_Alerts!$B:$B,Raw_Alerts!$C:$C),"")</f>
        <v/>
      </c>
      <c r="N617" s="4">
        <f>IFERROR(XLOOKUP(A617,Raw_Alerts!$B:$B,Raw_Alerts!$D:$D),"")</f>
        <v/>
      </c>
      <c r="O617" s="4">
        <f>IFERROR(XLOOKUP(A617,Raw_Alerts!$B:$B,Raw_Alerts!$F:$F),"")</f>
        <v/>
      </c>
      <c r="P617" s="4">
        <f>IF(H617="Not Found","CRITICAL: No Risk Profile",IF(I617="Missing","WARN: Missing KYC",IF(I617="Expired","WARN: KYC Expired",IF(I617="Pending","INFO: KYC Pending","OK"))))</f>
        <v/>
      </c>
    </row>
    <row r="618">
      <c r="A618" s="2">
        <f>Raw_Transactions!A618</f>
        <v/>
      </c>
      <c r="B618" s="2">
        <f>Raw_Transactions!B618</f>
        <v/>
      </c>
      <c r="C618" s="2">
        <f>Raw_Transactions!C618</f>
        <v/>
      </c>
      <c r="D618" s="3">
        <f>Raw_Transactions!D618</f>
        <v/>
      </c>
      <c r="E618" s="2">
        <f>Raw_Transactions!E618</f>
        <v/>
      </c>
      <c r="F618" s="2">
        <f>Raw_Transactions!F618</f>
        <v/>
      </c>
      <c r="G618" s="2">
        <f>Raw_Transactions!G618</f>
        <v/>
      </c>
      <c r="H618" s="2">
        <f>XLOOKUP(B618,Raw_Risk_Profiles!$A:$A,Raw_Risk_Profiles!$B:$B,"Not Found")</f>
        <v/>
      </c>
      <c r="I618" s="2">
        <f>XLOOKUP(B618,Raw_Risk_Profiles!$A:$A,Raw_Risk_Profiles!$C:$C,"Missing")</f>
        <v/>
      </c>
      <c r="J618" s="2">
        <f>XLOOKUP(B618,Raw_Risk_Profiles!$A:$A,Raw_Risk_Profiles!$D:$D,"")</f>
        <v/>
      </c>
      <c r="K618" s="2">
        <f>IFERROR(INDEX(Raw_Risk_Profiles!$E:$E,MATCH(B618,Raw_Risk_Profiles!$A:$A,0)),"Unknown")</f>
        <v/>
      </c>
      <c r="L618" s="2">
        <f>IFERROR(XLOOKUP(A618,Raw_Alerts!$B:$B,Raw_Alerts!$A:$A),"No Alert")</f>
        <v/>
      </c>
      <c r="M618" s="2">
        <f>IFERROR(XLOOKUP(A618,Raw_Alerts!$B:$B,Raw_Alerts!$C:$C),"")</f>
        <v/>
      </c>
      <c r="N618" s="2">
        <f>IFERROR(XLOOKUP(A618,Raw_Alerts!$B:$B,Raw_Alerts!$D:$D),"")</f>
        <v/>
      </c>
      <c r="O618" s="2">
        <f>IFERROR(XLOOKUP(A618,Raw_Alerts!$B:$B,Raw_Alerts!$F:$F),"")</f>
        <v/>
      </c>
      <c r="P618" s="2">
        <f>IF(H618="Not Found","CRITICAL: No Risk Profile",IF(I618="Missing","WARN: Missing KYC",IF(I618="Expired","WARN: KYC Expired",IF(I618="Pending","INFO: KYC Pending","OK"))))</f>
        <v/>
      </c>
    </row>
    <row r="619">
      <c r="A619" s="4">
        <f>Raw_Transactions!A619</f>
        <v/>
      </c>
      <c r="B619" s="4">
        <f>Raw_Transactions!B619</f>
        <v/>
      </c>
      <c r="C619" s="4">
        <f>Raw_Transactions!C619</f>
        <v/>
      </c>
      <c r="D619" s="5">
        <f>Raw_Transactions!D619</f>
        <v/>
      </c>
      <c r="E619" s="4">
        <f>Raw_Transactions!E619</f>
        <v/>
      </c>
      <c r="F619" s="4">
        <f>Raw_Transactions!F619</f>
        <v/>
      </c>
      <c r="G619" s="4">
        <f>Raw_Transactions!G619</f>
        <v/>
      </c>
      <c r="H619" s="4">
        <f>XLOOKUP(B619,Raw_Risk_Profiles!$A:$A,Raw_Risk_Profiles!$B:$B,"Not Found")</f>
        <v/>
      </c>
      <c r="I619" s="4">
        <f>XLOOKUP(B619,Raw_Risk_Profiles!$A:$A,Raw_Risk_Profiles!$C:$C,"Missing")</f>
        <v/>
      </c>
      <c r="J619" s="4">
        <f>XLOOKUP(B619,Raw_Risk_Profiles!$A:$A,Raw_Risk_Profiles!$D:$D,"")</f>
        <v/>
      </c>
      <c r="K619" s="4">
        <f>IFERROR(INDEX(Raw_Risk_Profiles!$E:$E,MATCH(B619,Raw_Risk_Profiles!$A:$A,0)),"Unknown")</f>
        <v/>
      </c>
      <c r="L619" s="4">
        <f>IFERROR(XLOOKUP(A619,Raw_Alerts!$B:$B,Raw_Alerts!$A:$A),"No Alert")</f>
        <v/>
      </c>
      <c r="M619" s="4">
        <f>IFERROR(XLOOKUP(A619,Raw_Alerts!$B:$B,Raw_Alerts!$C:$C),"")</f>
        <v/>
      </c>
      <c r="N619" s="4">
        <f>IFERROR(XLOOKUP(A619,Raw_Alerts!$B:$B,Raw_Alerts!$D:$D),"")</f>
        <v/>
      </c>
      <c r="O619" s="4">
        <f>IFERROR(XLOOKUP(A619,Raw_Alerts!$B:$B,Raw_Alerts!$F:$F),"")</f>
        <v/>
      </c>
      <c r="P619" s="4">
        <f>IF(H619="Not Found","CRITICAL: No Risk Profile",IF(I619="Missing","WARN: Missing KYC",IF(I619="Expired","WARN: KYC Expired",IF(I619="Pending","INFO: KYC Pending","OK"))))</f>
        <v/>
      </c>
    </row>
    <row r="620">
      <c r="A620" s="2">
        <f>Raw_Transactions!A620</f>
        <v/>
      </c>
      <c r="B620" s="2">
        <f>Raw_Transactions!B620</f>
        <v/>
      </c>
      <c r="C620" s="2">
        <f>Raw_Transactions!C620</f>
        <v/>
      </c>
      <c r="D620" s="3">
        <f>Raw_Transactions!D620</f>
        <v/>
      </c>
      <c r="E620" s="2">
        <f>Raw_Transactions!E620</f>
        <v/>
      </c>
      <c r="F620" s="2">
        <f>Raw_Transactions!F620</f>
        <v/>
      </c>
      <c r="G620" s="2">
        <f>Raw_Transactions!G620</f>
        <v/>
      </c>
      <c r="H620" s="2">
        <f>XLOOKUP(B620,Raw_Risk_Profiles!$A:$A,Raw_Risk_Profiles!$B:$B,"Not Found")</f>
        <v/>
      </c>
      <c r="I620" s="2">
        <f>XLOOKUP(B620,Raw_Risk_Profiles!$A:$A,Raw_Risk_Profiles!$C:$C,"Missing")</f>
        <v/>
      </c>
      <c r="J620" s="2">
        <f>XLOOKUP(B620,Raw_Risk_Profiles!$A:$A,Raw_Risk_Profiles!$D:$D,"")</f>
        <v/>
      </c>
      <c r="K620" s="2">
        <f>IFERROR(INDEX(Raw_Risk_Profiles!$E:$E,MATCH(B620,Raw_Risk_Profiles!$A:$A,0)),"Unknown")</f>
        <v/>
      </c>
      <c r="L620" s="2">
        <f>IFERROR(XLOOKUP(A620,Raw_Alerts!$B:$B,Raw_Alerts!$A:$A),"No Alert")</f>
        <v/>
      </c>
      <c r="M620" s="2">
        <f>IFERROR(XLOOKUP(A620,Raw_Alerts!$B:$B,Raw_Alerts!$C:$C),"")</f>
        <v/>
      </c>
      <c r="N620" s="2">
        <f>IFERROR(XLOOKUP(A620,Raw_Alerts!$B:$B,Raw_Alerts!$D:$D),"")</f>
        <v/>
      </c>
      <c r="O620" s="2">
        <f>IFERROR(XLOOKUP(A620,Raw_Alerts!$B:$B,Raw_Alerts!$F:$F),"")</f>
        <v/>
      </c>
      <c r="P620" s="2">
        <f>IF(H620="Not Found","CRITICAL: No Risk Profile",IF(I620="Missing","WARN: Missing KYC",IF(I620="Expired","WARN: KYC Expired",IF(I620="Pending","INFO: KYC Pending","OK"))))</f>
        <v/>
      </c>
    </row>
    <row r="621">
      <c r="A621" s="4">
        <f>Raw_Transactions!A621</f>
        <v/>
      </c>
      <c r="B621" s="4">
        <f>Raw_Transactions!B621</f>
        <v/>
      </c>
      <c r="C621" s="4">
        <f>Raw_Transactions!C621</f>
        <v/>
      </c>
      <c r="D621" s="5">
        <f>Raw_Transactions!D621</f>
        <v/>
      </c>
      <c r="E621" s="4">
        <f>Raw_Transactions!E621</f>
        <v/>
      </c>
      <c r="F621" s="4">
        <f>Raw_Transactions!F621</f>
        <v/>
      </c>
      <c r="G621" s="4">
        <f>Raw_Transactions!G621</f>
        <v/>
      </c>
      <c r="H621" s="4">
        <f>XLOOKUP(B621,Raw_Risk_Profiles!$A:$A,Raw_Risk_Profiles!$B:$B,"Not Found")</f>
        <v/>
      </c>
      <c r="I621" s="4">
        <f>XLOOKUP(B621,Raw_Risk_Profiles!$A:$A,Raw_Risk_Profiles!$C:$C,"Missing")</f>
        <v/>
      </c>
      <c r="J621" s="4">
        <f>XLOOKUP(B621,Raw_Risk_Profiles!$A:$A,Raw_Risk_Profiles!$D:$D,"")</f>
        <v/>
      </c>
      <c r="K621" s="4">
        <f>IFERROR(INDEX(Raw_Risk_Profiles!$E:$E,MATCH(B621,Raw_Risk_Profiles!$A:$A,0)),"Unknown")</f>
        <v/>
      </c>
      <c r="L621" s="4">
        <f>IFERROR(XLOOKUP(A621,Raw_Alerts!$B:$B,Raw_Alerts!$A:$A),"No Alert")</f>
        <v/>
      </c>
      <c r="M621" s="4">
        <f>IFERROR(XLOOKUP(A621,Raw_Alerts!$B:$B,Raw_Alerts!$C:$C),"")</f>
        <v/>
      </c>
      <c r="N621" s="4">
        <f>IFERROR(XLOOKUP(A621,Raw_Alerts!$B:$B,Raw_Alerts!$D:$D),"")</f>
        <v/>
      </c>
      <c r="O621" s="4">
        <f>IFERROR(XLOOKUP(A621,Raw_Alerts!$B:$B,Raw_Alerts!$F:$F),"")</f>
        <v/>
      </c>
      <c r="P621" s="4">
        <f>IF(H621="Not Found","CRITICAL: No Risk Profile",IF(I621="Missing","WARN: Missing KYC",IF(I621="Expired","WARN: KYC Expired",IF(I621="Pending","INFO: KYC Pending","OK"))))</f>
        <v/>
      </c>
    </row>
    <row r="622">
      <c r="A622" s="2">
        <f>Raw_Transactions!A622</f>
        <v/>
      </c>
      <c r="B622" s="2">
        <f>Raw_Transactions!B622</f>
        <v/>
      </c>
      <c r="C622" s="2">
        <f>Raw_Transactions!C622</f>
        <v/>
      </c>
      <c r="D622" s="3">
        <f>Raw_Transactions!D622</f>
        <v/>
      </c>
      <c r="E622" s="2">
        <f>Raw_Transactions!E622</f>
        <v/>
      </c>
      <c r="F622" s="2">
        <f>Raw_Transactions!F622</f>
        <v/>
      </c>
      <c r="G622" s="2">
        <f>Raw_Transactions!G622</f>
        <v/>
      </c>
      <c r="H622" s="2">
        <f>XLOOKUP(B622,Raw_Risk_Profiles!$A:$A,Raw_Risk_Profiles!$B:$B,"Not Found")</f>
        <v/>
      </c>
      <c r="I622" s="2">
        <f>XLOOKUP(B622,Raw_Risk_Profiles!$A:$A,Raw_Risk_Profiles!$C:$C,"Missing")</f>
        <v/>
      </c>
      <c r="J622" s="2">
        <f>XLOOKUP(B622,Raw_Risk_Profiles!$A:$A,Raw_Risk_Profiles!$D:$D,"")</f>
        <v/>
      </c>
      <c r="K622" s="2">
        <f>IFERROR(INDEX(Raw_Risk_Profiles!$E:$E,MATCH(B622,Raw_Risk_Profiles!$A:$A,0)),"Unknown")</f>
        <v/>
      </c>
      <c r="L622" s="2">
        <f>IFERROR(XLOOKUP(A622,Raw_Alerts!$B:$B,Raw_Alerts!$A:$A),"No Alert")</f>
        <v/>
      </c>
      <c r="M622" s="2">
        <f>IFERROR(XLOOKUP(A622,Raw_Alerts!$B:$B,Raw_Alerts!$C:$C),"")</f>
        <v/>
      </c>
      <c r="N622" s="2">
        <f>IFERROR(XLOOKUP(A622,Raw_Alerts!$B:$B,Raw_Alerts!$D:$D),"")</f>
        <v/>
      </c>
      <c r="O622" s="2">
        <f>IFERROR(XLOOKUP(A622,Raw_Alerts!$B:$B,Raw_Alerts!$F:$F),"")</f>
        <v/>
      </c>
      <c r="P622" s="2">
        <f>IF(H622="Not Found","CRITICAL: No Risk Profile",IF(I622="Missing","WARN: Missing KYC",IF(I622="Expired","WARN: KYC Expired",IF(I622="Pending","INFO: KYC Pending","OK"))))</f>
        <v/>
      </c>
    </row>
    <row r="623">
      <c r="A623" s="4">
        <f>Raw_Transactions!A623</f>
        <v/>
      </c>
      <c r="B623" s="4">
        <f>Raw_Transactions!B623</f>
        <v/>
      </c>
      <c r="C623" s="4">
        <f>Raw_Transactions!C623</f>
        <v/>
      </c>
      <c r="D623" s="5">
        <f>Raw_Transactions!D623</f>
        <v/>
      </c>
      <c r="E623" s="4">
        <f>Raw_Transactions!E623</f>
        <v/>
      </c>
      <c r="F623" s="4">
        <f>Raw_Transactions!F623</f>
        <v/>
      </c>
      <c r="G623" s="4">
        <f>Raw_Transactions!G623</f>
        <v/>
      </c>
      <c r="H623" s="4">
        <f>XLOOKUP(B623,Raw_Risk_Profiles!$A:$A,Raw_Risk_Profiles!$B:$B,"Not Found")</f>
        <v/>
      </c>
      <c r="I623" s="4">
        <f>XLOOKUP(B623,Raw_Risk_Profiles!$A:$A,Raw_Risk_Profiles!$C:$C,"Missing")</f>
        <v/>
      </c>
      <c r="J623" s="4">
        <f>XLOOKUP(B623,Raw_Risk_Profiles!$A:$A,Raw_Risk_Profiles!$D:$D,"")</f>
        <v/>
      </c>
      <c r="K623" s="4">
        <f>IFERROR(INDEX(Raw_Risk_Profiles!$E:$E,MATCH(B623,Raw_Risk_Profiles!$A:$A,0)),"Unknown")</f>
        <v/>
      </c>
      <c r="L623" s="4">
        <f>IFERROR(XLOOKUP(A623,Raw_Alerts!$B:$B,Raw_Alerts!$A:$A),"No Alert")</f>
        <v/>
      </c>
      <c r="M623" s="4">
        <f>IFERROR(XLOOKUP(A623,Raw_Alerts!$B:$B,Raw_Alerts!$C:$C),"")</f>
        <v/>
      </c>
      <c r="N623" s="4">
        <f>IFERROR(XLOOKUP(A623,Raw_Alerts!$B:$B,Raw_Alerts!$D:$D),"")</f>
        <v/>
      </c>
      <c r="O623" s="4">
        <f>IFERROR(XLOOKUP(A623,Raw_Alerts!$B:$B,Raw_Alerts!$F:$F),"")</f>
        <v/>
      </c>
      <c r="P623" s="4">
        <f>IF(H623="Not Found","CRITICAL: No Risk Profile",IF(I623="Missing","WARN: Missing KYC",IF(I623="Expired","WARN: KYC Expired",IF(I623="Pending","INFO: KYC Pending","OK"))))</f>
        <v/>
      </c>
    </row>
    <row r="624">
      <c r="A624" s="2">
        <f>Raw_Transactions!A624</f>
        <v/>
      </c>
      <c r="B624" s="2">
        <f>Raw_Transactions!B624</f>
        <v/>
      </c>
      <c r="C624" s="2">
        <f>Raw_Transactions!C624</f>
        <v/>
      </c>
      <c r="D624" s="3">
        <f>Raw_Transactions!D624</f>
        <v/>
      </c>
      <c r="E624" s="2">
        <f>Raw_Transactions!E624</f>
        <v/>
      </c>
      <c r="F624" s="2">
        <f>Raw_Transactions!F624</f>
        <v/>
      </c>
      <c r="G624" s="2">
        <f>Raw_Transactions!G624</f>
        <v/>
      </c>
      <c r="H624" s="2">
        <f>XLOOKUP(B624,Raw_Risk_Profiles!$A:$A,Raw_Risk_Profiles!$B:$B,"Not Found")</f>
        <v/>
      </c>
      <c r="I624" s="2">
        <f>XLOOKUP(B624,Raw_Risk_Profiles!$A:$A,Raw_Risk_Profiles!$C:$C,"Missing")</f>
        <v/>
      </c>
      <c r="J624" s="2">
        <f>XLOOKUP(B624,Raw_Risk_Profiles!$A:$A,Raw_Risk_Profiles!$D:$D,"")</f>
        <v/>
      </c>
      <c r="K624" s="2">
        <f>IFERROR(INDEX(Raw_Risk_Profiles!$E:$E,MATCH(B624,Raw_Risk_Profiles!$A:$A,0)),"Unknown")</f>
        <v/>
      </c>
      <c r="L624" s="2">
        <f>IFERROR(XLOOKUP(A624,Raw_Alerts!$B:$B,Raw_Alerts!$A:$A),"No Alert")</f>
        <v/>
      </c>
      <c r="M624" s="2">
        <f>IFERROR(XLOOKUP(A624,Raw_Alerts!$B:$B,Raw_Alerts!$C:$C),"")</f>
        <v/>
      </c>
      <c r="N624" s="2">
        <f>IFERROR(XLOOKUP(A624,Raw_Alerts!$B:$B,Raw_Alerts!$D:$D),"")</f>
        <v/>
      </c>
      <c r="O624" s="2">
        <f>IFERROR(XLOOKUP(A624,Raw_Alerts!$B:$B,Raw_Alerts!$F:$F),"")</f>
        <v/>
      </c>
      <c r="P624" s="2">
        <f>IF(H624="Not Found","CRITICAL: No Risk Profile",IF(I624="Missing","WARN: Missing KYC",IF(I624="Expired","WARN: KYC Expired",IF(I624="Pending","INFO: KYC Pending","OK"))))</f>
        <v/>
      </c>
    </row>
    <row r="625">
      <c r="A625" s="4">
        <f>Raw_Transactions!A625</f>
        <v/>
      </c>
      <c r="B625" s="4">
        <f>Raw_Transactions!B625</f>
        <v/>
      </c>
      <c r="C625" s="4">
        <f>Raw_Transactions!C625</f>
        <v/>
      </c>
      <c r="D625" s="5">
        <f>Raw_Transactions!D625</f>
        <v/>
      </c>
      <c r="E625" s="4">
        <f>Raw_Transactions!E625</f>
        <v/>
      </c>
      <c r="F625" s="4">
        <f>Raw_Transactions!F625</f>
        <v/>
      </c>
      <c r="G625" s="4">
        <f>Raw_Transactions!G625</f>
        <v/>
      </c>
      <c r="H625" s="4">
        <f>XLOOKUP(B625,Raw_Risk_Profiles!$A:$A,Raw_Risk_Profiles!$B:$B,"Not Found")</f>
        <v/>
      </c>
      <c r="I625" s="4">
        <f>XLOOKUP(B625,Raw_Risk_Profiles!$A:$A,Raw_Risk_Profiles!$C:$C,"Missing")</f>
        <v/>
      </c>
      <c r="J625" s="4">
        <f>XLOOKUP(B625,Raw_Risk_Profiles!$A:$A,Raw_Risk_Profiles!$D:$D,"")</f>
        <v/>
      </c>
      <c r="K625" s="4">
        <f>IFERROR(INDEX(Raw_Risk_Profiles!$E:$E,MATCH(B625,Raw_Risk_Profiles!$A:$A,0)),"Unknown")</f>
        <v/>
      </c>
      <c r="L625" s="4">
        <f>IFERROR(XLOOKUP(A625,Raw_Alerts!$B:$B,Raw_Alerts!$A:$A),"No Alert")</f>
        <v/>
      </c>
      <c r="M625" s="4">
        <f>IFERROR(XLOOKUP(A625,Raw_Alerts!$B:$B,Raw_Alerts!$C:$C),"")</f>
        <v/>
      </c>
      <c r="N625" s="4">
        <f>IFERROR(XLOOKUP(A625,Raw_Alerts!$B:$B,Raw_Alerts!$D:$D),"")</f>
        <v/>
      </c>
      <c r="O625" s="4">
        <f>IFERROR(XLOOKUP(A625,Raw_Alerts!$B:$B,Raw_Alerts!$F:$F),"")</f>
        <v/>
      </c>
      <c r="P625" s="4">
        <f>IF(H625="Not Found","CRITICAL: No Risk Profile",IF(I625="Missing","WARN: Missing KYC",IF(I625="Expired","WARN: KYC Expired",IF(I625="Pending","INFO: KYC Pending","OK"))))</f>
        <v/>
      </c>
    </row>
    <row r="626">
      <c r="A626" s="2">
        <f>Raw_Transactions!A626</f>
        <v/>
      </c>
      <c r="B626" s="2">
        <f>Raw_Transactions!B626</f>
        <v/>
      </c>
      <c r="C626" s="2">
        <f>Raw_Transactions!C626</f>
        <v/>
      </c>
      <c r="D626" s="3">
        <f>Raw_Transactions!D626</f>
        <v/>
      </c>
      <c r="E626" s="2">
        <f>Raw_Transactions!E626</f>
        <v/>
      </c>
      <c r="F626" s="2">
        <f>Raw_Transactions!F626</f>
        <v/>
      </c>
      <c r="G626" s="2">
        <f>Raw_Transactions!G626</f>
        <v/>
      </c>
      <c r="H626" s="2">
        <f>XLOOKUP(B626,Raw_Risk_Profiles!$A:$A,Raw_Risk_Profiles!$B:$B,"Not Found")</f>
        <v/>
      </c>
      <c r="I626" s="2">
        <f>XLOOKUP(B626,Raw_Risk_Profiles!$A:$A,Raw_Risk_Profiles!$C:$C,"Missing")</f>
        <v/>
      </c>
      <c r="J626" s="2">
        <f>XLOOKUP(B626,Raw_Risk_Profiles!$A:$A,Raw_Risk_Profiles!$D:$D,"")</f>
        <v/>
      </c>
      <c r="K626" s="2">
        <f>IFERROR(INDEX(Raw_Risk_Profiles!$E:$E,MATCH(B626,Raw_Risk_Profiles!$A:$A,0)),"Unknown")</f>
        <v/>
      </c>
      <c r="L626" s="2">
        <f>IFERROR(XLOOKUP(A626,Raw_Alerts!$B:$B,Raw_Alerts!$A:$A),"No Alert")</f>
        <v/>
      </c>
      <c r="M626" s="2">
        <f>IFERROR(XLOOKUP(A626,Raw_Alerts!$B:$B,Raw_Alerts!$C:$C),"")</f>
        <v/>
      </c>
      <c r="N626" s="2">
        <f>IFERROR(XLOOKUP(A626,Raw_Alerts!$B:$B,Raw_Alerts!$D:$D),"")</f>
        <v/>
      </c>
      <c r="O626" s="2">
        <f>IFERROR(XLOOKUP(A626,Raw_Alerts!$B:$B,Raw_Alerts!$F:$F),"")</f>
        <v/>
      </c>
      <c r="P626" s="2">
        <f>IF(H626="Not Found","CRITICAL: No Risk Profile",IF(I626="Missing","WARN: Missing KYC",IF(I626="Expired","WARN: KYC Expired",IF(I626="Pending","INFO: KYC Pending","OK"))))</f>
        <v/>
      </c>
    </row>
    <row r="627">
      <c r="A627" s="4">
        <f>Raw_Transactions!A627</f>
        <v/>
      </c>
      <c r="B627" s="4">
        <f>Raw_Transactions!B627</f>
        <v/>
      </c>
      <c r="C627" s="4">
        <f>Raw_Transactions!C627</f>
        <v/>
      </c>
      <c r="D627" s="5">
        <f>Raw_Transactions!D627</f>
        <v/>
      </c>
      <c r="E627" s="4">
        <f>Raw_Transactions!E627</f>
        <v/>
      </c>
      <c r="F627" s="4">
        <f>Raw_Transactions!F627</f>
        <v/>
      </c>
      <c r="G627" s="4">
        <f>Raw_Transactions!G627</f>
        <v/>
      </c>
      <c r="H627" s="4">
        <f>XLOOKUP(B627,Raw_Risk_Profiles!$A:$A,Raw_Risk_Profiles!$B:$B,"Not Found")</f>
        <v/>
      </c>
      <c r="I627" s="4">
        <f>XLOOKUP(B627,Raw_Risk_Profiles!$A:$A,Raw_Risk_Profiles!$C:$C,"Missing")</f>
        <v/>
      </c>
      <c r="J627" s="4">
        <f>XLOOKUP(B627,Raw_Risk_Profiles!$A:$A,Raw_Risk_Profiles!$D:$D,"")</f>
        <v/>
      </c>
      <c r="K627" s="4">
        <f>IFERROR(INDEX(Raw_Risk_Profiles!$E:$E,MATCH(B627,Raw_Risk_Profiles!$A:$A,0)),"Unknown")</f>
        <v/>
      </c>
      <c r="L627" s="4">
        <f>IFERROR(XLOOKUP(A627,Raw_Alerts!$B:$B,Raw_Alerts!$A:$A),"No Alert")</f>
        <v/>
      </c>
      <c r="M627" s="4">
        <f>IFERROR(XLOOKUP(A627,Raw_Alerts!$B:$B,Raw_Alerts!$C:$C),"")</f>
        <v/>
      </c>
      <c r="N627" s="4">
        <f>IFERROR(XLOOKUP(A627,Raw_Alerts!$B:$B,Raw_Alerts!$D:$D),"")</f>
        <v/>
      </c>
      <c r="O627" s="4">
        <f>IFERROR(XLOOKUP(A627,Raw_Alerts!$B:$B,Raw_Alerts!$F:$F),"")</f>
        <v/>
      </c>
      <c r="P627" s="4">
        <f>IF(H627="Not Found","CRITICAL: No Risk Profile",IF(I627="Missing","WARN: Missing KYC",IF(I627="Expired","WARN: KYC Expired",IF(I627="Pending","INFO: KYC Pending","OK"))))</f>
        <v/>
      </c>
    </row>
    <row r="628">
      <c r="A628" s="2">
        <f>Raw_Transactions!A628</f>
        <v/>
      </c>
      <c r="B628" s="2">
        <f>Raw_Transactions!B628</f>
        <v/>
      </c>
      <c r="C628" s="2">
        <f>Raw_Transactions!C628</f>
        <v/>
      </c>
      <c r="D628" s="3">
        <f>Raw_Transactions!D628</f>
        <v/>
      </c>
      <c r="E628" s="2">
        <f>Raw_Transactions!E628</f>
        <v/>
      </c>
      <c r="F628" s="2">
        <f>Raw_Transactions!F628</f>
        <v/>
      </c>
      <c r="G628" s="2">
        <f>Raw_Transactions!G628</f>
        <v/>
      </c>
      <c r="H628" s="2">
        <f>XLOOKUP(B628,Raw_Risk_Profiles!$A:$A,Raw_Risk_Profiles!$B:$B,"Not Found")</f>
        <v/>
      </c>
      <c r="I628" s="2">
        <f>XLOOKUP(B628,Raw_Risk_Profiles!$A:$A,Raw_Risk_Profiles!$C:$C,"Missing")</f>
        <v/>
      </c>
      <c r="J628" s="2">
        <f>XLOOKUP(B628,Raw_Risk_Profiles!$A:$A,Raw_Risk_Profiles!$D:$D,"")</f>
        <v/>
      </c>
      <c r="K628" s="2">
        <f>IFERROR(INDEX(Raw_Risk_Profiles!$E:$E,MATCH(B628,Raw_Risk_Profiles!$A:$A,0)),"Unknown")</f>
        <v/>
      </c>
      <c r="L628" s="2">
        <f>IFERROR(XLOOKUP(A628,Raw_Alerts!$B:$B,Raw_Alerts!$A:$A),"No Alert")</f>
        <v/>
      </c>
      <c r="M628" s="2">
        <f>IFERROR(XLOOKUP(A628,Raw_Alerts!$B:$B,Raw_Alerts!$C:$C),"")</f>
        <v/>
      </c>
      <c r="N628" s="2">
        <f>IFERROR(XLOOKUP(A628,Raw_Alerts!$B:$B,Raw_Alerts!$D:$D),"")</f>
        <v/>
      </c>
      <c r="O628" s="2">
        <f>IFERROR(XLOOKUP(A628,Raw_Alerts!$B:$B,Raw_Alerts!$F:$F),"")</f>
        <v/>
      </c>
      <c r="P628" s="2">
        <f>IF(H628="Not Found","CRITICAL: No Risk Profile",IF(I628="Missing","WARN: Missing KYC",IF(I628="Expired","WARN: KYC Expired",IF(I628="Pending","INFO: KYC Pending","OK"))))</f>
        <v/>
      </c>
    </row>
    <row r="629">
      <c r="A629" s="4">
        <f>Raw_Transactions!A629</f>
        <v/>
      </c>
      <c r="B629" s="4">
        <f>Raw_Transactions!B629</f>
        <v/>
      </c>
      <c r="C629" s="4">
        <f>Raw_Transactions!C629</f>
        <v/>
      </c>
      <c r="D629" s="5">
        <f>Raw_Transactions!D629</f>
        <v/>
      </c>
      <c r="E629" s="4">
        <f>Raw_Transactions!E629</f>
        <v/>
      </c>
      <c r="F629" s="4">
        <f>Raw_Transactions!F629</f>
        <v/>
      </c>
      <c r="G629" s="4">
        <f>Raw_Transactions!G629</f>
        <v/>
      </c>
      <c r="H629" s="4">
        <f>XLOOKUP(B629,Raw_Risk_Profiles!$A:$A,Raw_Risk_Profiles!$B:$B,"Not Found")</f>
        <v/>
      </c>
      <c r="I629" s="4">
        <f>XLOOKUP(B629,Raw_Risk_Profiles!$A:$A,Raw_Risk_Profiles!$C:$C,"Missing")</f>
        <v/>
      </c>
      <c r="J629" s="4">
        <f>XLOOKUP(B629,Raw_Risk_Profiles!$A:$A,Raw_Risk_Profiles!$D:$D,"")</f>
        <v/>
      </c>
      <c r="K629" s="4">
        <f>IFERROR(INDEX(Raw_Risk_Profiles!$E:$E,MATCH(B629,Raw_Risk_Profiles!$A:$A,0)),"Unknown")</f>
        <v/>
      </c>
      <c r="L629" s="4">
        <f>IFERROR(XLOOKUP(A629,Raw_Alerts!$B:$B,Raw_Alerts!$A:$A),"No Alert")</f>
        <v/>
      </c>
      <c r="M629" s="4">
        <f>IFERROR(XLOOKUP(A629,Raw_Alerts!$B:$B,Raw_Alerts!$C:$C),"")</f>
        <v/>
      </c>
      <c r="N629" s="4">
        <f>IFERROR(XLOOKUP(A629,Raw_Alerts!$B:$B,Raw_Alerts!$D:$D),"")</f>
        <v/>
      </c>
      <c r="O629" s="4">
        <f>IFERROR(XLOOKUP(A629,Raw_Alerts!$B:$B,Raw_Alerts!$F:$F),"")</f>
        <v/>
      </c>
      <c r="P629" s="4">
        <f>IF(H629="Not Found","CRITICAL: No Risk Profile",IF(I629="Missing","WARN: Missing KYC",IF(I629="Expired","WARN: KYC Expired",IF(I629="Pending","INFO: KYC Pending","OK"))))</f>
        <v/>
      </c>
    </row>
    <row r="630">
      <c r="A630" s="2">
        <f>Raw_Transactions!A630</f>
        <v/>
      </c>
      <c r="B630" s="2">
        <f>Raw_Transactions!B630</f>
        <v/>
      </c>
      <c r="C630" s="2">
        <f>Raw_Transactions!C630</f>
        <v/>
      </c>
      <c r="D630" s="3">
        <f>Raw_Transactions!D630</f>
        <v/>
      </c>
      <c r="E630" s="2">
        <f>Raw_Transactions!E630</f>
        <v/>
      </c>
      <c r="F630" s="2">
        <f>Raw_Transactions!F630</f>
        <v/>
      </c>
      <c r="G630" s="2">
        <f>Raw_Transactions!G630</f>
        <v/>
      </c>
      <c r="H630" s="2">
        <f>XLOOKUP(B630,Raw_Risk_Profiles!$A:$A,Raw_Risk_Profiles!$B:$B,"Not Found")</f>
        <v/>
      </c>
      <c r="I630" s="2">
        <f>XLOOKUP(B630,Raw_Risk_Profiles!$A:$A,Raw_Risk_Profiles!$C:$C,"Missing")</f>
        <v/>
      </c>
      <c r="J630" s="2">
        <f>XLOOKUP(B630,Raw_Risk_Profiles!$A:$A,Raw_Risk_Profiles!$D:$D,"")</f>
        <v/>
      </c>
      <c r="K630" s="2">
        <f>IFERROR(INDEX(Raw_Risk_Profiles!$E:$E,MATCH(B630,Raw_Risk_Profiles!$A:$A,0)),"Unknown")</f>
        <v/>
      </c>
      <c r="L630" s="2">
        <f>IFERROR(XLOOKUP(A630,Raw_Alerts!$B:$B,Raw_Alerts!$A:$A),"No Alert")</f>
        <v/>
      </c>
      <c r="M630" s="2">
        <f>IFERROR(XLOOKUP(A630,Raw_Alerts!$B:$B,Raw_Alerts!$C:$C),"")</f>
        <v/>
      </c>
      <c r="N630" s="2">
        <f>IFERROR(XLOOKUP(A630,Raw_Alerts!$B:$B,Raw_Alerts!$D:$D),"")</f>
        <v/>
      </c>
      <c r="O630" s="2">
        <f>IFERROR(XLOOKUP(A630,Raw_Alerts!$B:$B,Raw_Alerts!$F:$F),"")</f>
        <v/>
      </c>
      <c r="P630" s="2">
        <f>IF(H630="Not Found","CRITICAL: No Risk Profile",IF(I630="Missing","WARN: Missing KYC",IF(I630="Expired","WARN: KYC Expired",IF(I630="Pending","INFO: KYC Pending","OK"))))</f>
        <v/>
      </c>
    </row>
    <row r="631">
      <c r="A631" s="4">
        <f>Raw_Transactions!A631</f>
        <v/>
      </c>
      <c r="B631" s="4">
        <f>Raw_Transactions!B631</f>
        <v/>
      </c>
      <c r="C631" s="4">
        <f>Raw_Transactions!C631</f>
        <v/>
      </c>
      <c r="D631" s="5">
        <f>Raw_Transactions!D631</f>
        <v/>
      </c>
      <c r="E631" s="4">
        <f>Raw_Transactions!E631</f>
        <v/>
      </c>
      <c r="F631" s="4">
        <f>Raw_Transactions!F631</f>
        <v/>
      </c>
      <c r="G631" s="4">
        <f>Raw_Transactions!G631</f>
        <v/>
      </c>
      <c r="H631" s="4">
        <f>XLOOKUP(B631,Raw_Risk_Profiles!$A:$A,Raw_Risk_Profiles!$B:$B,"Not Found")</f>
        <v/>
      </c>
      <c r="I631" s="4">
        <f>XLOOKUP(B631,Raw_Risk_Profiles!$A:$A,Raw_Risk_Profiles!$C:$C,"Missing")</f>
        <v/>
      </c>
      <c r="J631" s="4">
        <f>XLOOKUP(B631,Raw_Risk_Profiles!$A:$A,Raw_Risk_Profiles!$D:$D,"")</f>
        <v/>
      </c>
      <c r="K631" s="4">
        <f>IFERROR(INDEX(Raw_Risk_Profiles!$E:$E,MATCH(B631,Raw_Risk_Profiles!$A:$A,0)),"Unknown")</f>
        <v/>
      </c>
      <c r="L631" s="4">
        <f>IFERROR(XLOOKUP(A631,Raw_Alerts!$B:$B,Raw_Alerts!$A:$A),"No Alert")</f>
        <v/>
      </c>
      <c r="M631" s="4">
        <f>IFERROR(XLOOKUP(A631,Raw_Alerts!$B:$B,Raw_Alerts!$C:$C),"")</f>
        <v/>
      </c>
      <c r="N631" s="4">
        <f>IFERROR(XLOOKUP(A631,Raw_Alerts!$B:$B,Raw_Alerts!$D:$D),"")</f>
        <v/>
      </c>
      <c r="O631" s="4">
        <f>IFERROR(XLOOKUP(A631,Raw_Alerts!$B:$B,Raw_Alerts!$F:$F),"")</f>
        <v/>
      </c>
      <c r="P631" s="4">
        <f>IF(H631="Not Found","CRITICAL: No Risk Profile",IF(I631="Missing","WARN: Missing KYC",IF(I631="Expired","WARN: KYC Expired",IF(I631="Pending","INFO: KYC Pending","OK"))))</f>
        <v/>
      </c>
    </row>
    <row r="632">
      <c r="A632" s="2">
        <f>Raw_Transactions!A632</f>
        <v/>
      </c>
      <c r="B632" s="2">
        <f>Raw_Transactions!B632</f>
        <v/>
      </c>
      <c r="C632" s="2">
        <f>Raw_Transactions!C632</f>
        <v/>
      </c>
      <c r="D632" s="3">
        <f>Raw_Transactions!D632</f>
        <v/>
      </c>
      <c r="E632" s="2">
        <f>Raw_Transactions!E632</f>
        <v/>
      </c>
      <c r="F632" s="2">
        <f>Raw_Transactions!F632</f>
        <v/>
      </c>
      <c r="G632" s="2">
        <f>Raw_Transactions!G632</f>
        <v/>
      </c>
      <c r="H632" s="2">
        <f>XLOOKUP(B632,Raw_Risk_Profiles!$A:$A,Raw_Risk_Profiles!$B:$B,"Not Found")</f>
        <v/>
      </c>
      <c r="I632" s="2">
        <f>XLOOKUP(B632,Raw_Risk_Profiles!$A:$A,Raw_Risk_Profiles!$C:$C,"Missing")</f>
        <v/>
      </c>
      <c r="J632" s="2">
        <f>XLOOKUP(B632,Raw_Risk_Profiles!$A:$A,Raw_Risk_Profiles!$D:$D,"")</f>
        <v/>
      </c>
      <c r="K632" s="2">
        <f>IFERROR(INDEX(Raw_Risk_Profiles!$E:$E,MATCH(B632,Raw_Risk_Profiles!$A:$A,0)),"Unknown")</f>
        <v/>
      </c>
      <c r="L632" s="2">
        <f>IFERROR(XLOOKUP(A632,Raw_Alerts!$B:$B,Raw_Alerts!$A:$A),"No Alert")</f>
        <v/>
      </c>
      <c r="M632" s="2">
        <f>IFERROR(XLOOKUP(A632,Raw_Alerts!$B:$B,Raw_Alerts!$C:$C),"")</f>
        <v/>
      </c>
      <c r="N632" s="2">
        <f>IFERROR(XLOOKUP(A632,Raw_Alerts!$B:$B,Raw_Alerts!$D:$D),"")</f>
        <v/>
      </c>
      <c r="O632" s="2">
        <f>IFERROR(XLOOKUP(A632,Raw_Alerts!$B:$B,Raw_Alerts!$F:$F),"")</f>
        <v/>
      </c>
      <c r="P632" s="2">
        <f>IF(H632="Not Found","CRITICAL: No Risk Profile",IF(I632="Missing","WARN: Missing KYC",IF(I632="Expired","WARN: KYC Expired",IF(I632="Pending","INFO: KYC Pending","OK"))))</f>
        <v/>
      </c>
    </row>
    <row r="633">
      <c r="A633" s="4">
        <f>Raw_Transactions!A633</f>
        <v/>
      </c>
      <c r="B633" s="4">
        <f>Raw_Transactions!B633</f>
        <v/>
      </c>
      <c r="C633" s="4">
        <f>Raw_Transactions!C633</f>
        <v/>
      </c>
      <c r="D633" s="5">
        <f>Raw_Transactions!D633</f>
        <v/>
      </c>
      <c r="E633" s="4">
        <f>Raw_Transactions!E633</f>
        <v/>
      </c>
      <c r="F633" s="4">
        <f>Raw_Transactions!F633</f>
        <v/>
      </c>
      <c r="G633" s="4">
        <f>Raw_Transactions!G633</f>
        <v/>
      </c>
      <c r="H633" s="4">
        <f>XLOOKUP(B633,Raw_Risk_Profiles!$A:$A,Raw_Risk_Profiles!$B:$B,"Not Found")</f>
        <v/>
      </c>
      <c r="I633" s="4">
        <f>XLOOKUP(B633,Raw_Risk_Profiles!$A:$A,Raw_Risk_Profiles!$C:$C,"Missing")</f>
        <v/>
      </c>
      <c r="J633" s="4">
        <f>XLOOKUP(B633,Raw_Risk_Profiles!$A:$A,Raw_Risk_Profiles!$D:$D,"")</f>
        <v/>
      </c>
      <c r="K633" s="4">
        <f>IFERROR(INDEX(Raw_Risk_Profiles!$E:$E,MATCH(B633,Raw_Risk_Profiles!$A:$A,0)),"Unknown")</f>
        <v/>
      </c>
      <c r="L633" s="4">
        <f>IFERROR(XLOOKUP(A633,Raw_Alerts!$B:$B,Raw_Alerts!$A:$A),"No Alert")</f>
        <v/>
      </c>
      <c r="M633" s="4">
        <f>IFERROR(XLOOKUP(A633,Raw_Alerts!$B:$B,Raw_Alerts!$C:$C),"")</f>
        <v/>
      </c>
      <c r="N633" s="4">
        <f>IFERROR(XLOOKUP(A633,Raw_Alerts!$B:$B,Raw_Alerts!$D:$D),"")</f>
        <v/>
      </c>
      <c r="O633" s="4">
        <f>IFERROR(XLOOKUP(A633,Raw_Alerts!$B:$B,Raw_Alerts!$F:$F),"")</f>
        <v/>
      </c>
      <c r="P633" s="4">
        <f>IF(H633="Not Found","CRITICAL: No Risk Profile",IF(I633="Missing","WARN: Missing KYC",IF(I633="Expired","WARN: KYC Expired",IF(I633="Pending","INFO: KYC Pending","OK"))))</f>
        <v/>
      </c>
    </row>
    <row r="634">
      <c r="A634" s="2">
        <f>Raw_Transactions!A634</f>
        <v/>
      </c>
      <c r="B634" s="2">
        <f>Raw_Transactions!B634</f>
        <v/>
      </c>
      <c r="C634" s="2">
        <f>Raw_Transactions!C634</f>
        <v/>
      </c>
      <c r="D634" s="3">
        <f>Raw_Transactions!D634</f>
        <v/>
      </c>
      <c r="E634" s="2">
        <f>Raw_Transactions!E634</f>
        <v/>
      </c>
      <c r="F634" s="2">
        <f>Raw_Transactions!F634</f>
        <v/>
      </c>
      <c r="G634" s="2">
        <f>Raw_Transactions!G634</f>
        <v/>
      </c>
      <c r="H634" s="2">
        <f>XLOOKUP(B634,Raw_Risk_Profiles!$A:$A,Raw_Risk_Profiles!$B:$B,"Not Found")</f>
        <v/>
      </c>
      <c r="I634" s="2">
        <f>XLOOKUP(B634,Raw_Risk_Profiles!$A:$A,Raw_Risk_Profiles!$C:$C,"Missing")</f>
        <v/>
      </c>
      <c r="J634" s="2">
        <f>XLOOKUP(B634,Raw_Risk_Profiles!$A:$A,Raw_Risk_Profiles!$D:$D,"")</f>
        <v/>
      </c>
      <c r="K634" s="2">
        <f>IFERROR(INDEX(Raw_Risk_Profiles!$E:$E,MATCH(B634,Raw_Risk_Profiles!$A:$A,0)),"Unknown")</f>
        <v/>
      </c>
      <c r="L634" s="2">
        <f>IFERROR(XLOOKUP(A634,Raw_Alerts!$B:$B,Raw_Alerts!$A:$A),"No Alert")</f>
        <v/>
      </c>
      <c r="M634" s="2">
        <f>IFERROR(XLOOKUP(A634,Raw_Alerts!$B:$B,Raw_Alerts!$C:$C),"")</f>
        <v/>
      </c>
      <c r="N634" s="2">
        <f>IFERROR(XLOOKUP(A634,Raw_Alerts!$B:$B,Raw_Alerts!$D:$D),"")</f>
        <v/>
      </c>
      <c r="O634" s="2">
        <f>IFERROR(XLOOKUP(A634,Raw_Alerts!$B:$B,Raw_Alerts!$F:$F),"")</f>
        <v/>
      </c>
      <c r="P634" s="2">
        <f>IF(H634="Not Found","CRITICAL: No Risk Profile",IF(I634="Missing","WARN: Missing KYC",IF(I634="Expired","WARN: KYC Expired",IF(I634="Pending","INFO: KYC Pending","OK"))))</f>
        <v/>
      </c>
    </row>
    <row r="635">
      <c r="A635" s="4">
        <f>Raw_Transactions!A635</f>
        <v/>
      </c>
      <c r="B635" s="4">
        <f>Raw_Transactions!B635</f>
        <v/>
      </c>
      <c r="C635" s="4">
        <f>Raw_Transactions!C635</f>
        <v/>
      </c>
      <c r="D635" s="5">
        <f>Raw_Transactions!D635</f>
        <v/>
      </c>
      <c r="E635" s="4">
        <f>Raw_Transactions!E635</f>
        <v/>
      </c>
      <c r="F635" s="4">
        <f>Raw_Transactions!F635</f>
        <v/>
      </c>
      <c r="G635" s="4">
        <f>Raw_Transactions!G635</f>
        <v/>
      </c>
      <c r="H635" s="4">
        <f>XLOOKUP(B635,Raw_Risk_Profiles!$A:$A,Raw_Risk_Profiles!$B:$B,"Not Found")</f>
        <v/>
      </c>
      <c r="I635" s="4">
        <f>XLOOKUP(B635,Raw_Risk_Profiles!$A:$A,Raw_Risk_Profiles!$C:$C,"Missing")</f>
        <v/>
      </c>
      <c r="J635" s="4">
        <f>XLOOKUP(B635,Raw_Risk_Profiles!$A:$A,Raw_Risk_Profiles!$D:$D,"")</f>
        <v/>
      </c>
      <c r="K635" s="4">
        <f>IFERROR(INDEX(Raw_Risk_Profiles!$E:$E,MATCH(B635,Raw_Risk_Profiles!$A:$A,0)),"Unknown")</f>
        <v/>
      </c>
      <c r="L635" s="4">
        <f>IFERROR(XLOOKUP(A635,Raw_Alerts!$B:$B,Raw_Alerts!$A:$A),"No Alert")</f>
        <v/>
      </c>
      <c r="M635" s="4">
        <f>IFERROR(XLOOKUP(A635,Raw_Alerts!$B:$B,Raw_Alerts!$C:$C),"")</f>
        <v/>
      </c>
      <c r="N635" s="4">
        <f>IFERROR(XLOOKUP(A635,Raw_Alerts!$B:$B,Raw_Alerts!$D:$D),"")</f>
        <v/>
      </c>
      <c r="O635" s="4">
        <f>IFERROR(XLOOKUP(A635,Raw_Alerts!$B:$B,Raw_Alerts!$F:$F),"")</f>
        <v/>
      </c>
      <c r="P635" s="4">
        <f>IF(H635="Not Found","CRITICAL: No Risk Profile",IF(I635="Missing","WARN: Missing KYC",IF(I635="Expired","WARN: KYC Expired",IF(I635="Pending","INFO: KYC Pending","OK"))))</f>
        <v/>
      </c>
    </row>
    <row r="636">
      <c r="A636" s="2">
        <f>Raw_Transactions!A636</f>
        <v/>
      </c>
      <c r="B636" s="2">
        <f>Raw_Transactions!B636</f>
        <v/>
      </c>
      <c r="C636" s="2">
        <f>Raw_Transactions!C636</f>
        <v/>
      </c>
      <c r="D636" s="3">
        <f>Raw_Transactions!D636</f>
        <v/>
      </c>
      <c r="E636" s="2">
        <f>Raw_Transactions!E636</f>
        <v/>
      </c>
      <c r="F636" s="2">
        <f>Raw_Transactions!F636</f>
        <v/>
      </c>
      <c r="G636" s="2">
        <f>Raw_Transactions!G636</f>
        <v/>
      </c>
      <c r="H636" s="2">
        <f>XLOOKUP(B636,Raw_Risk_Profiles!$A:$A,Raw_Risk_Profiles!$B:$B,"Not Found")</f>
        <v/>
      </c>
      <c r="I636" s="2">
        <f>XLOOKUP(B636,Raw_Risk_Profiles!$A:$A,Raw_Risk_Profiles!$C:$C,"Missing")</f>
        <v/>
      </c>
      <c r="J636" s="2">
        <f>XLOOKUP(B636,Raw_Risk_Profiles!$A:$A,Raw_Risk_Profiles!$D:$D,"")</f>
        <v/>
      </c>
      <c r="K636" s="2">
        <f>IFERROR(INDEX(Raw_Risk_Profiles!$E:$E,MATCH(B636,Raw_Risk_Profiles!$A:$A,0)),"Unknown")</f>
        <v/>
      </c>
      <c r="L636" s="2">
        <f>IFERROR(XLOOKUP(A636,Raw_Alerts!$B:$B,Raw_Alerts!$A:$A),"No Alert")</f>
        <v/>
      </c>
      <c r="M636" s="2">
        <f>IFERROR(XLOOKUP(A636,Raw_Alerts!$B:$B,Raw_Alerts!$C:$C),"")</f>
        <v/>
      </c>
      <c r="N636" s="2">
        <f>IFERROR(XLOOKUP(A636,Raw_Alerts!$B:$B,Raw_Alerts!$D:$D),"")</f>
        <v/>
      </c>
      <c r="O636" s="2">
        <f>IFERROR(XLOOKUP(A636,Raw_Alerts!$B:$B,Raw_Alerts!$F:$F),"")</f>
        <v/>
      </c>
      <c r="P636" s="2">
        <f>IF(H636="Not Found","CRITICAL: No Risk Profile",IF(I636="Missing","WARN: Missing KYC",IF(I636="Expired","WARN: KYC Expired",IF(I636="Pending","INFO: KYC Pending","OK"))))</f>
        <v/>
      </c>
    </row>
    <row r="637">
      <c r="A637" s="4">
        <f>Raw_Transactions!A637</f>
        <v/>
      </c>
      <c r="B637" s="4">
        <f>Raw_Transactions!B637</f>
        <v/>
      </c>
      <c r="C637" s="4">
        <f>Raw_Transactions!C637</f>
        <v/>
      </c>
      <c r="D637" s="5">
        <f>Raw_Transactions!D637</f>
        <v/>
      </c>
      <c r="E637" s="4">
        <f>Raw_Transactions!E637</f>
        <v/>
      </c>
      <c r="F637" s="4">
        <f>Raw_Transactions!F637</f>
        <v/>
      </c>
      <c r="G637" s="4">
        <f>Raw_Transactions!G637</f>
        <v/>
      </c>
      <c r="H637" s="4">
        <f>XLOOKUP(B637,Raw_Risk_Profiles!$A:$A,Raw_Risk_Profiles!$B:$B,"Not Found")</f>
        <v/>
      </c>
      <c r="I637" s="4">
        <f>XLOOKUP(B637,Raw_Risk_Profiles!$A:$A,Raw_Risk_Profiles!$C:$C,"Missing")</f>
        <v/>
      </c>
      <c r="J637" s="4">
        <f>XLOOKUP(B637,Raw_Risk_Profiles!$A:$A,Raw_Risk_Profiles!$D:$D,"")</f>
        <v/>
      </c>
      <c r="K637" s="4">
        <f>IFERROR(INDEX(Raw_Risk_Profiles!$E:$E,MATCH(B637,Raw_Risk_Profiles!$A:$A,0)),"Unknown")</f>
        <v/>
      </c>
      <c r="L637" s="4">
        <f>IFERROR(XLOOKUP(A637,Raw_Alerts!$B:$B,Raw_Alerts!$A:$A),"No Alert")</f>
        <v/>
      </c>
      <c r="M637" s="4">
        <f>IFERROR(XLOOKUP(A637,Raw_Alerts!$B:$B,Raw_Alerts!$C:$C),"")</f>
        <v/>
      </c>
      <c r="N637" s="4">
        <f>IFERROR(XLOOKUP(A637,Raw_Alerts!$B:$B,Raw_Alerts!$D:$D),"")</f>
        <v/>
      </c>
      <c r="O637" s="4">
        <f>IFERROR(XLOOKUP(A637,Raw_Alerts!$B:$B,Raw_Alerts!$F:$F),"")</f>
        <v/>
      </c>
      <c r="P637" s="4">
        <f>IF(H637="Not Found","CRITICAL: No Risk Profile",IF(I637="Missing","WARN: Missing KYC",IF(I637="Expired","WARN: KYC Expired",IF(I637="Pending","INFO: KYC Pending","OK"))))</f>
        <v/>
      </c>
    </row>
    <row r="638">
      <c r="A638" s="2">
        <f>Raw_Transactions!A638</f>
        <v/>
      </c>
      <c r="B638" s="2">
        <f>Raw_Transactions!B638</f>
        <v/>
      </c>
      <c r="C638" s="2">
        <f>Raw_Transactions!C638</f>
        <v/>
      </c>
      <c r="D638" s="3">
        <f>Raw_Transactions!D638</f>
        <v/>
      </c>
      <c r="E638" s="2">
        <f>Raw_Transactions!E638</f>
        <v/>
      </c>
      <c r="F638" s="2">
        <f>Raw_Transactions!F638</f>
        <v/>
      </c>
      <c r="G638" s="2">
        <f>Raw_Transactions!G638</f>
        <v/>
      </c>
      <c r="H638" s="2">
        <f>XLOOKUP(B638,Raw_Risk_Profiles!$A:$A,Raw_Risk_Profiles!$B:$B,"Not Found")</f>
        <v/>
      </c>
      <c r="I638" s="2">
        <f>XLOOKUP(B638,Raw_Risk_Profiles!$A:$A,Raw_Risk_Profiles!$C:$C,"Missing")</f>
        <v/>
      </c>
      <c r="J638" s="2">
        <f>XLOOKUP(B638,Raw_Risk_Profiles!$A:$A,Raw_Risk_Profiles!$D:$D,"")</f>
        <v/>
      </c>
      <c r="K638" s="2">
        <f>IFERROR(INDEX(Raw_Risk_Profiles!$E:$E,MATCH(B638,Raw_Risk_Profiles!$A:$A,0)),"Unknown")</f>
        <v/>
      </c>
      <c r="L638" s="2">
        <f>IFERROR(XLOOKUP(A638,Raw_Alerts!$B:$B,Raw_Alerts!$A:$A),"No Alert")</f>
        <v/>
      </c>
      <c r="M638" s="2">
        <f>IFERROR(XLOOKUP(A638,Raw_Alerts!$B:$B,Raw_Alerts!$C:$C),"")</f>
        <v/>
      </c>
      <c r="N638" s="2">
        <f>IFERROR(XLOOKUP(A638,Raw_Alerts!$B:$B,Raw_Alerts!$D:$D),"")</f>
        <v/>
      </c>
      <c r="O638" s="2">
        <f>IFERROR(XLOOKUP(A638,Raw_Alerts!$B:$B,Raw_Alerts!$F:$F),"")</f>
        <v/>
      </c>
      <c r="P638" s="2">
        <f>IF(H638="Not Found","CRITICAL: No Risk Profile",IF(I638="Missing","WARN: Missing KYC",IF(I638="Expired","WARN: KYC Expired",IF(I638="Pending","INFO: KYC Pending","OK"))))</f>
        <v/>
      </c>
    </row>
    <row r="639">
      <c r="A639" s="4">
        <f>Raw_Transactions!A639</f>
        <v/>
      </c>
      <c r="B639" s="4">
        <f>Raw_Transactions!B639</f>
        <v/>
      </c>
      <c r="C639" s="4">
        <f>Raw_Transactions!C639</f>
        <v/>
      </c>
      <c r="D639" s="5">
        <f>Raw_Transactions!D639</f>
        <v/>
      </c>
      <c r="E639" s="4">
        <f>Raw_Transactions!E639</f>
        <v/>
      </c>
      <c r="F639" s="4">
        <f>Raw_Transactions!F639</f>
        <v/>
      </c>
      <c r="G639" s="4">
        <f>Raw_Transactions!G639</f>
        <v/>
      </c>
      <c r="H639" s="4">
        <f>XLOOKUP(B639,Raw_Risk_Profiles!$A:$A,Raw_Risk_Profiles!$B:$B,"Not Found")</f>
        <v/>
      </c>
      <c r="I639" s="4">
        <f>XLOOKUP(B639,Raw_Risk_Profiles!$A:$A,Raw_Risk_Profiles!$C:$C,"Missing")</f>
        <v/>
      </c>
      <c r="J639" s="4">
        <f>XLOOKUP(B639,Raw_Risk_Profiles!$A:$A,Raw_Risk_Profiles!$D:$D,"")</f>
        <v/>
      </c>
      <c r="K639" s="4">
        <f>IFERROR(INDEX(Raw_Risk_Profiles!$E:$E,MATCH(B639,Raw_Risk_Profiles!$A:$A,0)),"Unknown")</f>
        <v/>
      </c>
      <c r="L639" s="4">
        <f>IFERROR(XLOOKUP(A639,Raw_Alerts!$B:$B,Raw_Alerts!$A:$A),"No Alert")</f>
        <v/>
      </c>
      <c r="M639" s="4">
        <f>IFERROR(XLOOKUP(A639,Raw_Alerts!$B:$B,Raw_Alerts!$C:$C),"")</f>
        <v/>
      </c>
      <c r="N639" s="4">
        <f>IFERROR(XLOOKUP(A639,Raw_Alerts!$B:$B,Raw_Alerts!$D:$D),"")</f>
        <v/>
      </c>
      <c r="O639" s="4">
        <f>IFERROR(XLOOKUP(A639,Raw_Alerts!$B:$B,Raw_Alerts!$F:$F),"")</f>
        <v/>
      </c>
      <c r="P639" s="4">
        <f>IF(H639="Not Found","CRITICAL: No Risk Profile",IF(I639="Missing","WARN: Missing KYC",IF(I639="Expired","WARN: KYC Expired",IF(I639="Pending","INFO: KYC Pending","OK"))))</f>
        <v/>
      </c>
    </row>
    <row r="640">
      <c r="A640" s="2">
        <f>Raw_Transactions!A640</f>
        <v/>
      </c>
      <c r="B640" s="2">
        <f>Raw_Transactions!B640</f>
        <v/>
      </c>
      <c r="C640" s="2">
        <f>Raw_Transactions!C640</f>
        <v/>
      </c>
      <c r="D640" s="3">
        <f>Raw_Transactions!D640</f>
        <v/>
      </c>
      <c r="E640" s="2">
        <f>Raw_Transactions!E640</f>
        <v/>
      </c>
      <c r="F640" s="2">
        <f>Raw_Transactions!F640</f>
        <v/>
      </c>
      <c r="G640" s="2">
        <f>Raw_Transactions!G640</f>
        <v/>
      </c>
      <c r="H640" s="2">
        <f>XLOOKUP(B640,Raw_Risk_Profiles!$A:$A,Raw_Risk_Profiles!$B:$B,"Not Found")</f>
        <v/>
      </c>
      <c r="I640" s="2">
        <f>XLOOKUP(B640,Raw_Risk_Profiles!$A:$A,Raw_Risk_Profiles!$C:$C,"Missing")</f>
        <v/>
      </c>
      <c r="J640" s="2">
        <f>XLOOKUP(B640,Raw_Risk_Profiles!$A:$A,Raw_Risk_Profiles!$D:$D,"")</f>
        <v/>
      </c>
      <c r="K640" s="2">
        <f>IFERROR(INDEX(Raw_Risk_Profiles!$E:$E,MATCH(B640,Raw_Risk_Profiles!$A:$A,0)),"Unknown")</f>
        <v/>
      </c>
      <c r="L640" s="2">
        <f>IFERROR(XLOOKUP(A640,Raw_Alerts!$B:$B,Raw_Alerts!$A:$A),"No Alert")</f>
        <v/>
      </c>
      <c r="M640" s="2">
        <f>IFERROR(XLOOKUP(A640,Raw_Alerts!$B:$B,Raw_Alerts!$C:$C),"")</f>
        <v/>
      </c>
      <c r="N640" s="2">
        <f>IFERROR(XLOOKUP(A640,Raw_Alerts!$B:$B,Raw_Alerts!$D:$D),"")</f>
        <v/>
      </c>
      <c r="O640" s="2">
        <f>IFERROR(XLOOKUP(A640,Raw_Alerts!$B:$B,Raw_Alerts!$F:$F),"")</f>
        <v/>
      </c>
      <c r="P640" s="2">
        <f>IF(H640="Not Found","CRITICAL: No Risk Profile",IF(I640="Missing","WARN: Missing KYC",IF(I640="Expired","WARN: KYC Expired",IF(I640="Pending","INFO: KYC Pending","OK"))))</f>
        <v/>
      </c>
    </row>
    <row r="641">
      <c r="A641" s="4">
        <f>Raw_Transactions!A641</f>
        <v/>
      </c>
      <c r="B641" s="4">
        <f>Raw_Transactions!B641</f>
        <v/>
      </c>
      <c r="C641" s="4">
        <f>Raw_Transactions!C641</f>
        <v/>
      </c>
      <c r="D641" s="5">
        <f>Raw_Transactions!D641</f>
        <v/>
      </c>
      <c r="E641" s="4">
        <f>Raw_Transactions!E641</f>
        <v/>
      </c>
      <c r="F641" s="4">
        <f>Raw_Transactions!F641</f>
        <v/>
      </c>
      <c r="G641" s="4">
        <f>Raw_Transactions!G641</f>
        <v/>
      </c>
      <c r="H641" s="4">
        <f>XLOOKUP(B641,Raw_Risk_Profiles!$A:$A,Raw_Risk_Profiles!$B:$B,"Not Found")</f>
        <v/>
      </c>
      <c r="I641" s="4">
        <f>XLOOKUP(B641,Raw_Risk_Profiles!$A:$A,Raw_Risk_Profiles!$C:$C,"Missing")</f>
        <v/>
      </c>
      <c r="J641" s="4">
        <f>XLOOKUP(B641,Raw_Risk_Profiles!$A:$A,Raw_Risk_Profiles!$D:$D,"")</f>
        <v/>
      </c>
      <c r="K641" s="4">
        <f>IFERROR(INDEX(Raw_Risk_Profiles!$E:$E,MATCH(B641,Raw_Risk_Profiles!$A:$A,0)),"Unknown")</f>
        <v/>
      </c>
      <c r="L641" s="4">
        <f>IFERROR(XLOOKUP(A641,Raw_Alerts!$B:$B,Raw_Alerts!$A:$A),"No Alert")</f>
        <v/>
      </c>
      <c r="M641" s="4">
        <f>IFERROR(XLOOKUP(A641,Raw_Alerts!$B:$B,Raw_Alerts!$C:$C),"")</f>
        <v/>
      </c>
      <c r="N641" s="4">
        <f>IFERROR(XLOOKUP(A641,Raw_Alerts!$B:$B,Raw_Alerts!$D:$D),"")</f>
        <v/>
      </c>
      <c r="O641" s="4">
        <f>IFERROR(XLOOKUP(A641,Raw_Alerts!$B:$B,Raw_Alerts!$F:$F),"")</f>
        <v/>
      </c>
      <c r="P641" s="4">
        <f>IF(H641="Not Found","CRITICAL: No Risk Profile",IF(I641="Missing","WARN: Missing KYC",IF(I641="Expired","WARN: KYC Expired",IF(I641="Pending","INFO: KYC Pending","OK"))))</f>
        <v/>
      </c>
    </row>
    <row r="642">
      <c r="A642" s="2">
        <f>Raw_Transactions!A642</f>
        <v/>
      </c>
      <c r="B642" s="2">
        <f>Raw_Transactions!B642</f>
        <v/>
      </c>
      <c r="C642" s="2">
        <f>Raw_Transactions!C642</f>
        <v/>
      </c>
      <c r="D642" s="3">
        <f>Raw_Transactions!D642</f>
        <v/>
      </c>
      <c r="E642" s="2">
        <f>Raw_Transactions!E642</f>
        <v/>
      </c>
      <c r="F642" s="2">
        <f>Raw_Transactions!F642</f>
        <v/>
      </c>
      <c r="G642" s="2">
        <f>Raw_Transactions!G642</f>
        <v/>
      </c>
      <c r="H642" s="2">
        <f>XLOOKUP(B642,Raw_Risk_Profiles!$A:$A,Raw_Risk_Profiles!$B:$B,"Not Found")</f>
        <v/>
      </c>
      <c r="I642" s="2">
        <f>XLOOKUP(B642,Raw_Risk_Profiles!$A:$A,Raw_Risk_Profiles!$C:$C,"Missing")</f>
        <v/>
      </c>
      <c r="J642" s="2">
        <f>XLOOKUP(B642,Raw_Risk_Profiles!$A:$A,Raw_Risk_Profiles!$D:$D,"")</f>
        <v/>
      </c>
      <c r="K642" s="2">
        <f>IFERROR(INDEX(Raw_Risk_Profiles!$E:$E,MATCH(B642,Raw_Risk_Profiles!$A:$A,0)),"Unknown")</f>
        <v/>
      </c>
      <c r="L642" s="2">
        <f>IFERROR(XLOOKUP(A642,Raw_Alerts!$B:$B,Raw_Alerts!$A:$A),"No Alert")</f>
        <v/>
      </c>
      <c r="M642" s="2">
        <f>IFERROR(XLOOKUP(A642,Raw_Alerts!$B:$B,Raw_Alerts!$C:$C),"")</f>
        <v/>
      </c>
      <c r="N642" s="2">
        <f>IFERROR(XLOOKUP(A642,Raw_Alerts!$B:$B,Raw_Alerts!$D:$D),"")</f>
        <v/>
      </c>
      <c r="O642" s="2">
        <f>IFERROR(XLOOKUP(A642,Raw_Alerts!$B:$B,Raw_Alerts!$F:$F),"")</f>
        <v/>
      </c>
      <c r="P642" s="2">
        <f>IF(H642="Not Found","CRITICAL: No Risk Profile",IF(I642="Missing","WARN: Missing KYC",IF(I642="Expired","WARN: KYC Expired",IF(I642="Pending","INFO: KYC Pending","OK"))))</f>
        <v/>
      </c>
    </row>
    <row r="643">
      <c r="A643" s="4">
        <f>Raw_Transactions!A643</f>
        <v/>
      </c>
      <c r="B643" s="4">
        <f>Raw_Transactions!B643</f>
        <v/>
      </c>
      <c r="C643" s="4">
        <f>Raw_Transactions!C643</f>
        <v/>
      </c>
      <c r="D643" s="5">
        <f>Raw_Transactions!D643</f>
        <v/>
      </c>
      <c r="E643" s="4">
        <f>Raw_Transactions!E643</f>
        <v/>
      </c>
      <c r="F643" s="4">
        <f>Raw_Transactions!F643</f>
        <v/>
      </c>
      <c r="G643" s="4">
        <f>Raw_Transactions!G643</f>
        <v/>
      </c>
      <c r="H643" s="4">
        <f>XLOOKUP(B643,Raw_Risk_Profiles!$A:$A,Raw_Risk_Profiles!$B:$B,"Not Found")</f>
        <v/>
      </c>
      <c r="I643" s="4">
        <f>XLOOKUP(B643,Raw_Risk_Profiles!$A:$A,Raw_Risk_Profiles!$C:$C,"Missing")</f>
        <v/>
      </c>
      <c r="J643" s="4">
        <f>XLOOKUP(B643,Raw_Risk_Profiles!$A:$A,Raw_Risk_Profiles!$D:$D,"")</f>
        <v/>
      </c>
      <c r="K643" s="4">
        <f>IFERROR(INDEX(Raw_Risk_Profiles!$E:$E,MATCH(B643,Raw_Risk_Profiles!$A:$A,0)),"Unknown")</f>
        <v/>
      </c>
      <c r="L643" s="4">
        <f>IFERROR(XLOOKUP(A643,Raw_Alerts!$B:$B,Raw_Alerts!$A:$A),"No Alert")</f>
        <v/>
      </c>
      <c r="M643" s="4">
        <f>IFERROR(XLOOKUP(A643,Raw_Alerts!$B:$B,Raw_Alerts!$C:$C),"")</f>
        <v/>
      </c>
      <c r="N643" s="4">
        <f>IFERROR(XLOOKUP(A643,Raw_Alerts!$B:$B,Raw_Alerts!$D:$D),"")</f>
        <v/>
      </c>
      <c r="O643" s="4">
        <f>IFERROR(XLOOKUP(A643,Raw_Alerts!$B:$B,Raw_Alerts!$F:$F),"")</f>
        <v/>
      </c>
      <c r="P643" s="4">
        <f>IF(H643="Not Found","CRITICAL: No Risk Profile",IF(I643="Missing","WARN: Missing KYC",IF(I643="Expired","WARN: KYC Expired",IF(I643="Pending","INFO: KYC Pending","OK"))))</f>
        <v/>
      </c>
    </row>
    <row r="644">
      <c r="A644" s="2">
        <f>Raw_Transactions!A644</f>
        <v/>
      </c>
      <c r="B644" s="2">
        <f>Raw_Transactions!B644</f>
        <v/>
      </c>
      <c r="C644" s="2">
        <f>Raw_Transactions!C644</f>
        <v/>
      </c>
      <c r="D644" s="3">
        <f>Raw_Transactions!D644</f>
        <v/>
      </c>
      <c r="E644" s="2">
        <f>Raw_Transactions!E644</f>
        <v/>
      </c>
      <c r="F644" s="2">
        <f>Raw_Transactions!F644</f>
        <v/>
      </c>
      <c r="G644" s="2">
        <f>Raw_Transactions!G644</f>
        <v/>
      </c>
      <c r="H644" s="2">
        <f>XLOOKUP(B644,Raw_Risk_Profiles!$A:$A,Raw_Risk_Profiles!$B:$B,"Not Found")</f>
        <v/>
      </c>
      <c r="I644" s="2">
        <f>XLOOKUP(B644,Raw_Risk_Profiles!$A:$A,Raw_Risk_Profiles!$C:$C,"Missing")</f>
        <v/>
      </c>
      <c r="J644" s="2">
        <f>XLOOKUP(B644,Raw_Risk_Profiles!$A:$A,Raw_Risk_Profiles!$D:$D,"")</f>
        <v/>
      </c>
      <c r="K644" s="2">
        <f>IFERROR(INDEX(Raw_Risk_Profiles!$E:$E,MATCH(B644,Raw_Risk_Profiles!$A:$A,0)),"Unknown")</f>
        <v/>
      </c>
      <c r="L644" s="2">
        <f>IFERROR(XLOOKUP(A644,Raw_Alerts!$B:$B,Raw_Alerts!$A:$A),"No Alert")</f>
        <v/>
      </c>
      <c r="M644" s="2">
        <f>IFERROR(XLOOKUP(A644,Raw_Alerts!$B:$B,Raw_Alerts!$C:$C),"")</f>
        <v/>
      </c>
      <c r="N644" s="2">
        <f>IFERROR(XLOOKUP(A644,Raw_Alerts!$B:$B,Raw_Alerts!$D:$D),"")</f>
        <v/>
      </c>
      <c r="O644" s="2">
        <f>IFERROR(XLOOKUP(A644,Raw_Alerts!$B:$B,Raw_Alerts!$F:$F),"")</f>
        <v/>
      </c>
      <c r="P644" s="2">
        <f>IF(H644="Not Found","CRITICAL: No Risk Profile",IF(I644="Missing","WARN: Missing KYC",IF(I644="Expired","WARN: KYC Expired",IF(I644="Pending","INFO: KYC Pending","OK"))))</f>
        <v/>
      </c>
    </row>
    <row r="645">
      <c r="A645" s="4">
        <f>Raw_Transactions!A645</f>
        <v/>
      </c>
      <c r="B645" s="4">
        <f>Raw_Transactions!B645</f>
        <v/>
      </c>
      <c r="C645" s="4">
        <f>Raw_Transactions!C645</f>
        <v/>
      </c>
      <c r="D645" s="5">
        <f>Raw_Transactions!D645</f>
        <v/>
      </c>
      <c r="E645" s="4">
        <f>Raw_Transactions!E645</f>
        <v/>
      </c>
      <c r="F645" s="4">
        <f>Raw_Transactions!F645</f>
        <v/>
      </c>
      <c r="G645" s="4">
        <f>Raw_Transactions!G645</f>
        <v/>
      </c>
      <c r="H645" s="4">
        <f>XLOOKUP(B645,Raw_Risk_Profiles!$A:$A,Raw_Risk_Profiles!$B:$B,"Not Found")</f>
        <v/>
      </c>
      <c r="I645" s="4">
        <f>XLOOKUP(B645,Raw_Risk_Profiles!$A:$A,Raw_Risk_Profiles!$C:$C,"Missing")</f>
        <v/>
      </c>
      <c r="J645" s="4">
        <f>XLOOKUP(B645,Raw_Risk_Profiles!$A:$A,Raw_Risk_Profiles!$D:$D,"")</f>
        <v/>
      </c>
      <c r="K645" s="4">
        <f>IFERROR(INDEX(Raw_Risk_Profiles!$E:$E,MATCH(B645,Raw_Risk_Profiles!$A:$A,0)),"Unknown")</f>
        <v/>
      </c>
      <c r="L645" s="4">
        <f>IFERROR(XLOOKUP(A645,Raw_Alerts!$B:$B,Raw_Alerts!$A:$A),"No Alert")</f>
        <v/>
      </c>
      <c r="M645" s="4">
        <f>IFERROR(XLOOKUP(A645,Raw_Alerts!$B:$B,Raw_Alerts!$C:$C),"")</f>
        <v/>
      </c>
      <c r="N645" s="4">
        <f>IFERROR(XLOOKUP(A645,Raw_Alerts!$B:$B,Raw_Alerts!$D:$D),"")</f>
        <v/>
      </c>
      <c r="O645" s="4">
        <f>IFERROR(XLOOKUP(A645,Raw_Alerts!$B:$B,Raw_Alerts!$F:$F),"")</f>
        <v/>
      </c>
      <c r="P645" s="4">
        <f>IF(H645="Not Found","CRITICAL: No Risk Profile",IF(I645="Missing","WARN: Missing KYC",IF(I645="Expired","WARN: KYC Expired",IF(I645="Pending","INFO: KYC Pending","OK"))))</f>
        <v/>
      </c>
    </row>
    <row r="646">
      <c r="A646" s="2">
        <f>Raw_Transactions!A646</f>
        <v/>
      </c>
      <c r="B646" s="2">
        <f>Raw_Transactions!B646</f>
        <v/>
      </c>
      <c r="C646" s="2">
        <f>Raw_Transactions!C646</f>
        <v/>
      </c>
      <c r="D646" s="3">
        <f>Raw_Transactions!D646</f>
        <v/>
      </c>
      <c r="E646" s="2">
        <f>Raw_Transactions!E646</f>
        <v/>
      </c>
      <c r="F646" s="2">
        <f>Raw_Transactions!F646</f>
        <v/>
      </c>
      <c r="G646" s="2">
        <f>Raw_Transactions!G646</f>
        <v/>
      </c>
      <c r="H646" s="2">
        <f>XLOOKUP(B646,Raw_Risk_Profiles!$A:$A,Raw_Risk_Profiles!$B:$B,"Not Found")</f>
        <v/>
      </c>
      <c r="I646" s="2">
        <f>XLOOKUP(B646,Raw_Risk_Profiles!$A:$A,Raw_Risk_Profiles!$C:$C,"Missing")</f>
        <v/>
      </c>
      <c r="J646" s="2">
        <f>XLOOKUP(B646,Raw_Risk_Profiles!$A:$A,Raw_Risk_Profiles!$D:$D,"")</f>
        <v/>
      </c>
      <c r="K646" s="2">
        <f>IFERROR(INDEX(Raw_Risk_Profiles!$E:$E,MATCH(B646,Raw_Risk_Profiles!$A:$A,0)),"Unknown")</f>
        <v/>
      </c>
      <c r="L646" s="2">
        <f>IFERROR(XLOOKUP(A646,Raw_Alerts!$B:$B,Raw_Alerts!$A:$A),"No Alert")</f>
        <v/>
      </c>
      <c r="M646" s="2">
        <f>IFERROR(XLOOKUP(A646,Raw_Alerts!$B:$B,Raw_Alerts!$C:$C),"")</f>
        <v/>
      </c>
      <c r="N646" s="2">
        <f>IFERROR(XLOOKUP(A646,Raw_Alerts!$B:$B,Raw_Alerts!$D:$D),"")</f>
        <v/>
      </c>
      <c r="O646" s="2">
        <f>IFERROR(XLOOKUP(A646,Raw_Alerts!$B:$B,Raw_Alerts!$F:$F),"")</f>
        <v/>
      </c>
      <c r="P646" s="2">
        <f>IF(H646="Not Found","CRITICAL: No Risk Profile",IF(I646="Missing","WARN: Missing KYC",IF(I646="Expired","WARN: KYC Expired",IF(I646="Pending","INFO: KYC Pending","OK"))))</f>
        <v/>
      </c>
    </row>
    <row r="647">
      <c r="A647" s="4">
        <f>Raw_Transactions!A647</f>
        <v/>
      </c>
      <c r="B647" s="4">
        <f>Raw_Transactions!B647</f>
        <v/>
      </c>
      <c r="C647" s="4">
        <f>Raw_Transactions!C647</f>
        <v/>
      </c>
      <c r="D647" s="5">
        <f>Raw_Transactions!D647</f>
        <v/>
      </c>
      <c r="E647" s="4">
        <f>Raw_Transactions!E647</f>
        <v/>
      </c>
      <c r="F647" s="4">
        <f>Raw_Transactions!F647</f>
        <v/>
      </c>
      <c r="G647" s="4">
        <f>Raw_Transactions!G647</f>
        <v/>
      </c>
      <c r="H647" s="4">
        <f>XLOOKUP(B647,Raw_Risk_Profiles!$A:$A,Raw_Risk_Profiles!$B:$B,"Not Found")</f>
        <v/>
      </c>
      <c r="I647" s="4">
        <f>XLOOKUP(B647,Raw_Risk_Profiles!$A:$A,Raw_Risk_Profiles!$C:$C,"Missing")</f>
        <v/>
      </c>
      <c r="J647" s="4">
        <f>XLOOKUP(B647,Raw_Risk_Profiles!$A:$A,Raw_Risk_Profiles!$D:$D,"")</f>
        <v/>
      </c>
      <c r="K647" s="4">
        <f>IFERROR(INDEX(Raw_Risk_Profiles!$E:$E,MATCH(B647,Raw_Risk_Profiles!$A:$A,0)),"Unknown")</f>
        <v/>
      </c>
      <c r="L647" s="4">
        <f>IFERROR(XLOOKUP(A647,Raw_Alerts!$B:$B,Raw_Alerts!$A:$A),"No Alert")</f>
        <v/>
      </c>
      <c r="M647" s="4">
        <f>IFERROR(XLOOKUP(A647,Raw_Alerts!$B:$B,Raw_Alerts!$C:$C),"")</f>
        <v/>
      </c>
      <c r="N647" s="4">
        <f>IFERROR(XLOOKUP(A647,Raw_Alerts!$B:$B,Raw_Alerts!$D:$D),"")</f>
        <v/>
      </c>
      <c r="O647" s="4">
        <f>IFERROR(XLOOKUP(A647,Raw_Alerts!$B:$B,Raw_Alerts!$F:$F),"")</f>
        <v/>
      </c>
      <c r="P647" s="4">
        <f>IF(H647="Not Found","CRITICAL: No Risk Profile",IF(I647="Missing","WARN: Missing KYC",IF(I647="Expired","WARN: KYC Expired",IF(I647="Pending","INFO: KYC Pending","OK"))))</f>
        <v/>
      </c>
    </row>
    <row r="648">
      <c r="A648" s="2">
        <f>Raw_Transactions!A648</f>
        <v/>
      </c>
      <c r="B648" s="2">
        <f>Raw_Transactions!B648</f>
        <v/>
      </c>
      <c r="C648" s="2">
        <f>Raw_Transactions!C648</f>
        <v/>
      </c>
      <c r="D648" s="3">
        <f>Raw_Transactions!D648</f>
        <v/>
      </c>
      <c r="E648" s="2">
        <f>Raw_Transactions!E648</f>
        <v/>
      </c>
      <c r="F648" s="2">
        <f>Raw_Transactions!F648</f>
        <v/>
      </c>
      <c r="G648" s="2">
        <f>Raw_Transactions!G648</f>
        <v/>
      </c>
      <c r="H648" s="2">
        <f>XLOOKUP(B648,Raw_Risk_Profiles!$A:$A,Raw_Risk_Profiles!$B:$B,"Not Found")</f>
        <v/>
      </c>
      <c r="I648" s="2">
        <f>XLOOKUP(B648,Raw_Risk_Profiles!$A:$A,Raw_Risk_Profiles!$C:$C,"Missing")</f>
        <v/>
      </c>
      <c r="J648" s="2">
        <f>XLOOKUP(B648,Raw_Risk_Profiles!$A:$A,Raw_Risk_Profiles!$D:$D,"")</f>
        <v/>
      </c>
      <c r="K648" s="2">
        <f>IFERROR(INDEX(Raw_Risk_Profiles!$E:$E,MATCH(B648,Raw_Risk_Profiles!$A:$A,0)),"Unknown")</f>
        <v/>
      </c>
      <c r="L648" s="2">
        <f>IFERROR(XLOOKUP(A648,Raw_Alerts!$B:$B,Raw_Alerts!$A:$A),"No Alert")</f>
        <v/>
      </c>
      <c r="M648" s="2">
        <f>IFERROR(XLOOKUP(A648,Raw_Alerts!$B:$B,Raw_Alerts!$C:$C),"")</f>
        <v/>
      </c>
      <c r="N648" s="2">
        <f>IFERROR(XLOOKUP(A648,Raw_Alerts!$B:$B,Raw_Alerts!$D:$D),"")</f>
        <v/>
      </c>
      <c r="O648" s="2">
        <f>IFERROR(XLOOKUP(A648,Raw_Alerts!$B:$B,Raw_Alerts!$F:$F),"")</f>
        <v/>
      </c>
      <c r="P648" s="2">
        <f>IF(H648="Not Found","CRITICAL: No Risk Profile",IF(I648="Missing","WARN: Missing KYC",IF(I648="Expired","WARN: KYC Expired",IF(I648="Pending","INFO: KYC Pending","OK"))))</f>
        <v/>
      </c>
    </row>
    <row r="649">
      <c r="A649" s="4">
        <f>Raw_Transactions!A649</f>
        <v/>
      </c>
      <c r="B649" s="4">
        <f>Raw_Transactions!B649</f>
        <v/>
      </c>
      <c r="C649" s="4">
        <f>Raw_Transactions!C649</f>
        <v/>
      </c>
      <c r="D649" s="5">
        <f>Raw_Transactions!D649</f>
        <v/>
      </c>
      <c r="E649" s="4">
        <f>Raw_Transactions!E649</f>
        <v/>
      </c>
      <c r="F649" s="4">
        <f>Raw_Transactions!F649</f>
        <v/>
      </c>
      <c r="G649" s="4">
        <f>Raw_Transactions!G649</f>
        <v/>
      </c>
      <c r="H649" s="4">
        <f>XLOOKUP(B649,Raw_Risk_Profiles!$A:$A,Raw_Risk_Profiles!$B:$B,"Not Found")</f>
        <v/>
      </c>
      <c r="I649" s="4">
        <f>XLOOKUP(B649,Raw_Risk_Profiles!$A:$A,Raw_Risk_Profiles!$C:$C,"Missing")</f>
        <v/>
      </c>
      <c r="J649" s="4">
        <f>XLOOKUP(B649,Raw_Risk_Profiles!$A:$A,Raw_Risk_Profiles!$D:$D,"")</f>
        <v/>
      </c>
      <c r="K649" s="4">
        <f>IFERROR(INDEX(Raw_Risk_Profiles!$E:$E,MATCH(B649,Raw_Risk_Profiles!$A:$A,0)),"Unknown")</f>
        <v/>
      </c>
      <c r="L649" s="4">
        <f>IFERROR(XLOOKUP(A649,Raw_Alerts!$B:$B,Raw_Alerts!$A:$A),"No Alert")</f>
        <v/>
      </c>
      <c r="M649" s="4">
        <f>IFERROR(XLOOKUP(A649,Raw_Alerts!$B:$B,Raw_Alerts!$C:$C),"")</f>
        <v/>
      </c>
      <c r="N649" s="4">
        <f>IFERROR(XLOOKUP(A649,Raw_Alerts!$B:$B,Raw_Alerts!$D:$D),"")</f>
        <v/>
      </c>
      <c r="O649" s="4">
        <f>IFERROR(XLOOKUP(A649,Raw_Alerts!$B:$B,Raw_Alerts!$F:$F),"")</f>
        <v/>
      </c>
      <c r="P649" s="4">
        <f>IF(H649="Not Found","CRITICAL: No Risk Profile",IF(I649="Missing","WARN: Missing KYC",IF(I649="Expired","WARN: KYC Expired",IF(I649="Pending","INFO: KYC Pending","OK"))))</f>
        <v/>
      </c>
    </row>
    <row r="650">
      <c r="A650" s="2">
        <f>Raw_Transactions!A650</f>
        <v/>
      </c>
      <c r="B650" s="2">
        <f>Raw_Transactions!B650</f>
        <v/>
      </c>
      <c r="C650" s="2">
        <f>Raw_Transactions!C650</f>
        <v/>
      </c>
      <c r="D650" s="3">
        <f>Raw_Transactions!D650</f>
        <v/>
      </c>
      <c r="E650" s="2">
        <f>Raw_Transactions!E650</f>
        <v/>
      </c>
      <c r="F650" s="2">
        <f>Raw_Transactions!F650</f>
        <v/>
      </c>
      <c r="G650" s="2">
        <f>Raw_Transactions!G650</f>
        <v/>
      </c>
      <c r="H650" s="2">
        <f>XLOOKUP(B650,Raw_Risk_Profiles!$A:$A,Raw_Risk_Profiles!$B:$B,"Not Found")</f>
        <v/>
      </c>
      <c r="I650" s="2">
        <f>XLOOKUP(B650,Raw_Risk_Profiles!$A:$A,Raw_Risk_Profiles!$C:$C,"Missing")</f>
        <v/>
      </c>
      <c r="J650" s="2">
        <f>XLOOKUP(B650,Raw_Risk_Profiles!$A:$A,Raw_Risk_Profiles!$D:$D,"")</f>
        <v/>
      </c>
      <c r="K650" s="2">
        <f>IFERROR(INDEX(Raw_Risk_Profiles!$E:$E,MATCH(B650,Raw_Risk_Profiles!$A:$A,0)),"Unknown")</f>
        <v/>
      </c>
      <c r="L650" s="2">
        <f>IFERROR(XLOOKUP(A650,Raw_Alerts!$B:$B,Raw_Alerts!$A:$A),"No Alert")</f>
        <v/>
      </c>
      <c r="M650" s="2">
        <f>IFERROR(XLOOKUP(A650,Raw_Alerts!$B:$B,Raw_Alerts!$C:$C),"")</f>
        <v/>
      </c>
      <c r="N650" s="2">
        <f>IFERROR(XLOOKUP(A650,Raw_Alerts!$B:$B,Raw_Alerts!$D:$D),"")</f>
        <v/>
      </c>
      <c r="O650" s="2">
        <f>IFERROR(XLOOKUP(A650,Raw_Alerts!$B:$B,Raw_Alerts!$F:$F),"")</f>
        <v/>
      </c>
      <c r="P650" s="2">
        <f>IF(H650="Not Found","CRITICAL: No Risk Profile",IF(I650="Missing","WARN: Missing KYC",IF(I650="Expired","WARN: KYC Expired",IF(I650="Pending","INFO: KYC Pending","OK"))))</f>
        <v/>
      </c>
    </row>
    <row r="651">
      <c r="A651" s="4">
        <f>Raw_Transactions!A651</f>
        <v/>
      </c>
      <c r="B651" s="4">
        <f>Raw_Transactions!B651</f>
        <v/>
      </c>
      <c r="C651" s="4">
        <f>Raw_Transactions!C651</f>
        <v/>
      </c>
      <c r="D651" s="5">
        <f>Raw_Transactions!D651</f>
        <v/>
      </c>
      <c r="E651" s="4">
        <f>Raw_Transactions!E651</f>
        <v/>
      </c>
      <c r="F651" s="4">
        <f>Raw_Transactions!F651</f>
        <v/>
      </c>
      <c r="G651" s="4">
        <f>Raw_Transactions!G651</f>
        <v/>
      </c>
      <c r="H651" s="4">
        <f>XLOOKUP(B651,Raw_Risk_Profiles!$A:$A,Raw_Risk_Profiles!$B:$B,"Not Found")</f>
        <v/>
      </c>
      <c r="I651" s="4">
        <f>XLOOKUP(B651,Raw_Risk_Profiles!$A:$A,Raw_Risk_Profiles!$C:$C,"Missing")</f>
        <v/>
      </c>
      <c r="J651" s="4">
        <f>XLOOKUP(B651,Raw_Risk_Profiles!$A:$A,Raw_Risk_Profiles!$D:$D,"")</f>
        <v/>
      </c>
      <c r="K651" s="4">
        <f>IFERROR(INDEX(Raw_Risk_Profiles!$E:$E,MATCH(B651,Raw_Risk_Profiles!$A:$A,0)),"Unknown")</f>
        <v/>
      </c>
      <c r="L651" s="4">
        <f>IFERROR(XLOOKUP(A651,Raw_Alerts!$B:$B,Raw_Alerts!$A:$A),"No Alert")</f>
        <v/>
      </c>
      <c r="M651" s="4">
        <f>IFERROR(XLOOKUP(A651,Raw_Alerts!$B:$B,Raw_Alerts!$C:$C),"")</f>
        <v/>
      </c>
      <c r="N651" s="4">
        <f>IFERROR(XLOOKUP(A651,Raw_Alerts!$B:$B,Raw_Alerts!$D:$D),"")</f>
        <v/>
      </c>
      <c r="O651" s="4">
        <f>IFERROR(XLOOKUP(A651,Raw_Alerts!$B:$B,Raw_Alerts!$F:$F),"")</f>
        <v/>
      </c>
      <c r="P651" s="4">
        <f>IF(H651="Not Found","CRITICAL: No Risk Profile",IF(I651="Missing","WARN: Missing KYC",IF(I651="Expired","WARN: KYC Expired",IF(I651="Pending","INFO: KYC Pending","OK"))))</f>
        <v/>
      </c>
    </row>
    <row r="652">
      <c r="A652" s="2">
        <f>Raw_Transactions!A652</f>
        <v/>
      </c>
      <c r="B652" s="2">
        <f>Raw_Transactions!B652</f>
        <v/>
      </c>
      <c r="C652" s="2">
        <f>Raw_Transactions!C652</f>
        <v/>
      </c>
      <c r="D652" s="3">
        <f>Raw_Transactions!D652</f>
        <v/>
      </c>
      <c r="E652" s="2">
        <f>Raw_Transactions!E652</f>
        <v/>
      </c>
      <c r="F652" s="2">
        <f>Raw_Transactions!F652</f>
        <v/>
      </c>
      <c r="G652" s="2">
        <f>Raw_Transactions!G652</f>
        <v/>
      </c>
      <c r="H652" s="2">
        <f>XLOOKUP(B652,Raw_Risk_Profiles!$A:$A,Raw_Risk_Profiles!$B:$B,"Not Found")</f>
        <v/>
      </c>
      <c r="I652" s="2">
        <f>XLOOKUP(B652,Raw_Risk_Profiles!$A:$A,Raw_Risk_Profiles!$C:$C,"Missing")</f>
        <v/>
      </c>
      <c r="J652" s="2">
        <f>XLOOKUP(B652,Raw_Risk_Profiles!$A:$A,Raw_Risk_Profiles!$D:$D,"")</f>
        <v/>
      </c>
      <c r="K652" s="2">
        <f>IFERROR(INDEX(Raw_Risk_Profiles!$E:$E,MATCH(B652,Raw_Risk_Profiles!$A:$A,0)),"Unknown")</f>
        <v/>
      </c>
      <c r="L652" s="2">
        <f>IFERROR(XLOOKUP(A652,Raw_Alerts!$B:$B,Raw_Alerts!$A:$A),"No Alert")</f>
        <v/>
      </c>
      <c r="M652" s="2">
        <f>IFERROR(XLOOKUP(A652,Raw_Alerts!$B:$B,Raw_Alerts!$C:$C),"")</f>
        <v/>
      </c>
      <c r="N652" s="2">
        <f>IFERROR(XLOOKUP(A652,Raw_Alerts!$B:$B,Raw_Alerts!$D:$D),"")</f>
        <v/>
      </c>
      <c r="O652" s="2">
        <f>IFERROR(XLOOKUP(A652,Raw_Alerts!$B:$B,Raw_Alerts!$F:$F),"")</f>
        <v/>
      </c>
      <c r="P652" s="2">
        <f>IF(H652="Not Found","CRITICAL: No Risk Profile",IF(I652="Missing","WARN: Missing KYC",IF(I652="Expired","WARN: KYC Expired",IF(I652="Pending","INFO: KYC Pending","OK"))))</f>
        <v/>
      </c>
    </row>
    <row r="653">
      <c r="A653" s="4">
        <f>Raw_Transactions!A653</f>
        <v/>
      </c>
      <c r="B653" s="4">
        <f>Raw_Transactions!B653</f>
        <v/>
      </c>
      <c r="C653" s="4">
        <f>Raw_Transactions!C653</f>
        <v/>
      </c>
      <c r="D653" s="5">
        <f>Raw_Transactions!D653</f>
        <v/>
      </c>
      <c r="E653" s="4">
        <f>Raw_Transactions!E653</f>
        <v/>
      </c>
      <c r="F653" s="4">
        <f>Raw_Transactions!F653</f>
        <v/>
      </c>
      <c r="G653" s="4">
        <f>Raw_Transactions!G653</f>
        <v/>
      </c>
      <c r="H653" s="4">
        <f>XLOOKUP(B653,Raw_Risk_Profiles!$A:$A,Raw_Risk_Profiles!$B:$B,"Not Found")</f>
        <v/>
      </c>
      <c r="I653" s="4">
        <f>XLOOKUP(B653,Raw_Risk_Profiles!$A:$A,Raw_Risk_Profiles!$C:$C,"Missing")</f>
        <v/>
      </c>
      <c r="J653" s="4">
        <f>XLOOKUP(B653,Raw_Risk_Profiles!$A:$A,Raw_Risk_Profiles!$D:$D,"")</f>
        <v/>
      </c>
      <c r="K653" s="4">
        <f>IFERROR(INDEX(Raw_Risk_Profiles!$E:$E,MATCH(B653,Raw_Risk_Profiles!$A:$A,0)),"Unknown")</f>
        <v/>
      </c>
      <c r="L653" s="4">
        <f>IFERROR(XLOOKUP(A653,Raw_Alerts!$B:$B,Raw_Alerts!$A:$A),"No Alert")</f>
        <v/>
      </c>
      <c r="M653" s="4">
        <f>IFERROR(XLOOKUP(A653,Raw_Alerts!$B:$B,Raw_Alerts!$C:$C),"")</f>
        <v/>
      </c>
      <c r="N653" s="4">
        <f>IFERROR(XLOOKUP(A653,Raw_Alerts!$B:$B,Raw_Alerts!$D:$D),"")</f>
        <v/>
      </c>
      <c r="O653" s="4">
        <f>IFERROR(XLOOKUP(A653,Raw_Alerts!$B:$B,Raw_Alerts!$F:$F),"")</f>
        <v/>
      </c>
      <c r="P653" s="4">
        <f>IF(H653="Not Found","CRITICAL: No Risk Profile",IF(I653="Missing","WARN: Missing KYC",IF(I653="Expired","WARN: KYC Expired",IF(I653="Pending","INFO: KYC Pending","OK"))))</f>
        <v/>
      </c>
    </row>
    <row r="654">
      <c r="A654" s="2">
        <f>Raw_Transactions!A654</f>
        <v/>
      </c>
      <c r="B654" s="2">
        <f>Raw_Transactions!B654</f>
        <v/>
      </c>
      <c r="C654" s="2">
        <f>Raw_Transactions!C654</f>
        <v/>
      </c>
      <c r="D654" s="3">
        <f>Raw_Transactions!D654</f>
        <v/>
      </c>
      <c r="E654" s="2">
        <f>Raw_Transactions!E654</f>
        <v/>
      </c>
      <c r="F654" s="2">
        <f>Raw_Transactions!F654</f>
        <v/>
      </c>
      <c r="G654" s="2">
        <f>Raw_Transactions!G654</f>
        <v/>
      </c>
      <c r="H654" s="2">
        <f>XLOOKUP(B654,Raw_Risk_Profiles!$A:$A,Raw_Risk_Profiles!$B:$B,"Not Found")</f>
        <v/>
      </c>
      <c r="I654" s="2">
        <f>XLOOKUP(B654,Raw_Risk_Profiles!$A:$A,Raw_Risk_Profiles!$C:$C,"Missing")</f>
        <v/>
      </c>
      <c r="J654" s="2">
        <f>XLOOKUP(B654,Raw_Risk_Profiles!$A:$A,Raw_Risk_Profiles!$D:$D,"")</f>
        <v/>
      </c>
      <c r="K654" s="2">
        <f>IFERROR(INDEX(Raw_Risk_Profiles!$E:$E,MATCH(B654,Raw_Risk_Profiles!$A:$A,0)),"Unknown")</f>
        <v/>
      </c>
      <c r="L654" s="2">
        <f>IFERROR(XLOOKUP(A654,Raw_Alerts!$B:$B,Raw_Alerts!$A:$A),"No Alert")</f>
        <v/>
      </c>
      <c r="M654" s="2">
        <f>IFERROR(XLOOKUP(A654,Raw_Alerts!$B:$B,Raw_Alerts!$C:$C),"")</f>
        <v/>
      </c>
      <c r="N654" s="2">
        <f>IFERROR(XLOOKUP(A654,Raw_Alerts!$B:$B,Raw_Alerts!$D:$D),"")</f>
        <v/>
      </c>
      <c r="O654" s="2">
        <f>IFERROR(XLOOKUP(A654,Raw_Alerts!$B:$B,Raw_Alerts!$F:$F),"")</f>
        <v/>
      </c>
      <c r="P654" s="2">
        <f>IF(H654="Not Found","CRITICAL: No Risk Profile",IF(I654="Missing","WARN: Missing KYC",IF(I654="Expired","WARN: KYC Expired",IF(I654="Pending","INFO: KYC Pending","OK"))))</f>
        <v/>
      </c>
    </row>
    <row r="655">
      <c r="A655" s="4">
        <f>Raw_Transactions!A655</f>
        <v/>
      </c>
      <c r="B655" s="4">
        <f>Raw_Transactions!B655</f>
        <v/>
      </c>
      <c r="C655" s="4">
        <f>Raw_Transactions!C655</f>
        <v/>
      </c>
      <c r="D655" s="5">
        <f>Raw_Transactions!D655</f>
        <v/>
      </c>
      <c r="E655" s="4">
        <f>Raw_Transactions!E655</f>
        <v/>
      </c>
      <c r="F655" s="4">
        <f>Raw_Transactions!F655</f>
        <v/>
      </c>
      <c r="G655" s="4">
        <f>Raw_Transactions!G655</f>
        <v/>
      </c>
      <c r="H655" s="4">
        <f>XLOOKUP(B655,Raw_Risk_Profiles!$A:$A,Raw_Risk_Profiles!$B:$B,"Not Found")</f>
        <v/>
      </c>
      <c r="I655" s="4">
        <f>XLOOKUP(B655,Raw_Risk_Profiles!$A:$A,Raw_Risk_Profiles!$C:$C,"Missing")</f>
        <v/>
      </c>
      <c r="J655" s="4">
        <f>XLOOKUP(B655,Raw_Risk_Profiles!$A:$A,Raw_Risk_Profiles!$D:$D,"")</f>
        <v/>
      </c>
      <c r="K655" s="4">
        <f>IFERROR(INDEX(Raw_Risk_Profiles!$E:$E,MATCH(B655,Raw_Risk_Profiles!$A:$A,0)),"Unknown")</f>
        <v/>
      </c>
      <c r="L655" s="4">
        <f>IFERROR(XLOOKUP(A655,Raw_Alerts!$B:$B,Raw_Alerts!$A:$A),"No Alert")</f>
        <v/>
      </c>
      <c r="M655" s="4">
        <f>IFERROR(XLOOKUP(A655,Raw_Alerts!$B:$B,Raw_Alerts!$C:$C),"")</f>
        <v/>
      </c>
      <c r="N655" s="4">
        <f>IFERROR(XLOOKUP(A655,Raw_Alerts!$B:$B,Raw_Alerts!$D:$D),"")</f>
        <v/>
      </c>
      <c r="O655" s="4">
        <f>IFERROR(XLOOKUP(A655,Raw_Alerts!$B:$B,Raw_Alerts!$F:$F),"")</f>
        <v/>
      </c>
      <c r="P655" s="4">
        <f>IF(H655="Not Found","CRITICAL: No Risk Profile",IF(I655="Missing","WARN: Missing KYC",IF(I655="Expired","WARN: KYC Expired",IF(I655="Pending","INFO: KYC Pending","OK"))))</f>
        <v/>
      </c>
    </row>
    <row r="656">
      <c r="A656" s="2">
        <f>Raw_Transactions!A656</f>
        <v/>
      </c>
      <c r="B656" s="2">
        <f>Raw_Transactions!B656</f>
        <v/>
      </c>
      <c r="C656" s="2">
        <f>Raw_Transactions!C656</f>
        <v/>
      </c>
      <c r="D656" s="3">
        <f>Raw_Transactions!D656</f>
        <v/>
      </c>
      <c r="E656" s="2">
        <f>Raw_Transactions!E656</f>
        <v/>
      </c>
      <c r="F656" s="2">
        <f>Raw_Transactions!F656</f>
        <v/>
      </c>
      <c r="G656" s="2">
        <f>Raw_Transactions!G656</f>
        <v/>
      </c>
      <c r="H656" s="2">
        <f>XLOOKUP(B656,Raw_Risk_Profiles!$A:$A,Raw_Risk_Profiles!$B:$B,"Not Found")</f>
        <v/>
      </c>
      <c r="I656" s="2">
        <f>XLOOKUP(B656,Raw_Risk_Profiles!$A:$A,Raw_Risk_Profiles!$C:$C,"Missing")</f>
        <v/>
      </c>
      <c r="J656" s="2">
        <f>XLOOKUP(B656,Raw_Risk_Profiles!$A:$A,Raw_Risk_Profiles!$D:$D,"")</f>
        <v/>
      </c>
      <c r="K656" s="2">
        <f>IFERROR(INDEX(Raw_Risk_Profiles!$E:$E,MATCH(B656,Raw_Risk_Profiles!$A:$A,0)),"Unknown")</f>
        <v/>
      </c>
      <c r="L656" s="2">
        <f>IFERROR(XLOOKUP(A656,Raw_Alerts!$B:$B,Raw_Alerts!$A:$A),"No Alert")</f>
        <v/>
      </c>
      <c r="M656" s="2">
        <f>IFERROR(XLOOKUP(A656,Raw_Alerts!$B:$B,Raw_Alerts!$C:$C),"")</f>
        <v/>
      </c>
      <c r="N656" s="2">
        <f>IFERROR(XLOOKUP(A656,Raw_Alerts!$B:$B,Raw_Alerts!$D:$D),"")</f>
        <v/>
      </c>
      <c r="O656" s="2">
        <f>IFERROR(XLOOKUP(A656,Raw_Alerts!$B:$B,Raw_Alerts!$F:$F),"")</f>
        <v/>
      </c>
      <c r="P656" s="2">
        <f>IF(H656="Not Found","CRITICAL: No Risk Profile",IF(I656="Missing","WARN: Missing KYC",IF(I656="Expired","WARN: KYC Expired",IF(I656="Pending","INFO: KYC Pending","OK"))))</f>
        <v/>
      </c>
    </row>
    <row r="657">
      <c r="A657" s="4">
        <f>Raw_Transactions!A657</f>
        <v/>
      </c>
      <c r="B657" s="4">
        <f>Raw_Transactions!B657</f>
        <v/>
      </c>
      <c r="C657" s="4">
        <f>Raw_Transactions!C657</f>
        <v/>
      </c>
      <c r="D657" s="5">
        <f>Raw_Transactions!D657</f>
        <v/>
      </c>
      <c r="E657" s="4">
        <f>Raw_Transactions!E657</f>
        <v/>
      </c>
      <c r="F657" s="4">
        <f>Raw_Transactions!F657</f>
        <v/>
      </c>
      <c r="G657" s="4">
        <f>Raw_Transactions!G657</f>
        <v/>
      </c>
      <c r="H657" s="4">
        <f>XLOOKUP(B657,Raw_Risk_Profiles!$A:$A,Raw_Risk_Profiles!$B:$B,"Not Found")</f>
        <v/>
      </c>
      <c r="I657" s="4">
        <f>XLOOKUP(B657,Raw_Risk_Profiles!$A:$A,Raw_Risk_Profiles!$C:$C,"Missing")</f>
        <v/>
      </c>
      <c r="J657" s="4">
        <f>XLOOKUP(B657,Raw_Risk_Profiles!$A:$A,Raw_Risk_Profiles!$D:$D,"")</f>
        <v/>
      </c>
      <c r="K657" s="4">
        <f>IFERROR(INDEX(Raw_Risk_Profiles!$E:$E,MATCH(B657,Raw_Risk_Profiles!$A:$A,0)),"Unknown")</f>
        <v/>
      </c>
      <c r="L657" s="4">
        <f>IFERROR(XLOOKUP(A657,Raw_Alerts!$B:$B,Raw_Alerts!$A:$A),"No Alert")</f>
        <v/>
      </c>
      <c r="M657" s="4">
        <f>IFERROR(XLOOKUP(A657,Raw_Alerts!$B:$B,Raw_Alerts!$C:$C),"")</f>
        <v/>
      </c>
      <c r="N657" s="4">
        <f>IFERROR(XLOOKUP(A657,Raw_Alerts!$B:$B,Raw_Alerts!$D:$D),"")</f>
        <v/>
      </c>
      <c r="O657" s="4">
        <f>IFERROR(XLOOKUP(A657,Raw_Alerts!$B:$B,Raw_Alerts!$F:$F),"")</f>
        <v/>
      </c>
      <c r="P657" s="4">
        <f>IF(H657="Not Found","CRITICAL: No Risk Profile",IF(I657="Missing","WARN: Missing KYC",IF(I657="Expired","WARN: KYC Expired",IF(I657="Pending","INFO: KYC Pending","OK"))))</f>
        <v/>
      </c>
    </row>
    <row r="658">
      <c r="A658" s="2">
        <f>Raw_Transactions!A658</f>
        <v/>
      </c>
      <c r="B658" s="2">
        <f>Raw_Transactions!B658</f>
        <v/>
      </c>
      <c r="C658" s="2">
        <f>Raw_Transactions!C658</f>
        <v/>
      </c>
      <c r="D658" s="3">
        <f>Raw_Transactions!D658</f>
        <v/>
      </c>
      <c r="E658" s="2">
        <f>Raw_Transactions!E658</f>
        <v/>
      </c>
      <c r="F658" s="2">
        <f>Raw_Transactions!F658</f>
        <v/>
      </c>
      <c r="G658" s="2">
        <f>Raw_Transactions!G658</f>
        <v/>
      </c>
      <c r="H658" s="2">
        <f>XLOOKUP(B658,Raw_Risk_Profiles!$A:$A,Raw_Risk_Profiles!$B:$B,"Not Found")</f>
        <v/>
      </c>
      <c r="I658" s="2">
        <f>XLOOKUP(B658,Raw_Risk_Profiles!$A:$A,Raw_Risk_Profiles!$C:$C,"Missing")</f>
        <v/>
      </c>
      <c r="J658" s="2">
        <f>XLOOKUP(B658,Raw_Risk_Profiles!$A:$A,Raw_Risk_Profiles!$D:$D,"")</f>
        <v/>
      </c>
      <c r="K658" s="2">
        <f>IFERROR(INDEX(Raw_Risk_Profiles!$E:$E,MATCH(B658,Raw_Risk_Profiles!$A:$A,0)),"Unknown")</f>
        <v/>
      </c>
      <c r="L658" s="2">
        <f>IFERROR(XLOOKUP(A658,Raw_Alerts!$B:$B,Raw_Alerts!$A:$A),"No Alert")</f>
        <v/>
      </c>
      <c r="M658" s="2">
        <f>IFERROR(XLOOKUP(A658,Raw_Alerts!$B:$B,Raw_Alerts!$C:$C),"")</f>
        <v/>
      </c>
      <c r="N658" s="2">
        <f>IFERROR(XLOOKUP(A658,Raw_Alerts!$B:$B,Raw_Alerts!$D:$D),"")</f>
        <v/>
      </c>
      <c r="O658" s="2">
        <f>IFERROR(XLOOKUP(A658,Raw_Alerts!$B:$B,Raw_Alerts!$F:$F),"")</f>
        <v/>
      </c>
      <c r="P658" s="2">
        <f>IF(H658="Not Found","CRITICAL: No Risk Profile",IF(I658="Missing","WARN: Missing KYC",IF(I658="Expired","WARN: KYC Expired",IF(I658="Pending","INFO: KYC Pending","OK"))))</f>
        <v/>
      </c>
    </row>
    <row r="659">
      <c r="A659" s="4">
        <f>Raw_Transactions!A659</f>
        <v/>
      </c>
      <c r="B659" s="4">
        <f>Raw_Transactions!B659</f>
        <v/>
      </c>
      <c r="C659" s="4">
        <f>Raw_Transactions!C659</f>
        <v/>
      </c>
      <c r="D659" s="5">
        <f>Raw_Transactions!D659</f>
        <v/>
      </c>
      <c r="E659" s="4">
        <f>Raw_Transactions!E659</f>
        <v/>
      </c>
      <c r="F659" s="4">
        <f>Raw_Transactions!F659</f>
        <v/>
      </c>
      <c r="G659" s="4">
        <f>Raw_Transactions!G659</f>
        <v/>
      </c>
      <c r="H659" s="4">
        <f>XLOOKUP(B659,Raw_Risk_Profiles!$A:$A,Raw_Risk_Profiles!$B:$B,"Not Found")</f>
        <v/>
      </c>
      <c r="I659" s="4">
        <f>XLOOKUP(B659,Raw_Risk_Profiles!$A:$A,Raw_Risk_Profiles!$C:$C,"Missing")</f>
        <v/>
      </c>
      <c r="J659" s="4">
        <f>XLOOKUP(B659,Raw_Risk_Profiles!$A:$A,Raw_Risk_Profiles!$D:$D,"")</f>
        <v/>
      </c>
      <c r="K659" s="4">
        <f>IFERROR(INDEX(Raw_Risk_Profiles!$E:$E,MATCH(B659,Raw_Risk_Profiles!$A:$A,0)),"Unknown")</f>
        <v/>
      </c>
      <c r="L659" s="4">
        <f>IFERROR(XLOOKUP(A659,Raw_Alerts!$B:$B,Raw_Alerts!$A:$A),"No Alert")</f>
        <v/>
      </c>
      <c r="M659" s="4">
        <f>IFERROR(XLOOKUP(A659,Raw_Alerts!$B:$B,Raw_Alerts!$C:$C),"")</f>
        <v/>
      </c>
      <c r="N659" s="4">
        <f>IFERROR(XLOOKUP(A659,Raw_Alerts!$B:$B,Raw_Alerts!$D:$D),"")</f>
        <v/>
      </c>
      <c r="O659" s="4">
        <f>IFERROR(XLOOKUP(A659,Raw_Alerts!$B:$B,Raw_Alerts!$F:$F),"")</f>
        <v/>
      </c>
      <c r="P659" s="4">
        <f>IF(H659="Not Found","CRITICAL: No Risk Profile",IF(I659="Missing","WARN: Missing KYC",IF(I659="Expired","WARN: KYC Expired",IF(I659="Pending","INFO: KYC Pending","OK"))))</f>
        <v/>
      </c>
    </row>
    <row r="660">
      <c r="A660" s="2">
        <f>Raw_Transactions!A660</f>
        <v/>
      </c>
      <c r="B660" s="2">
        <f>Raw_Transactions!B660</f>
        <v/>
      </c>
      <c r="C660" s="2">
        <f>Raw_Transactions!C660</f>
        <v/>
      </c>
      <c r="D660" s="3">
        <f>Raw_Transactions!D660</f>
        <v/>
      </c>
      <c r="E660" s="2">
        <f>Raw_Transactions!E660</f>
        <v/>
      </c>
      <c r="F660" s="2">
        <f>Raw_Transactions!F660</f>
        <v/>
      </c>
      <c r="G660" s="2">
        <f>Raw_Transactions!G660</f>
        <v/>
      </c>
      <c r="H660" s="2">
        <f>XLOOKUP(B660,Raw_Risk_Profiles!$A:$A,Raw_Risk_Profiles!$B:$B,"Not Found")</f>
        <v/>
      </c>
      <c r="I660" s="2">
        <f>XLOOKUP(B660,Raw_Risk_Profiles!$A:$A,Raw_Risk_Profiles!$C:$C,"Missing")</f>
        <v/>
      </c>
      <c r="J660" s="2">
        <f>XLOOKUP(B660,Raw_Risk_Profiles!$A:$A,Raw_Risk_Profiles!$D:$D,"")</f>
        <v/>
      </c>
      <c r="K660" s="2">
        <f>IFERROR(INDEX(Raw_Risk_Profiles!$E:$E,MATCH(B660,Raw_Risk_Profiles!$A:$A,0)),"Unknown")</f>
        <v/>
      </c>
      <c r="L660" s="2">
        <f>IFERROR(XLOOKUP(A660,Raw_Alerts!$B:$B,Raw_Alerts!$A:$A),"No Alert")</f>
        <v/>
      </c>
      <c r="M660" s="2">
        <f>IFERROR(XLOOKUP(A660,Raw_Alerts!$B:$B,Raw_Alerts!$C:$C),"")</f>
        <v/>
      </c>
      <c r="N660" s="2">
        <f>IFERROR(XLOOKUP(A660,Raw_Alerts!$B:$B,Raw_Alerts!$D:$D),"")</f>
        <v/>
      </c>
      <c r="O660" s="2">
        <f>IFERROR(XLOOKUP(A660,Raw_Alerts!$B:$B,Raw_Alerts!$F:$F),"")</f>
        <v/>
      </c>
      <c r="P660" s="2">
        <f>IF(H660="Not Found","CRITICAL: No Risk Profile",IF(I660="Missing","WARN: Missing KYC",IF(I660="Expired","WARN: KYC Expired",IF(I660="Pending","INFO: KYC Pending","OK"))))</f>
        <v/>
      </c>
    </row>
    <row r="661">
      <c r="A661" s="4">
        <f>Raw_Transactions!A661</f>
        <v/>
      </c>
      <c r="B661" s="4">
        <f>Raw_Transactions!B661</f>
        <v/>
      </c>
      <c r="C661" s="4">
        <f>Raw_Transactions!C661</f>
        <v/>
      </c>
      <c r="D661" s="5">
        <f>Raw_Transactions!D661</f>
        <v/>
      </c>
      <c r="E661" s="4">
        <f>Raw_Transactions!E661</f>
        <v/>
      </c>
      <c r="F661" s="4">
        <f>Raw_Transactions!F661</f>
        <v/>
      </c>
      <c r="G661" s="4">
        <f>Raw_Transactions!G661</f>
        <v/>
      </c>
      <c r="H661" s="4">
        <f>XLOOKUP(B661,Raw_Risk_Profiles!$A:$A,Raw_Risk_Profiles!$B:$B,"Not Found")</f>
        <v/>
      </c>
      <c r="I661" s="4">
        <f>XLOOKUP(B661,Raw_Risk_Profiles!$A:$A,Raw_Risk_Profiles!$C:$C,"Missing")</f>
        <v/>
      </c>
      <c r="J661" s="4">
        <f>XLOOKUP(B661,Raw_Risk_Profiles!$A:$A,Raw_Risk_Profiles!$D:$D,"")</f>
        <v/>
      </c>
      <c r="K661" s="4">
        <f>IFERROR(INDEX(Raw_Risk_Profiles!$E:$E,MATCH(B661,Raw_Risk_Profiles!$A:$A,0)),"Unknown")</f>
        <v/>
      </c>
      <c r="L661" s="4">
        <f>IFERROR(XLOOKUP(A661,Raw_Alerts!$B:$B,Raw_Alerts!$A:$A),"No Alert")</f>
        <v/>
      </c>
      <c r="M661" s="4">
        <f>IFERROR(XLOOKUP(A661,Raw_Alerts!$B:$B,Raw_Alerts!$C:$C),"")</f>
        <v/>
      </c>
      <c r="N661" s="4">
        <f>IFERROR(XLOOKUP(A661,Raw_Alerts!$B:$B,Raw_Alerts!$D:$D),"")</f>
        <v/>
      </c>
      <c r="O661" s="4">
        <f>IFERROR(XLOOKUP(A661,Raw_Alerts!$B:$B,Raw_Alerts!$F:$F),"")</f>
        <v/>
      </c>
      <c r="P661" s="4">
        <f>IF(H661="Not Found","CRITICAL: No Risk Profile",IF(I661="Missing","WARN: Missing KYC",IF(I661="Expired","WARN: KYC Expired",IF(I661="Pending","INFO: KYC Pending","OK"))))</f>
        <v/>
      </c>
    </row>
    <row r="662">
      <c r="A662" s="2">
        <f>Raw_Transactions!A662</f>
        <v/>
      </c>
      <c r="B662" s="2">
        <f>Raw_Transactions!B662</f>
        <v/>
      </c>
      <c r="C662" s="2">
        <f>Raw_Transactions!C662</f>
        <v/>
      </c>
      <c r="D662" s="3">
        <f>Raw_Transactions!D662</f>
        <v/>
      </c>
      <c r="E662" s="2">
        <f>Raw_Transactions!E662</f>
        <v/>
      </c>
      <c r="F662" s="2">
        <f>Raw_Transactions!F662</f>
        <v/>
      </c>
      <c r="G662" s="2">
        <f>Raw_Transactions!G662</f>
        <v/>
      </c>
      <c r="H662" s="2">
        <f>XLOOKUP(B662,Raw_Risk_Profiles!$A:$A,Raw_Risk_Profiles!$B:$B,"Not Found")</f>
        <v/>
      </c>
      <c r="I662" s="2">
        <f>XLOOKUP(B662,Raw_Risk_Profiles!$A:$A,Raw_Risk_Profiles!$C:$C,"Missing")</f>
        <v/>
      </c>
      <c r="J662" s="2">
        <f>XLOOKUP(B662,Raw_Risk_Profiles!$A:$A,Raw_Risk_Profiles!$D:$D,"")</f>
        <v/>
      </c>
      <c r="K662" s="2">
        <f>IFERROR(INDEX(Raw_Risk_Profiles!$E:$E,MATCH(B662,Raw_Risk_Profiles!$A:$A,0)),"Unknown")</f>
        <v/>
      </c>
      <c r="L662" s="2">
        <f>IFERROR(XLOOKUP(A662,Raw_Alerts!$B:$B,Raw_Alerts!$A:$A),"No Alert")</f>
        <v/>
      </c>
      <c r="M662" s="2">
        <f>IFERROR(XLOOKUP(A662,Raw_Alerts!$B:$B,Raw_Alerts!$C:$C),"")</f>
        <v/>
      </c>
      <c r="N662" s="2">
        <f>IFERROR(XLOOKUP(A662,Raw_Alerts!$B:$B,Raw_Alerts!$D:$D),"")</f>
        <v/>
      </c>
      <c r="O662" s="2">
        <f>IFERROR(XLOOKUP(A662,Raw_Alerts!$B:$B,Raw_Alerts!$F:$F),"")</f>
        <v/>
      </c>
      <c r="P662" s="2">
        <f>IF(H662="Not Found","CRITICAL: No Risk Profile",IF(I662="Missing","WARN: Missing KYC",IF(I662="Expired","WARN: KYC Expired",IF(I662="Pending","INFO: KYC Pending","OK"))))</f>
        <v/>
      </c>
    </row>
    <row r="663">
      <c r="A663" s="4">
        <f>Raw_Transactions!A663</f>
        <v/>
      </c>
      <c r="B663" s="4">
        <f>Raw_Transactions!B663</f>
        <v/>
      </c>
      <c r="C663" s="4">
        <f>Raw_Transactions!C663</f>
        <v/>
      </c>
      <c r="D663" s="5">
        <f>Raw_Transactions!D663</f>
        <v/>
      </c>
      <c r="E663" s="4">
        <f>Raw_Transactions!E663</f>
        <v/>
      </c>
      <c r="F663" s="4">
        <f>Raw_Transactions!F663</f>
        <v/>
      </c>
      <c r="G663" s="4">
        <f>Raw_Transactions!G663</f>
        <v/>
      </c>
      <c r="H663" s="4">
        <f>XLOOKUP(B663,Raw_Risk_Profiles!$A:$A,Raw_Risk_Profiles!$B:$B,"Not Found")</f>
        <v/>
      </c>
      <c r="I663" s="4">
        <f>XLOOKUP(B663,Raw_Risk_Profiles!$A:$A,Raw_Risk_Profiles!$C:$C,"Missing")</f>
        <v/>
      </c>
      <c r="J663" s="4">
        <f>XLOOKUP(B663,Raw_Risk_Profiles!$A:$A,Raw_Risk_Profiles!$D:$D,"")</f>
        <v/>
      </c>
      <c r="K663" s="4">
        <f>IFERROR(INDEX(Raw_Risk_Profiles!$E:$E,MATCH(B663,Raw_Risk_Profiles!$A:$A,0)),"Unknown")</f>
        <v/>
      </c>
      <c r="L663" s="4">
        <f>IFERROR(XLOOKUP(A663,Raw_Alerts!$B:$B,Raw_Alerts!$A:$A),"No Alert")</f>
        <v/>
      </c>
      <c r="M663" s="4">
        <f>IFERROR(XLOOKUP(A663,Raw_Alerts!$B:$B,Raw_Alerts!$C:$C),"")</f>
        <v/>
      </c>
      <c r="N663" s="4">
        <f>IFERROR(XLOOKUP(A663,Raw_Alerts!$B:$B,Raw_Alerts!$D:$D),"")</f>
        <v/>
      </c>
      <c r="O663" s="4">
        <f>IFERROR(XLOOKUP(A663,Raw_Alerts!$B:$B,Raw_Alerts!$F:$F),"")</f>
        <v/>
      </c>
      <c r="P663" s="4">
        <f>IF(H663="Not Found","CRITICAL: No Risk Profile",IF(I663="Missing","WARN: Missing KYC",IF(I663="Expired","WARN: KYC Expired",IF(I663="Pending","INFO: KYC Pending","OK"))))</f>
        <v/>
      </c>
    </row>
    <row r="664">
      <c r="A664" s="2">
        <f>Raw_Transactions!A664</f>
        <v/>
      </c>
      <c r="B664" s="2">
        <f>Raw_Transactions!B664</f>
        <v/>
      </c>
      <c r="C664" s="2">
        <f>Raw_Transactions!C664</f>
        <v/>
      </c>
      <c r="D664" s="3">
        <f>Raw_Transactions!D664</f>
        <v/>
      </c>
      <c r="E664" s="2">
        <f>Raw_Transactions!E664</f>
        <v/>
      </c>
      <c r="F664" s="2">
        <f>Raw_Transactions!F664</f>
        <v/>
      </c>
      <c r="G664" s="2">
        <f>Raw_Transactions!G664</f>
        <v/>
      </c>
      <c r="H664" s="2">
        <f>XLOOKUP(B664,Raw_Risk_Profiles!$A:$A,Raw_Risk_Profiles!$B:$B,"Not Found")</f>
        <v/>
      </c>
      <c r="I664" s="2">
        <f>XLOOKUP(B664,Raw_Risk_Profiles!$A:$A,Raw_Risk_Profiles!$C:$C,"Missing")</f>
        <v/>
      </c>
      <c r="J664" s="2">
        <f>XLOOKUP(B664,Raw_Risk_Profiles!$A:$A,Raw_Risk_Profiles!$D:$D,"")</f>
        <v/>
      </c>
      <c r="K664" s="2">
        <f>IFERROR(INDEX(Raw_Risk_Profiles!$E:$E,MATCH(B664,Raw_Risk_Profiles!$A:$A,0)),"Unknown")</f>
        <v/>
      </c>
      <c r="L664" s="2">
        <f>IFERROR(XLOOKUP(A664,Raw_Alerts!$B:$B,Raw_Alerts!$A:$A),"No Alert")</f>
        <v/>
      </c>
      <c r="M664" s="2">
        <f>IFERROR(XLOOKUP(A664,Raw_Alerts!$B:$B,Raw_Alerts!$C:$C),"")</f>
        <v/>
      </c>
      <c r="N664" s="2">
        <f>IFERROR(XLOOKUP(A664,Raw_Alerts!$B:$B,Raw_Alerts!$D:$D),"")</f>
        <v/>
      </c>
      <c r="O664" s="2">
        <f>IFERROR(XLOOKUP(A664,Raw_Alerts!$B:$B,Raw_Alerts!$F:$F),"")</f>
        <v/>
      </c>
      <c r="P664" s="2">
        <f>IF(H664="Not Found","CRITICAL: No Risk Profile",IF(I664="Missing","WARN: Missing KYC",IF(I664="Expired","WARN: KYC Expired",IF(I664="Pending","INFO: KYC Pending","OK"))))</f>
        <v/>
      </c>
    </row>
    <row r="665">
      <c r="A665" s="4">
        <f>Raw_Transactions!A665</f>
        <v/>
      </c>
      <c r="B665" s="4">
        <f>Raw_Transactions!B665</f>
        <v/>
      </c>
      <c r="C665" s="4">
        <f>Raw_Transactions!C665</f>
        <v/>
      </c>
      <c r="D665" s="5">
        <f>Raw_Transactions!D665</f>
        <v/>
      </c>
      <c r="E665" s="4">
        <f>Raw_Transactions!E665</f>
        <v/>
      </c>
      <c r="F665" s="4">
        <f>Raw_Transactions!F665</f>
        <v/>
      </c>
      <c r="G665" s="4">
        <f>Raw_Transactions!G665</f>
        <v/>
      </c>
      <c r="H665" s="4">
        <f>XLOOKUP(B665,Raw_Risk_Profiles!$A:$A,Raw_Risk_Profiles!$B:$B,"Not Found")</f>
        <v/>
      </c>
      <c r="I665" s="4">
        <f>XLOOKUP(B665,Raw_Risk_Profiles!$A:$A,Raw_Risk_Profiles!$C:$C,"Missing")</f>
        <v/>
      </c>
      <c r="J665" s="4">
        <f>XLOOKUP(B665,Raw_Risk_Profiles!$A:$A,Raw_Risk_Profiles!$D:$D,"")</f>
        <v/>
      </c>
      <c r="K665" s="4">
        <f>IFERROR(INDEX(Raw_Risk_Profiles!$E:$E,MATCH(B665,Raw_Risk_Profiles!$A:$A,0)),"Unknown")</f>
        <v/>
      </c>
      <c r="L665" s="4">
        <f>IFERROR(XLOOKUP(A665,Raw_Alerts!$B:$B,Raw_Alerts!$A:$A),"No Alert")</f>
        <v/>
      </c>
      <c r="M665" s="4">
        <f>IFERROR(XLOOKUP(A665,Raw_Alerts!$B:$B,Raw_Alerts!$C:$C),"")</f>
        <v/>
      </c>
      <c r="N665" s="4">
        <f>IFERROR(XLOOKUP(A665,Raw_Alerts!$B:$B,Raw_Alerts!$D:$D),"")</f>
        <v/>
      </c>
      <c r="O665" s="4">
        <f>IFERROR(XLOOKUP(A665,Raw_Alerts!$B:$B,Raw_Alerts!$F:$F),"")</f>
        <v/>
      </c>
      <c r="P665" s="4">
        <f>IF(H665="Not Found","CRITICAL: No Risk Profile",IF(I665="Missing","WARN: Missing KYC",IF(I665="Expired","WARN: KYC Expired",IF(I665="Pending","INFO: KYC Pending","OK"))))</f>
        <v/>
      </c>
    </row>
    <row r="666">
      <c r="A666" s="2">
        <f>Raw_Transactions!A666</f>
        <v/>
      </c>
      <c r="B666" s="2">
        <f>Raw_Transactions!B666</f>
        <v/>
      </c>
      <c r="C666" s="2">
        <f>Raw_Transactions!C666</f>
        <v/>
      </c>
      <c r="D666" s="3">
        <f>Raw_Transactions!D666</f>
        <v/>
      </c>
      <c r="E666" s="2">
        <f>Raw_Transactions!E666</f>
        <v/>
      </c>
      <c r="F666" s="2">
        <f>Raw_Transactions!F666</f>
        <v/>
      </c>
      <c r="G666" s="2">
        <f>Raw_Transactions!G666</f>
        <v/>
      </c>
      <c r="H666" s="2">
        <f>XLOOKUP(B666,Raw_Risk_Profiles!$A:$A,Raw_Risk_Profiles!$B:$B,"Not Found")</f>
        <v/>
      </c>
      <c r="I666" s="2">
        <f>XLOOKUP(B666,Raw_Risk_Profiles!$A:$A,Raw_Risk_Profiles!$C:$C,"Missing")</f>
        <v/>
      </c>
      <c r="J666" s="2">
        <f>XLOOKUP(B666,Raw_Risk_Profiles!$A:$A,Raw_Risk_Profiles!$D:$D,"")</f>
        <v/>
      </c>
      <c r="K666" s="2">
        <f>IFERROR(INDEX(Raw_Risk_Profiles!$E:$E,MATCH(B666,Raw_Risk_Profiles!$A:$A,0)),"Unknown")</f>
        <v/>
      </c>
      <c r="L666" s="2">
        <f>IFERROR(XLOOKUP(A666,Raw_Alerts!$B:$B,Raw_Alerts!$A:$A),"No Alert")</f>
        <v/>
      </c>
      <c r="M666" s="2">
        <f>IFERROR(XLOOKUP(A666,Raw_Alerts!$B:$B,Raw_Alerts!$C:$C),"")</f>
        <v/>
      </c>
      <c r="N666" s="2">
        <f>IFERROR(XLOOKUP(A666,Raw_Alerts!$B:$B,Raw_Alerts!$D:$D),"")</f>
        <v/>
      </c>
      <c r="O666" s="2">
        <f>IFERROR(XLOOKUP(A666,Raw_Alerts!$B:$B,Raw_Alerts!$F:$F),"")</f>
        <v/>
      </c>
      <c r="P666" s="2">
        <f>IF(H666="Not Found","CRITICAL: No Risk Profile",IF(I666="Missing","WARN: Missing KYC",IF(I666="Expired","WARN: KYC Expired",IF(I666="Pending","INFO: KYC Pending","OK"))))</f>
        <v/>
      </c>
    </row>
    <row r="667">
      <c r="A667" s="4">
        <f>Raw_Transactions!A667</f>
        <v/>
      </c>
      <c r="B667" s="4">
        <f>Raw_Transactions!B667</f>
        <v/>
      </c>
      <c r="C667" s="4">
        <f>Raw_Transactions!C667</f>
        <v/>
      </c>
      <c r="D667" s="5">
        <f>Raw_Transactions!D667</f>
        <v/>
      </c>
      <c r="E667" s="4">
        <f>Raw_Transactions!E667</f>
        <v/>
      </c>
      <c r="F667" s="4">
        <f>Raw_Transactions!F667</f>
        <v/>
      </c>
      <c r="G667" s="4">
        <f>Raw_Transactions!G667</f>
        <v/>
      </c>
      <c r="H667" s="4">
        <f>XLOOKUP(B667,Raw_Risk_Profiles!$A:$A,Raw_Risk_Profiles!$B:$B,"Not Found")</f>
        <v/>
      </c>
      <c r="I667" s="4">
        <f>XLOOKUP(B667,Raw_Risk_Profiles!$A:$A,Raw_Risk_Profiles!$C:$C,"Missing")</f>
        <v/>
      </c>
      <c r="J667" s="4">
        <f>XLOOKUP(B667,Raw_Risk_Profiles!$A:$A,Raw_Risk_Profiles!$D:$D,"")</f>
        <v/>
      </c>
      <c r="K667" s="4">
        <f>IFERROR(INDEX(Raw_Risk_Profiles!$E:$E,MATCH(B667,Raw_Risk_Profiles!$A:$A,0)),"Unknown")</f>
        <v/>
      </c>
      <c r="L667" s="4">
        <f>IFERROR(XLOOKUP(A667,Raw_Alerts!$B:$B,Raw_Alerts!$A:$A),"No Alert")</f>
        <v/>
      </c>
      <c r="M667" s="4">
        <f>IFERROR(XLOOKUP(A667,Raw_Alerts!$B:$B,Raw_Alerts!$C:$C),"")</f>
        <v/>
      </c>
      <c r="N667" s="4">
        <f>IFERROR(XLOOKUP(A667,Raw_Alerts!$B:$B,Raw_Alerts!$D:$D),"")</f>
        <v/>
      </c>
      <c r="O667" s="4">
        <f>IFERROR(XLOOKUP(A667,Raw_Alerts!$B:$B,Raw_Alerts!$F:$F),"")</f>
        <v/>
      </c>
      <c r="P667" s="4">
        <f>IF(H667="Not Found","CRITICAL: No Risk Profile",IF(I667="Missing","WARN: Missing KYC",IF(I667="Expired","WARN: KYC Expired",IF(I667="Pending","INFO: KYC Pending","OK"))))</f>
        <v/>
      </c>
    </row>
    <row r="668">
      <c r="A668" s="2">
        <f>Raw_Transactions!A668</f>
        <v/>
      </c>
      <c r="B668" s="2">
        <f>Raw_Transactions!B668</f>
        <v/>
      </c>
      <c r="C668" s="2">
        <f>Raw_Transactions!C668</f>
        <v/>
      </c>
      <c r="D668" s="3">
        <f>Raw_Transactions!D668</f>
        <v/>
      </c>
      <c r="E668" s="2">
        <f>Raw_Transactions!E668</f>
        <v/>
      </c>
      <c r="F668" s="2">
        <f>Raw_Transactions!F668</f>
        <v/>
      </c>
      <c r="G668" s="2">
        <f>Raw_Transactions!G668</f>
        <v/>
      </c>
      <c r="H668" s="2">
        <f>XLOOKUP(B668,Raw_Risk_Profiles!$A:$A,Raw_Risk_Profiles!$B:$B,"Not Found")</f>
        <v/>
      </c>
      <c r="I668" s="2">
        <f>XLOOKUP(B668,Raw_Risk_Profiles!$A:$A,Raw_Risk_Profiles!$C:$C,"Missing")</f>
        <v/>
      </c>
      <c r="J668" s="2">
        <f>XLOOKUP(B668,Raw_Risk_Profiles!$A:$A,Raw_Risk_Profiles!$D:$D,"")</f>
        <v/>
      </c>
      <c r="K668" s="2">
        <f>IFERROR(INDEX(Raw_Risk_Profiles!$E:$E,MATCH(B668,Raw_Risk_Profiles!$A:$A,0)),"Unknown")</f>
        <v/>
      </c>
      <c r="L668" s="2">
        <f>IFERROR(XLOOKUP(A668,Raw_Alerts!$B:$B,Raw_Alerts!$A:$A),"No Alert")</f>
        <v/>
      </c>
      <c r="M668" s="2">
        <f>IFERROR(XLOOKUP(A668,Raw_Alerts!$B:$B,Raw_Alerts!$C:$C),"")</f>
        <v/>
      </c>
      <c r="N668" s="2">
        <f>IFERROR(XLOOKUP(A668,Raw_Alerts!$B:$B,Raw_Alerts!$D:$D),"")</f>
        <v/>
      </c>
      <c r="O668" s="2">
        <f>IFERROR(XLOOKUP(A668,Raw_Alerts!$B:$B,Raw_Alerts!$F:$F),"")</f>
        <v/>
      </c>
      <c r="P668" s="2">
        <f>IF(H668="Not Found","CRITICAL: No Risk Profile",IF(I668="Missing","WARN: Missing KYC",IF(I668="Expired","WARN: KYC Expired",IF(I668="Pending","INFO: KYC Pending","OK"))))</f>
        <v/>
      </c>
    </row>
    <row r="669">
      <c r="A669" s="4">
        <f>Raw_Transactions!A669</f>
        <v/>
      </c>
      <c r="B669" s="4">
        <f>Raw_Transactions!B669</f>
        <v/>
      </c>
      <c r="C669" s="4">
        <f>Raw_Transactions!C669</f>
        <v/>
      </c>
      <c r="D669" s="5">
        <f>Raw_Transactions!D669</f>
        <v/>
      </c>
      <c r="E669" s="4">
        <f>Raw_Transactions!E669</f>
        <v/>
      </c>
      <c r="F669" s="4">
        <f>Raw_Transactions!F669</f>
        <v/>
      </c>
      <c r="G669" s="4">
        <f>Raw_Transactions!G669</f>
        <v/>
      </c>
      <c r="H669" s="4">
        <f>XLOOKUP(B669,Raw_Risk_Profiles!$A:$A,Raw_Risk_Profiles!$B:$B,"Not Found")</f>
        <v/>
      </c>
      <c r="I669" s="4">
        <f>XLOOKUP(B669,Raw_Risk_Profiles!$A:$A,Raw_Risk_Profiles!$C:$C,"Missing")</f>
        <v/>
      </c>
      <c r="J669" s="4">
        <f>XLOOKUP(B669,Raw_Risk_Profiles!$A:$A,Raw_Risk_Profiles!$D:$D,"")</f>
        <v/>
      </c>
      <c r="K669" s="4">
        <f>IFERROR(INDEX(Raw_Risk_Profiles!$E:$E,MATCH(B669,Raw_Risk_Profiles!$A:$A,0)),"Unknown")</f>
        <v/>
      </c>
      <c r="L669" s="4">
        <f>IFERROR(XLOOKUP(A669,Raw_Alerts!$B:$B,Raw_Alerts!$A:$A),"No Alert")</f>
        <v/>
      </c>
      <c r="M669" s="4">
        <f>IFERROR(XLOOKUP(A669,Raw_Alerts!$B:$B,Raw_Alerts!$C:$C),"")</f>
        <v/>
      </c>
      <c r="N669" s="4">
        <f>IFERROR(XLOOKUP(A669,Raw_Alerts!$B:$B,Raw_Alerts!$D:$D),"")</f>
        <v/>
      </c>
      <c r="O669" s="4">
        <f>IFERROR(XLOOKUP(A669,Raw_Alerts!$B:$B,Raw_Alerts!$F:$F),"")</f>
        <v/>
      </c>
      <c r="P669" s="4">
        <f>IF(H669="Not Found","CRITICAL: No Risk Profile",IF(I669="Missing","WARN: Missing KYC",IF(I669="Expired","WARN: KYC Expired",IF(I669="Pending","INFO: KYC Pending","OK"))))</f>
        <v/>
      </c>
    </row>
    <row r="670">
      <c r="A670" s="2">
        <f>Raw_Transactions!A670</f>
        <v/>
      </c>
      <c r="B670" s="2">
        <f>Raw_Transactions!B670</f>
        <v/>
      </c>
      <c r="C670" s="2">
        <f>Raw_Transactions!C670</f>
        <v/>
      </c>
      <c r="D670" s="3">
        <f>Raw_Transactions!D670</f>
        <v/>
      </c>
      <c r="E670" s="2">
        <f>Raw_Transactions!E670</f>
        <v/>
      </c>
      <c r="F670" s="2">
        <f>Raw_Transactions!F670</f>
        <v/>
      </c>
      <c r="G670" s="2">
        <f>Raw_Transactions!G670</f>
        <v/>
      </c>
      <c r="H670" s="2">
        <f>XLOOKUP(B670,Raw_Risk_Profiles!$A:$A,Raw_Risk_Profiles!$B:$B,"Not Found")</f>
        <v/>
      </c>
      <c r="I670" s="2">
        <f>XLOOKUP(B670,Raw_Risk_Profiles!$A:$A,Raw_Risk_Profiles!$C:$C,"Missing")</f>
        <v/>
      </c>
      <c r="J670" s="2">
        <f>XLOOKUP(B670,Raw_Risk_Profiles!$A:$A,Raw_Risk_Profiles!$D:$D,"")</f>
        <v/>
      </c>
      <c r="K670" s="2">
        <f>IFERROR(INDEX(Raw_Risk_Profiles!$E:$E,MATCH(B670,Raw_Risk_Profiles!$A:$A,0)),"Unknown")</f>
        <v/>
      </c>
      <c r="L670" s="2">
        <f>IFERROR(XLOOKUP(A670,Raw_Alerts!$B:$B,Raw_Alerts!$A:$A),"No Alert")</f>
        <v/>
      </c>
      <c r="M670" s="2">
        <f>IFERROR(XLOOKUP(A670,Raw_Alerts!$B:$B,Raw_Alerts!$C:$C),"")</f>
        <v/>
      </c>
      <c r="N670" s="2">
        <f>IFERROR(XLOOKUP(A670,Raw_Alerts!$B:$B,Raw_Alerts!$D:$D),"")</f>
        <v/>
      </c>
      <c r="O670" s="2">
        <f>IFERROR(XLOOKUP(A670,Raw_Alerts!$B:$B,Raw_Alerts!$F:$F),"")</f>
        <v/>
      </c>
      <c r="P670" s="2">
        <f>IF(H670="Not Found","CRITICAL: No Risk Profile",IF(I670="Missing","WARN: Missing KYC",IF(I670="Expired","WARN: KYC Expired",IF(I670="Pending","INFO: KYC Pending","OK"))))</f>
        <v/>
      </c>
    </row>
    <row r="671">
      <c r="A671" s="4">
        <f>Raw_Transactions!A671</f>
        <v/>
      </c>
      <c r="B671" s="4">
        <f>Raw_Transactions!B671</f>
        <v/>
      </c>
      <c r="C671" s="4">
        <f>Raw_Transactions!C671</f>
        <v/>
      </c>
      <c r="D671" s="5">
        <f>Raw_Transactions!D671</f>
        <v/>
      </c>
      <c r="E671" s="4">
        <f>Raw_Transactions!E671</f>
        <v/>
      </c>
      <c r="F671" s="4">
        <f>Raw_Transactions!F671</f>
        <v/>
      </c>
      <c r="G671" s="4">
        <f>Raw_Transactions!G671</f>
        <v/>
      </c>
      <c r="H671" s="4">
        <f>XLOOKUP(B671,Raw_Risk_Profiles!$A:$A,Raw_Risk_Profiles!$B:$B,"Not Found")</f>
        <v/>
      </c>
      <c r="I671" s="4">
        <f>XLOOKUP(B671,Raw_Risk_Profiles!$A:$A,Raw_Risk_Profiles!$C:$C,"Missing")</f>
        <v/>
      </c>
      <c r="J671" s="4">
        <f>XLOOKUP(B671,Raw_Risk_Profiles!$A:$A,Raw_Risk_Profiles!$D:$D,"")</f>
        <v/>
      </c>
      <c r="K671" s="4">
        <f>IFERROR(INDEX(Raw_Risk_Profiles!$E:$E,MATCH(B671,Raw_Risk_Profiles!$A:$A,0)),"Unknown")</f>
        <v/>
      </c>
      <c r="L671" s="4">
        <f>IFERROR(XLOOKUP(A671,Raw_Alerts!$B:$B,Raw_Alerts!$A:$A),"No Alert")</f>
        <v/>
      </c>
      <c r="M671" s="4">
        <f>IFERROR(XLOOKUP(A671,Raw_Alerts!$B:$B,Raw_Alerts!$C:$C),"")</f>
        <v/>
      </c>
      <c r="N671" s="4">
        <f>IFERROR(XLOOKUP(A671,Raw_Alerts!$B:$B,Raw_Alerts!$D:$D),"")</f>
        <v/>
      </c>
      <c r="O671" s="4">
        <f>IFERROR(XLOOKUP(A671,Raw_Alerts!$B:$B,Raw_Alerts!$F:$F),"")</f>
        <v/>
      </c>
      <c r="P671" s="4">
        <f>IF(H671="Not Found","CRITICAL: No Risk Profile",IF(I671="Missing","WARN: Missing KYC",IF(I671="Expired","WARN: KYC Expired",IF(I671="Pending","INFO: KYC Pending","OK"))))</f>
        <v/>
      </c>
    </row>
    <row r="672">
      <c r="A672" s="2">
        <f>Raw_Transactions!A672</f>
        <v/>
      </c>
      <c r="B672" s="2">
        <f>Raw_Transactions!B672</f>
        <v/>
      </c>
      <c r="C672" s="2">
        <f>Raw_Transactions!C672</f>
        <v/>
      </c>
      <c r="D672" s="3">
        <f>Raw_Transactions!D672</f>
        <v/>
      </c>
      <c r="E672" s="2">
        <f>Raw_Transactions!E672</f>
        <v/>
      </c>
      <c r="F672" s="2">
        <f>Raw_Transactions!F672</f>
        <v/>
      </c>
      <c r="G672" s="2">
        <f>Raw_Transactions!G672</f>
        <v/>
      </c>
      <c r="H672" s="2">
        <f>XLOOKUP(B672,Raw_Risk_Profiles!$A:$A,Raw_Risk_Profiles!$B:$B,"Not Found")</f>
        <v/>
      </c>
      <c r="I672" s="2">
        <f>XLOOKUP(B672,Raw_Risk_Profiles!$A:$A,Raw_Risk_Profiles!$C:$C,"Missing")</f>
        <v/>
      </c>
      <c r="J672" s="2">
        <f>XLOOKUP(B672,Raw_Risk_Profiles!$A:$A,Raw_Risk_Profiles!$D:$D,"")</f>
        <v/>
      </c>
      <c r="K672" s="2">
        <f>IFERROR(INDEX(Raw_Risk_Profiles!$E:$E,MATCH(B672,Raw_Risk_Profiles!$A:$A,0)),"Unknown")</f>
        <v/>
      </c>
      <c r="L672" s="2">
        <f>IFERROR(XLOOKUP(A672,Raw_Alerts!$B:$B,Raw_Alerts!$A:$A),"No Alert")</f>
        <v/>
      </c>
      <c r="M672" s="2">
        <f>IFERROR(XLOOKUP(A672,Raw_Alerts!$B:$B,Raw_Alerts!$C:$C),"")</f>
        <v/>
      </c>
      <c r="N672" s="2">
        <f>IFERROR(XLOOKUP(A672,Raw_Alerts!$B:$B,Raw_Alerts!$D:$D),"")</f>
        <v/>
      </c>
      <c r="O672" s="2">
        <f>IFERROR(XLOOKUP(A672,Raw_Alerts!$B:$B,Raw_Alerts!$F:$F),"")</f>
        <v/>
      </c>
      <c r="P672" s="2">
        <f>IF(H672="Not Found","CRITICAL: No Risk Profile",IF(I672="Missing","WARN: Missing KYC",IF(I672="Expired","WARN: KYC Expired",IF(I672="Pending","INFO: KYC Pending","OK"))))</f>
        <v/>
      </c>
    </row>
    <row r="673">
      <c r="A673" s="4">
        <f>Raw_Transactions!A673</f>
        <v/>
      </c>
      <c r="B673" s="4">
        <f>Raw_Transactions!B673</f>
        <v/>
      </c>
      <c r="C673" s="4">
        <f>Raw_Transactions!C673</f>
        <v/>
      </c>
      <c r="D673" s="5">
        <f>Raw_Transactions!D673</f>
        <v/>
      </c>
      <c r="E673" s="4">
        <f>Raw_Transactions!E673</f>
        <v/>
      </c>
      <c r="F673" s="4">
        <f>Raw_Transactions!F673</f>
        <v/>
      </c>
      <c r="G673" s="4">
        <f>Raw_Transactions!G673</f>
        <v/>
      </c>
      <c r="H673" s="4">
        <f>XLOOKUP(B673,Raw_Risk_Profiles!$A:$A,Raw_Risk_Profiles!$B:$B,"Not Found")</f>
        <v/>
      </c>
      <c r="I673" s="4">
        <f>XLOOKUP(B673,Raw_Risk_Profiles!$A:$A,Raw_Risk_Profiles!$C:$C,"Missing")</f>
        <v/>
      </c>
      <c r="J673" s="4">
        <f>XLOOKUP(B673,Raw_Risk_Profiles!$A:$A,Raw_Risk_Profiles!$D:$D,"")</f>
        <v/>
      </c>
      <c r="K673" s="4">
        <f>IFERROR(INDEX(Raw_Risk_Profiles!$E:$E,MATCH(B673,Raw_Risk_Profiles!$A:$A,0)),"Unknown")</f>
        <v/>
      </c>
      <c r="L673" s="4">
        <f>IFERROR(XLOOKUP(A673,Raw_Alerts!$B:$B,Raw_Alerts!$A:$A),"No Alert")</f>
        <v/>
      </c>
      <c r="M673" s="4">
        <f>IFERROR(XLOOKUP(A673,Raw_Alerts!$B:$B,Raw_Alerts!$C:$C),"")</f>
        <v/>
      </c>
      <c r="N673" s="4">
        <f>IFERROR(XLOOKUP(A673,Raw_Alerts!$B:$B,Raw_Alerts!$D:$D),"")</f>
        <v/>
      </c>
      <c r="O673" s="4">
        <f>IFERROR(XLOOKUP(A673,Raw_Alerts!$B:$B,Raw_Alerts!$F:$F),"")</f>
        <v/>
      </c>
      <c r="P673" s="4">
        <f>IF(H673="Not Found","CRITICAL: No Risk Profile",IF(I673="Missing","WARN: Missing KYC",IF(I673="Expired","WARN: KYC Expired",IF(I673="Pending","INFO: KYC Pending","OK"))))</f>
        <v/>
      </c>
    </row>
    <row r="674">
      <c r="A674" s="2">
        <f>Raw_Transactions!A674</f>
        <v/>
      </c>
      <c r="B674" s="2">
        <f>Raw_Transactions!B674</f>
        <v/>
      </c>
      <c r="C674" s="2">
        <f>Raw_Transactions!C674</f>
        <v/>
      </c>
      <c r="D674" s="3">
        <f>Raw_Transactions!D674</f>
        <v/>
      </c>
      <c r="E674" s="2">
        <f>Raw_Transactions!E674</f>
        <v/>
      </c>
      <c r="F674" s="2">
        <f>Raw_Transactions!F674</f>
        <v/>
      </c>
      <c r="G674" s="2">
        <f>Raw_Transactions!G674</f>
        <v/>
      </c>
      <c r="H674" s="2">
        <f>XLOOKUP(B674,Raw_Risk_Profiles!$A:$A,Raw_Risk_Profiles!$B:$B,"Not Found")</f>
        <v/>
      </c>
      <c r="I674" s="2">
        <f>XLOOKUP(B674,Raw_Risk_Profiles!$A:$A,Raw_Risk_Profiles!$C:$C,"Missing")</f>
        <v/>
      </c>
      <c r="J674" s="2">
        <f>XLOOKUP(B674,Raw_Risk_Profiles!$A:$A,Raw_Risk_Profiles!$D:$D,"")</f>
        <v/>
      </c>
      <c r="K674" s="2">
        <f>IFERROR(INDEX(Raw_Risk_Profiles!$E:$E,MATCH(B674,Raw_Risk_Profiles!$A:$A,0)),"Unknown")</f>
        <v/>
      </c>
      <c r="L674" s="2">
        <f>IFERROR(XLOOKUP(A674,Raw_Alerts!$B:$B,Raw_Alerts!$A:$A),"No Alert")</f>
        <v/>
      </c>
      <c r="M674" s="2">
        <f>IFERROR(XLOOKUP(A674,Raw_Alerts!$B:$B,Raw_Alerts!$C:$C),"")</f>
        <v/>
      </c>
      <c r="N674" s="2">
        <f>IFERROR(XLOOKUP(A674,Raw_Alerts!$B:$B,Raw_Alerts!$D:$D),"")</f>
        <v/>
      </c>
      <c r="O674" s="2">
        <f>IFERROR(XLOOKUP(A674,Raw_Alerts!$B:$B,Raw_Alerts!$F:$F),"")</f>
        <v/>
      </c>
      <c r="P674" s="2">
        <f>IF(H674="Not Found","CRITICAL: No Risk Profile",IF(I674="Missing","WARN: Missing KYC",IF(I674="Expired","WARN: KYC Expired",IF(I674="Pending","INFO: KYC Pending","OK"))))</f>
        <v/>
      </c>
    </row>
    <row r="675">
      <c r="A675" s="4">
        <f>Raw_Transactions!A675</f>
        <v/>
      </c>
      <c r="B675" s="4">
        <f>Raw_Transactions!B675</f>
        <v/>
      </c>
      <c r="C675" s="4">
        <f>Raw_Transactions!C675</f>
        <v/>
      </c>
      <c r="D675" s="5">
        <f>Raw_Transactions!D675</f>
        <v/>
      </c>
      <c r="E675" s="4">
        <f>Raw_Transactions!E675</f>
        <v/>
      </c>
      <c r="F675" s="4">
        <f>Raw_Transactions!F675</f>
        <v/>
      </c>
      <c r="G675" s="4">
        <f>Raw_Transactions!G675</f>
        <v/>
      </c>
      <c r="H675" s="4">
        <f>XLOOKUP(B675,Raw_Risk_Profiles!$A:$A,Raw_Risk_Profiles!$B:$B,"Not Found")</f>
        <v/>
      </c>
      <c r="I675" s="4">
        <f>XLOOKUP(B675,Raw_Risk_Profiles!$A:$A,Raw_Risk_Profiles!$C:$C,"Missing")</f>
        <v/>
      </c>
      <c r="J675" s="4">
        <f>XLOOKUP(B675,Raw_Risk_Profiles!$A:$A,Raw_Risk_Profiles!$D:$D,"")</f>
        <v/>
      </c>
      <c r="K675" s="4">
        <f>IFERROR(INDEX(Raw_Risk_Profiles!$E:$E,MATCH(B675,Raw_Risk_Profiles!$A:$A,0)),"Unknown")</f>
        <v/>
      </c>
      <c r="L675" s="4">
        <f>IFERROR(XLOOKUP(A675,Raw_Alerts!$B:$B,Raw_Alerts!$A:$A),"No Alert")</f>
        <v/>
      </c>
      <c r="M675" s="4">
        <f>IFERROR(XLOOKUP(A675,Raw_Alerts!$B:$B,Raw_Alerts!$C:$C),"")</f>
        <v/>
      </c>
      <c r="N675" s="4">
        <f>IFERROR(XLOOKUP(A675,Raw_Alerts!$B:$B,Raw_Alerts!$D:$D),"")</f>
        <v/>
      </c>
      <c r="O675" s="4">
        <f>IFERROR(XLOOKUP(A675,Raw_Alerts!$B:$B,Raw_Alerts!$F:$F),"")</f>
        <v/>
      </c>
      <c r="P675" s="4">
        <f>IF(H675="Not Found","CRITICAL: No Risk Profile",IF(I675="Missing","WARN: Missing KYC",IF(I675="Expired","WARN: KYC Expired",IF(I675="Pending","INFO: KYC Pending","OK"))))</f>
        <v/>
      </c>
    </row>
    <row r="676">
      <c r="A676" s="2">
        <f>Raw_Transactions!A676</f>
        <v/>
      </c>
      <c r="B676" s="2">
        <f>Raw_Transactions!B676</f>
        <v/>
      </c>
      <c r="C676" s="2">
        <f>Raw_Transactions!C676</f>
        <v/>
      </c>
      <c r="D676" s="3">
        <f>Raw_Transactions!D676</f>
        <v/>
      </c>
      <c r="E676" s="2">
        <f>Raw_Transactions!E676</f>
        <v/>
      </c>
      <c r="F676" s="2">
        <f>Raw_Transactions!F676</f>
        <v/>
      </c>
      <c r="G676" s="2">
        <f>Raw_Transactions!G676</f>
        <v/>
      </c>
      <c r="H676" s="2">
        <f>XLOOKUP(B676,Raw_Risk_Profiles!$A:$A,Raw_Risk_Profiles!$B:$B,"Not Found")</f>
        <v/>
      </c>
      <c r="I676" s="2">
        <f>XLOOKUP(B676,Raw_Risk_Profiles!$A:$A,Raw_Risk_Profiles!$C:$C,"Missing")</f>
        <v/>
      </c>
      <c r="J676" s="2">
        <f>XLOOKUP(B676,Raw_Risk_Profiles!$A:$A,Raw_Risk_Profiles!$D:$D,"")</f>
        <v/>
      </c>
      <c r="K676" s="2">
        <f>IFERROR(INDEX(Raw_Risk_Profiles!$E:$E,MATCH(B676,Raw_Risk_Profiles!$A:$A,0)),"Unknown")</f>
        <v/>
      </c>
      <c r="L676" s="2">
        <f>IFERROR(XLOOKUP(A676,Raw_Alerts!$B:$B,Raw_Alerts!$A:$A),"No Alert")</f>
        <v/>
      </c>
      <c r="M676" s="2">
        <f>IFERROR(XLOOKUP(A676,Raw_Alerts!$B:$B,Raw_Alerts!$C:$C),"")</f>
        <v/>
      </c>
      <c r="N676" s="2">
        <f>IFERROR(XLOOKUP(A676,Raw_Alerts!$B:$B,Raw_Alerts!$D:$D),"")</f>
        <v/>
      </c>
      <c r="O676" s="2">
        <f>IFERROR(XLOOKUP(A676,Raw_Alerts!$B:$B,Raw_Alerts!$F:$F),"")</f>
        <v/>
      </c>
      <c r="P676" s="2">
        <f>IF(H676="Not Found","CRITICAL: No Risk Profile",IF(I676="Missing","WARN: Missing KYC",IF(I676="Expired","WARN: KYC Expired",IF(I676="Pending","INFO: KYC Pending","OK"))))</f>
        <v/>
      </c>
    </row>
    <row r="677">
      <c r="A677" s="4">
        <f>Raw_Transactions!A677</f>
        <v/>
      </c>
      <c r="B677" s="4">
        <f>Raw_Transactions!B677</f>
        <v/>
      </c>
      <c r="C677" s="4">
        <f>Raw_Transactions!C677</f>
        <v/>
      </c>
      <c r="D677" s="5">
        <f>Raw_Transactions!D677</f>
        <v/>
      </c>
      <c r="E677" s="4">
        <f>Raw_Transactions!E677</f>
        <v/>
      </c>
      <c r="F677" s="4">
        <f>Raw_Transactions!F677</f>
        <v/>
      </c>
      <c r="G677" s="4">
        <f>Raw_Transactions!G677</f>
        <v/>
      </c>
      <c r="H677" s="4">
        <f>XLOOKUP(B677,Raw_Risk_Profiles!$A:$A,Raw_Risk_Profiles!$B:$B,"Not Found")</f>
        <v/>
      </c>
      <c r="I677" s="4">
        <f>XLOOKUP(B677,Raw_Risk_Profiles!$A:$A,Raw_Risk_Profiles!$C:$C,"Missing")</f>
        <v/>
      </c>
      <c r="J677" s="4">
        <f>XLOOKUP(B677,Raw_Risk_Profiles!$A:$A,Raw_Risk_Profiles!$D:$D,"")</f>
        <v/>
      </c>
      <c r="K677" s="4">
        <f>IFERROR(INDEX(Raw_Risk_Profiles!$E:$E,MATCH(B677,Raw_Risk_Profiles!$A:$A,0)),"Unknown")</f>
        <v/>
      </c>
      <c r="L677" s="4">
        <f>IFERROR(XLOOKUP(A677,Raw_Alerts!$B:$B,Raw_Alerts!$A:$A),"No Alert")</f>
        <v/>
      </c>
      <c r="M677" s="4">
        <f>IFERROR(XLOOKUP(A677,Raw_Alerts!$B:$B,Raw_Alerts!$C:$C),"")</f>
        <v/>
      </c>
      <c r="N677" s="4">
        <f>IFERROR(XLOOKUP(A677,Raw_Alerts!$B:$B,Raw_Alerts!$D:$D),"")</f>
        <v/>
      </c>
      <c r="O677" s="4">
        <f>IFERROR(XLOOKUP(A677,Raw_Alerts!$B:$B,Raw_Alerts!$F:$F),"")</f>
        <v/>
      </c>
      <c r="P677" s="4">
        <f>IF(H677="Not Found","CRITICAL: No Risk Profile",IF(I677="Missing","WARN: Missing KYC",IF(I677="Expired","WARN: KYC Expired",IF(I677="Pending","INFO: KYC Pending","OK"))))</f>
        <v/>
      </c>
    </row>
    <row r="678">
      <c r="A678" s="2">
        <f>Raw_Transactions!A678</f>
        <v/>
      </c>
      <c r="B678" s="2">
        <f>Raw_Transactions!B678</f>
        <v/>
      </c>
      <c r="C678" s="2">
        <f>Raw_Transactions!C678</f>
        <v/>
      </c>
      <c r="D678" s="3">
        <f>Raw_Transactions!D678</f>
        <v/>
      </c>
      <c r="E678" s="2">
        <f>Raw_Transactions!E678</f>
        <v/>
      </c>
      <c r="F678" s="2">
        <f>Raw_Transactions!F678</f>
        <v/>
      </c>
      <c r="G678" s="2">
        <f>Raw_Transactions!G678</f>
        <v/>
      </c>
      <c r="H678" s="2">
        <f>XLOOKUP(B678,Raw_Risk_Profiles!$A:$A,Raw_Risk_Profiles!$B:$B,"Not Found")</f>
        <v/>
      </c>
      <c r="I678" s="2">
        <f>XLOOKUP(B678,Raw_Risk_Profiles!$A:$A,Raw_Risk_Profiles!$C:$C,"Missing")</f>
        <v/>
      </c>
      <c r="J678" s="2">
        <f>XLOOKUP(B678,Raw_Risk_Profiles!$A:$A,Raw_Risk_Profiles!$D:$D,"")</f>
        <v/>
      </c>
      <c r="K678" s="2">
        <f>IFERROR(INDEX(Raw_Risk_Profiles!$E:$E,MATCH(B678,Raw_Risk_Profiles!$A:$A,0)),"Unknown")</f>
        <v/>
      </c>
      <c r="L678" s="2">
        <f>IFERROR(XLOOKUP(A678,Raw_Alerts!$B:$B,Raw_Alerts!$A:$A),"No Alert")</f>
        <v/>
      </c>
      <c r="M678" s="2">
        <f>IFERROR(XLOOKUP(A678,Raw_Alerts!$B:$B,Raw_Alerts!$C:$C),"")</f>
        <v/>
      </c>
      <c r="N678" s="2">
        <f>IFERROR(XLOOKUP(A678,Raw_Alerts!$B:$B,Raw_Alerts!$D:$D),"")</f>
        <v/>
      </c>
      <c r="O678" s="2">
        <f>IFERROR(XLOOKUP(A678,Raw_Alerts!$B:$B,Raw_Alerts!$F:$F),"")</f>
        <v/>
      </c>
      <c r="P678" s="2">
        <f>IF(H678="Not Found","CRITICAL: No Risk Profile",IF(I678="Missing","WARN: Missing KYC",IF(I678="Expired","WARN: KYC Expired",IF(I678="Pending","INFO: KYC Pending","OK"))))</f>
        <v/>
      </c>
    </row>
    <row r="679">
      <c r="A679" s="4">
        <f>Raw_Transactions!A679</f>
        <v/>
      </c>
      <c r="B679" s="4">
        <f>Raw_Transactions!B679</f>
        <v/>
      </c>
      <c r="C679" s="4">
        <f>Raw_Transactions!C679</f>
        <v/>
      </c>
      <c r="D679" s="5">
        <f>Raw_Transactions!D679</f>
        <v/>
      </c>
      <c r="E679" s="4">
        <f>Raw_Transactions!E679</f>
        <v/>
      </c>
      <c r="F679" s="4">
        <f>Raw_Transactions!F679</f>
        <v/>
      </c>
      <c r="G679" s="4">
        <f>Raw_Transactions!G679</f>
        <v/>
      </c>
      <c r="H679" s="4">
        <f>XLOOKUP(B679,Raw_Risk_Profiles!$A:$A,Raw_Risk_Profiles!$B:$B,"Not Found")</f>
        <v/>
      </c>
      <c r="I679" s="4">
        <f>XLOOKUP(B679,Raw_Risk_Profiles!$A:$A,Raw_Risk_Profiles!$C:$C,"Missing")</f>
        <v/>
      </c>
      <c r="J679" s="4">
        <f>XLOOKUP(B679,Raw_Risk_Profiles!$A:$A,Raw_Risk_Profiles!$D:$D,"")</f>
        <v/>
      </c>
      <c r="K679" s="4">
        <f>IFERROR(INDEX(Raw_Risk_Profiles!$E:$E,MATCH(B679,Raw_Risk_Profiles!$A:$A,0)),"Unknown")</f>
        <v/>
      </c>
      <c r="L679" s="4">
        <f>IFERROR(XLOOKUP(A679,Raw_Alerts!$B:$B,Raw_Alerts!$A:$A),"No Alert")</f>
        <v/>
      </c>
      <c r="M679" s="4">
        <f>IFERROR(XLOOKUP(A679,Raw_Alerts!$B:$B,Raw_Alerts!$C:$C),"")</f>
        <v/>
      </c>
      <c r="N679" s="4">
        <f>IFERROR(XLOOKUP(A679,Raw_Alerts!$B:$B,Raw_Alerts!$D:$D),"")</f>
        <v/>
      </c>
      <c r="O679" s="4">
        <f>IFERROR(XLOOKUP(A679,Raw_Alerts!$B:$B,Raw_Alerts!$F:$F),"")</f>
        <v/>
      </c>
      <c r="P679" s="4">
        <f>IF(H679="Not Found","CRITICAL: No Risk Profile",IF(I679="Missing","WARN: Missing KYC",IF(I679="Expired","WARN: KYC Expired",IF(I679="Pending","INFO: KYC Pending","OK"))))</f>
        <v/>
      </c>
    </row>
    <row r="680">
      <c r="A680" s="2">
        <f>Raw_Transactions!A680</f>
        <v/>
      </c>
      <c r="B680" s="2">
        <f>Raw_Transactions!B680</f>
        <v/>
      </c>
      <c r="C680" s="2">
        <f>Raw_Transactions!C680</f>
        <v/>
      </c>
      <c r="D680" s="3">
        <f>Raw_Transactions!D680</f>
        <v/>
      </c>
      <c r="E680" s="2">
        <f>Raw_Transactions!E680</f>
        <v/>
      </c>
      <c r="F680" s="2">
        <f>Raw_Transactions!F680</f>
        <v/>
      </c>
      <c r="G680" s="2">
        <f>Raw_Transactions!G680</f>
        <v/>
      </c>
      <c r="H680" s="2">
        <f>XLOOKUP(B680,Raw_Risk_Profiles!$A:$A,Raw_Risk_Profiles!$B:$B,"Not Found")</f>
        <v/>
      </c>
      <c r="I680" s="2">
        <f>XLOOKUP(B680,Raw_Risk_Profiles!$A:$A,Raw_Risk_Profiles!$C:$C,"Missing")</f>
        <v/>
      </c>
      <c r="J680" s="2">
        <f>XLOOKUP(B680,Raw_Risk_Profiles!$A:$A,Raw_Risk_Profiles!$D:$D,"")</f>
        <v/>
      </c>
      <c r="K680" s="2">
        <f>IFERROR(INDEX(Raw_Risk_Profiles!$E:$E,MATCH(B680,Raw_Risk_Profiles!$A:$A,0)),"Unknown")</f>
        <v/>
      </c>
      <c r="L680" s="2">
        <f>IFERROR(XLOOKUP(A680,Raw_Alerts!$B:$B,Raw_Alerts!$A:$A),"No Alert")</f>
        <v/>
      </c>
      <c r="M680" s="2">
        <f>IFERROR(XLOOKUP(A680,Raw_Alerts!$B:$B,Raw_Alerts!$C:$C),"")</f>
        <v/>
      </c>
      <c r="N680" s="2">
        <f>IFERROR(XLOOKUP(A680,Raw_Alerts!$B:$B,Raw_Alerts!$D:$D),"")</f>
        <v/>
      </c>
      <c r="O680" s="2">
        <f>IFERROR(XLOOKUP(A680,Raw_Alerts!$B:$B,Raw_Alerts!$F:$F),"")</f>
        <v/>
      </c>
      <c r="P680" s="2">
        <f>IF(H680="Not Found","CRITICAL: No Risk Profile",IF(I680="Missing","WARN: Missing KYC",IF(I680="Expired","WARN: KYC Expired",IF(I680="Pending","INFO: KYC Pending","OK"))))</f>
        <v/>
      </c>
    </row>
    <row r="681">
      <c r="A681" s="4">
        <f>Raw_Transactions!A681</f>
        <v/>
      </c>
      <c r="B681" s="4">
        <f>Raw_Transactions!B681</f>
        <v/>
      </c>
      <c r="C681" s="4">
        <f>Raw_Transactions!C681</f>
        <v/>
      </c>
      <c r="D681" s="5">
        <f>Raw_Transactions!D681</f>
        <v/>
      </c>
      <c r="E681" s="4">
        <f>Raw_Transactions!E681</f>
        <v/>
      </c>
      <c r="F681" s="4">
        <f>Raw_Transactions!F681</f>
        <v/>
      </c>
      <c r="G681" s="4">
        <f>Raw_Transactions!G681</f>
        <v/>
      </c>
      <c r="H681" s="4">
        <f>XLOOKUP(B681,Raw_Risk_Profiles!$A:$A,Raw_Risk_Profiles!$B:$B,"Not Found")</f>
        <v/>
      </c>
      <c r="I681" s="4">
        <f>XLOOKUP(B681,Raw_Risk_Profiles!$A:$A,Raw_Risk_Profiles!$C:$C,"Missing")</f>
        <v/>
      </c>
      <c r="J681" s="4">
        <f>XLOOKUP(B681,Raw_Risk_Profiles!$A:$A,Raw_Risk_Profiles!$D:$D,"")</f>
        <v/>
      </c>
      <c r="K681" s="4">
        <f>IFERROR(INDEX(Raw_Risk_Profiles!$E:$E,MATCH(B681,Raw_Risk_Profiles!$A:$A,0)),"Unknown")</f>
        <v/>
      </c>
      <c r="L681" s="4">
        <f>IFERROR(XLOOKUP(A681,Raw_Alerts!$B:$B,Raw_Alerts!$A:$A),"No Alert")</f>
        <v/>
      </c>
      <c r="M681" s="4">
        <f>IFERROR(XLOOKUP(A681,Raw_Alerts!$B:$B,Raw_Alerts!$C:$C),"")</f>
        <v/>
      </c>
      <c r="N681" s="4">
        <f>IFERROR(XLOOKUP(A681,Raw_Alerts!$B:$B,Raw_Alerts!$D:$D),"")</f>
        <v/>
      </c>
      <c r="O681" s="4">
        <f>IFERROR(XLOOKUP(A681,Raw_Alerts!$B:$B,Raw_Alerts!$F:$F),"")</f>
        <v/>
      </c>
      <c r="P681" s="4">
        <f>IF(H681="Not Found","CRITICAL: No Risk Profile",IF(I681="Missing","WARN: Missing KYC",IF(I681="Expired","WARN: KYC Expired",IF(I681="Pending","INFO: KYC Pending","OK"))))</f>
        <v/>
      </c>
    </row>
    <row r="682">
      <c r="A682" s="2">
        <f>Raw_Transactions!A682</f>
        <v/>
      </c>
      <c r="B682" s="2">
        <f>Raw_Transactions!B682</f>
        <v/>
      </c>
      <c r="C682" s="2">
        <f>Raw_Transactions!C682</f>
        <v/>
      </c>
      <c r="D682" s="3">
        <f>Raw_Transactions!D682</f>
        <v/>
      </c>
      <c r="E682" s="2">
        <f>Raw_Transactions!E682</f>
        <v/>
      </c>
      <c r="F682" s="2">
        <f>Raw_Transactions!F682</f>
        <v/>
      </c>
      <c r="G682" s="2">
        <f>Raw_Transactions!G682</f>
        <v/>
      </c>
      <c r="H682" s="2">
        <f>XLOOKUP(B682,Raw_Risk_Profiles!$A:$A,Raw_Risk_Profiles!$B:$B,"Not Found")</f>
        <v/>
      </c>
      <c r="I682" s="2">
        <f>XLOOKUP(B682,Raw_Risk_Profiles!$A:$A,Raw_Risk_Profiles!$C:$C,"Missing")</f>
        <v/>
      </c>
      <c r="J682" s="2">
        <f>XLOOKUP(B682,Raw_Risk_Profiles!$A:$A,Raw_Risk_Profiles!$D:$D,"")</f>
        <v/>
      </c>
      <c r="K682" s="2">
        <f>IFERROR(INDEX(Raw_Risk_Profiles!$E:$E,MATCH(B682,Raw_Risk_Profiles!$A:$A,0)),"Unknown")</f>
        <v/>
      </c>
      <c r="L682" s="2">
        <f>IFERROR(XLOOKUP(A682,Raw_Alerts!$B:$B,Raw_Alerts!$A:$A),"No Alert")</f>
        <v/>
      </c>
      <c r="M682" s="2">
        <f>IFERROR(XLOOKUP(A682,Raw_Alerts!$B:$B,Raw_Alerts!$C:$C),"")</f>
        <v/>
      </c>
      <c r="N682" s="2">
        <f>IFERROR(XLOOKUP(A682,Raw_Alerts!$B:$B,Raw_Alerts!$D:$D),"")</f>
        <v/>
      </c>
      <c r="O682" s="2">
        <f>IFERROR(XLOOKUP(A682,Raw_Alerts!$B:$B,Raw_Alerts!$F:$F),"")</f>
        <v/>
      </c>
      <c r="P682" s="2">
        <f>IF(H682="Not Found","CRITICAL: No Risk Profile",IF(I682="Missing","WARN: Missing KYC",IF(I682="Expired","WARN: KYC Expired",IF(I682="Pending","INFO: KYC Pending","OK"))))</f>
        <v/>
      </c>
    </row>
    <row r="683">
      <c r="A683" s="4">
        <f>Raw_Transactions!A683</f>
        <v/>
      </c>
      <c r="B683" s="4">
        <f>Raw_Transactions!B683</f>
        <v/>
      </c>
      <c r="C683" s="4">
        <f>Raw_Transactions!C683</f>
        <v/>
      </c>
      <c r="D683" s="5">
        <f>Raw_Transactions!D683</f>
        <v/>
      </c>
      <c r="E683" s="4">
        <f>Raw_Transactions!E683</f>
        <v/>
      </c>
      <c r="F683" s="4">
        <f>Raw_Transactions!F683</f>
        <v/>
      </c>
      <c r="G683" s="4">
        <f>Raw_Transactions!G683</f>
        <v/>
      </c>
      <c r="H683" s="4">
        <f>XLOOKUP(B683,Raw_Risk_Profiles!$A:$A,Raw_Risk_Profiles!$B:$B,"Not Found")</f>
        <v/>
      </c>
      <c r="I683" s="4">
        <f>XLOOKUP(B683,Raw_Risk_Profiles!$A:$A,Raw_Risk_Profiles!$C:$C,"Missing")</f>
        <v/>
      </c>
      <c r="J683" s="4">
        <f>XLOOKUP(B683,Raw_Risk_Profiles!$A:$A,Raw_Risk_Profiles!$D:$D,"")</f>
        <v/>
      </c>
      <c r="K683" s="4">
        <f>IFERROR(INDEX(Raw_Risk_Profiles!$E:$E,MATCH(B683,Raw_Risk_Profiles!$A:$A,0)),"Unknown")</f>
        <v/>
      </c>
      <c r="L683" s="4">
        <f>IFERROR(XLOOKUP(A683,Raw_Alerts!$B:$B,Raw_Alerts!$A:$A),"No Alert")</f>
        <v/>
      </c>
      <c r="M683" s="4">
        <f>IFERROR(XLOOKUP(A683,Raw_Alerts!$B:$B,Raw_Alerts!$C:$C),"")</f>
        <v/>
      </c>
      <c r="N683" s="4">
        <f>IFERROR(XLOOKUP(A683,Raw_Alerts!$B:$B,Raw_Alerts!$D:$D),"")</f>
        <v/>
      </c>
      <c r="O683" s="4">
        <f>IFERROR(XLOOKUP(A683,Raw_Alerts!$B:$B,Raw_Alerts!$F:$F),"")</f>
        <v/>
      </c>
      <c r="P683" s="4">
        <f>IF(H683="Not Found","CRITICAL: No Risk Profile",IF(I683="Missing","WARN: Missing KYC",IF(I683="Expired","WARN: KYC Expired",IF(I683="Pending","INFO: KYC Pending","OK"))))</f>
        <v/>
      </c>
    </row>
    <row r="684">
      <c r="A684" s="2">
        <f>Raw_Transactions!A684</f>
        <v/>
      </c>
      <c r="B684" s="2">
        <f>Raw_Transactions!B684</f>
        <v/>
      </c>
      <c r="C684" s="2">
        <f>Raw_Transactions!C684</f>
        <v/>
      </c>
      <c r="D684" s="3">
        <f>Raw_Transactions!D684</f>
        <v/>
      </c>
      <c r="E684" s="2">
        <f>Raw_Transactions!E684</f>
        <v/>
      </c>
      <c r="F684" s="2">
        <f>Raw_Transactions!F684</f>
        <v/>
      </c>
      <c r="G684" s="2">
        <f>Raw_Transactions!G684</f>
        <v/>
      </c>
      <c r="H684" s="2">
        <f>XLOOKUP(B684,Raw_Risk_Profiles!$A:$A,Raw_Risk_Profiles!$B:$B,"Not Found")</f>
        <v/>
      </c>
      <c r="I684" s="2">
        <f>XLOOKUP(B684,Raw_Risk_Profiles!$A:$A,Raw_Risk_Profiles!$C:$C,"Missing")</f>
        <v/>
      </c>
      <c r="J684" s="2">
        <f>XLOOKUP(B684,Raw_Risk_Profiles!$A:$A,Raw_Risk_Profiles!$D:$D,"")</f>
        <v/>
      </c>
      <c r="K684" s="2">
        <f>IFERROR(INDEX(Raw_Risk_Profiles!$E:$E,MATCH(B684,Raw_Risk_Profiles!$A:$A,0)),"Unknown")</f>
        <v/>
      </c>
      <c r="L684" s="2">
        <f>IFERROR(XLOOKUP(A684,Raw_Alerts!$B:$B,Raw_Alerts!$A:$A),"No Alert")</f>
        <v/>
      </c>
      <c r="M684" s="2">
        <f>IFERROR(XLOOKUP(A684,Raw_Alerts!$B:$B,Raw_Alerts!$C:$C),"")</f>
        <v/>
      </c>
      <c r="N684" s="2">
        <f>IFERROR(XLOOKUP(A684,Raw_Alerts!$B:$B,Raw_Alerts!$D:$D),"")</f>
        <v/>
      </c>
      <c r="O684" s="2">
        <f>IFERROR(XLOOKUP(A684,Raw_Alerts!$B:$B,Raw_Alerts!$F:$F),"")</f>
        <v/>
      </c>
      <c r="P684" s="2">
        <f>IF(H684="Not Found","CRITICAL: No Risk Profile",IF(I684="Missing","WARN: Missing KYC",IF(I684="Expired","WARN: KYC Expired",IF(I684="Pending","INFO: KYC Pending","OK"))))</f>
        <v/>
      </c>
    </row>
    <row r="685">
      <c r="A685" s="4">
        <f>Raw_Transactions!A685</f>
        <v/>
      </c>
      <c r="B685" s="4">
        <f>Raw_Transactions!B685</f>
        <v/>
      </c>
      <c r="C685" s="4">
        <f>Raw_Transactions!C685</f>
        <v/>
      </c>
      <c r="D685" s="5">
        <f>Raw_Transactions!D685</f>
        <v/>
      </c>
      <c r="E685" s="4">
        <f>Raw_Transactions!E685</f>
        <v/>
      </c>
      <c r="F685" s="4">
        <f>Raw_Transactions!F685</f>
        <v/>
      </c>
      <c r="G685" s="4">
        <f>Raw_Transactions!G685</f>
        <v/>
      </c>
      <c r="H685" s="4">
        <f>XLOOKUP(B685,Raw_Risk_Profiles!$A:$A,Raw_Risk_Profiles!$B:$B,"Not Found")</f>
        <v/>
      </c>
      <c r="I685" s="4">
        <f>XLOOKUP(B685,Raw_Risk_Profiles!$A:$A,Raw_Risk_Profiles!$C:$C,"Missing")</f>
        <v/>
      </c>
      <c r="J685" s="4">
        <f>XLOOKUP(B685,Raw_Risk_Profiles!$A:$A,Raw_Risk_Profiles!$D:$D,"")</f>
        <v/>
      </c>
      <c r="K685" s="4">
        <f>IFERROR(INDEX(Raw_Risk_Profiles!$E:$E,MATCH(B685,Raw_Risk_Profiles!$A:$A,0)),"Unknown")</f>
        <v/>
      </c>
      <c r="L685" s="4">
        <f>IFERROR(XLOOKUP(A685,Raw_Alerts!$B:$B,Raw_Alerts!$A:$A),"No Alert")</f>
        <v/>
      </c>
      <c r="M685" s="4">
        <f>IFERROR(XLOOKUP(A685,Raw_Alerts!$B:$B,Raw_Alerts!$C:$C),"")</f>
        <v/>
      </c>
      <c r="N685" s="4">
        <f>IFERROR(XLOOKUP(A685,Raw_Alerts!$B:$B,Raw_Alerts!$D:$D),"")</f>
        <v/>
      </c>
      <c r="O685" s="4">
        <f>IFERROR(XLOOKUP(A685,Raw_Alerts!$B:$B,Raw_Alerts!$F:$F),"")</f>
        <v/>
      </c>
      <c r="P685" s="4">
        <f>IF(H685="Not Found","CRITICAL: No Risk Profile",IF(I685="Missing","WARN: Missing KYC",IF(I685="Expired","WARN: KYC Expired",IF(I685="Pending","INFO: KYC Pending","OK"))))</f>
        <v/>
      </c>
    </row>
    <row r="686">
      <c r="A686" s="2">
        <f>Raw_Transactions!A686</f>
        <v/>
      </c>
      <c r="B686" s="2">
        <f>Raw_Transactions!B686</f>
        <v/>
      </c>
      <c r="C686" s="2">
        <f>Raw_Transactions!C686</f>
        <v/>
      </c>
      <c r="D686" s="3">
        <f>Raw_Transactions!D686</f>
        <v/>
      </c>
      <c r="E686" s="2">
        <f>Raw_Transactions!E686</f>
        <v/>
      </c>
      <c r="F686" s="2">
        <f>Raw_Transactions!F686</f>
        <v/>
      </c>
      <c r="G686" s="2">
        <f>Raw_Transactions!G686</f>
        <v/>
      </c>
      <c r="H686" s="2">
        <f>XLOOKUP(B686,Raw_Risk_Profiles!$A:$A,Raw_Risk_Profiles!$B:$B,"Not Found")</f>
        <v/>
      </c>
      <c r="I686" s="2">
        <f>XLOOKUP(B686,Raw_Risk_Profiles!$A:$A,Raw_Risk_Profiles!$C:$C,"Missing")</f>
        <v/>
      </c>
      <c r="J686" s="2">
        <f>XLOOKUP(B686,Raw_Risk_Profiles!$A:$A,Raw_Risk_Profiles!$D:$D,"")</f>
        <v/>
      </c>
      <c r="K686" s="2">
        <f>IFERROR(INDEX(Raw_Risk_Profiles!$E:$E,MATCH(B686,Raw_Risk_Profiles!$A:$A,0)),"Unknown")</f>
        <v/>
      </c>
      <c r="L686" s="2">
        <f>IFERROR(XLOOKUP(A686,Raw_Alerts!$B:$B,Raw_Alerts!$A:$A),"No Alert")</f>
        <v/>
      </c>
      <c r="M686" s="2">
        <f>IFERROR(XLOOKUP(A686,Raw_Alerts!$B:$B,Raw_Alerts!$C:$C),"")</f>
        <v/>
      </c>
      <c r="N686" s="2">
        <f>IFERROR(XLOOKUP(A686,Raw_Alerts!$B:$B,Raw_Alerts!$D:$D),"")</f>
        <v/>
      </c>
      <c r="O686" s="2">
        <f>IFERROR(XLOOKUP(A686,Raw_Alerts!$B:$B,Raw_Alerts!$F:$F),"")</f>
        <v/>
      </c>
      <c r="P686" s="2">
        <f>IF(H686="Not Found","CRITICAL: No Risk Profile",IF(I686="Missing","WARN: Missing KYC",IF(I686="Expired","WARN: KYC Expired",IF(I686="Pending","INFO: KYC Pending","OK"))))</f>
        <v/>
      </c>
    </row>
    <row r="687">
      <c r="A687" s="4">
        <f>Raw_Transactions!A687</f>
        <v/>
      </c>
      <c r="B687" s="4">
        <f>Raw_Transactions!B687</f>
        <v/>
      </c>
      <c r="C687" s="4">
        <f>Raw_Transactions!C687</f>
        <v/>
      </c>
      <c r="D687" s="5">
        <f>Raw_Transactions!D687</f>
        <v/>
      </c>
      <c r="E687" s="4">
        <f>Raw_Transactions!E687</f>
        <v/>
      </c>
      <c r="F687" s="4">
        <f>Raw_Transactions!F687</f>
        <v/>
      </c>
      <c r="G687" s="4">
        <f>Raw_Transactions!G687</f>
        <v/>
      </c>
      <c r="H687" s="4">
        <f>XLOOKUP(B687,Raw_Risk_Profiles!$A:$A,Raw_Risk_Profiles!$B:$B,"Not Found")</f>
        <v/>
      </c>
      <c r="I687" s="4">
        <f>XLOOKUP(B687,Raw_Risk_Profiles!$A:$A,Raw_Risk_Profiles!$C:$C,"Missing")</f>
        <v/>
      </c>
      <c r="J687" s="4">
        <f>XLOOKUP(B687,Raw_Risk_Profiles!$A:$A,Raw_Risk_Profiles!$D:$D,"")</f>
        <v/>
      </c>
      <c r="K687" s="4">
        <f>IFERROR(INDEX(Raw_Risk_Profiles!$E:$E,MATCH(B687,Raw_Risk_Profiles!$A:$A,0)),"Unknown")</f>
        <v/>
      </c>
      <c r="L687" s="4">
        <f>IFERROR(XLOOKUP(A687,Raw_Alerts!$B:$B,Raw_Alerts!$A:$A),"No Alert")</f>
        <v/>
      </c>
      <c r="M687" s="4">
        <f>IFERROR(XLOOKUP(A687,Raw_Alerts!$B:$B,Raw_Alerts!$C:$C),"")</f>
        <v/>
      </c>
      <c r="N687" s="4">
        <f>IFERROR(XLOOKUP(A687,Raw_Alerts!$B:$B,Raw_Alerts!$D:$D),"")</f>
        <v/>
      </c>
      <c r="O687" s="4">
        <f>IFERROR(XLOOKUP(A687,Raw_Alerts!$B:$B,Raw_Alerts!$F:$F),"")</f>
        <v/>
      </c>
      <c r="P687" s="4">
        <f>IF(H687="Not Found","CRITICAL: No Risk Profile",IF(I687="Missing","WARN: Missing KYC",IF(I687="Expired","WARN: KYC Expired",IF(I687="Pending","INFO: KYC Pending","OK"))))</f>
        <v/>
      </c>
    </row>
    <row r="688">
      <c r="A688" s="2">
        <f>Raw_Transactions!A688</f>
        <v/>
      </c>
      <c r="B688" s="2">
        <f>Raw_Transactions!B688</f>
        <v/>
      </c>
      <c r="C688" s="2">
        <f>Raw_Transactions!C688</f>
        <v/>
      </c>
      <c r="D688" s="3">
        <f>Raw_Transactions!D688</f>
        <v/>
      </c>
      <c r="E688" s="2">
        <f>Raw_Transactions!E688</f>
        <v/>
      </c>
      <c r="F688" s="2">
        <f>Raw_Transactions!F688</f>
        <v/>
      </c>
      <c r="G688" s="2">
        <f>Raw_Transactions!G688</f>
        <v/>
      </c>
      <c r="H688" s="2">
        <f>XLOOKUP(B688,Raw_Risk_Profiles!$A:$A,Raw_Risk_Profiles!$B:$B,"Not Found")</f>
        <v/>
      </c>
      <c r="I688" s="2">
        <f>XLOOKUP(B688,Raw_Risk_Profiles!$A:$A,Raw_Risk_Profiles!$C:$C,"Missing")</f>
        <v/>
      </c>
      <c r="J688" s="2">
        <f>XLOOKUP(B688,Raw_Risk_Profiles!$A:$A,Raw_Risk_Profiles!$D:$D,"")</f>
        <v/>
      </c>
      <c r="K688" s="2">
        <f>IFERROR(INDEX(Raw_Risk_Profiles!$E:$E,MATCH(B688,Raw_Risk_Profiles!$A:$A,0)),"Unknown")</f>
        <v/>
      </c>
      <c r="L688" s="2">
        <f>IFERROR(XLOOKUP(A688,Raw_Alerts!$B:$B,Raw_Alerts!$A:$A),"No Alert")</f>
        <v/>
      </c>
      <c r="M688" s="2">
        <f>IFERROR(XLOOKUP(A688,Raw_Alerts!$B:$B,Raw_Alerts!$C:$C),"")</f>
        <v/>
      </c>
      <c r="N688" s="2">
        <f>IFERROR(XLOOKUP(A688,Raw_Alerts!$B:$B,Raw_Alerts!$D:$D),"")</f>
        <v/>
      </c>
      <c r="O688" s="2">
        <f>IFERROR(XLOOKUP(A688,Raw_Alerts!$B:$B,Raw_Alerts!$F:$F),"")</f>
        <v/>
      </c>
      <c r="P688" s="2">
        <f>IF(H688="Not Found","CRITICAL: No Risk Profile",IF(I688="Missing","WARN: Missing KYC",IF(I688="Expired","WARN: KYC Expired",IF(I688="Pending","INFO: KYC Pending","OK"))))</f>
        <v/>
      </c>
    </row>
    <row r="689">
      <c r="A689" s="4">
        <f>Raw_Transactions!A689</f>
        <v/>
      </c>
      <c r="B689" s="4">
        <f>Raw_Transactions!B689</f>
        <v/>
      </c>
      <c r="C689" s="4">
        <f>Raw_Transactions!C689</f>
        <v/>
      </c>
      <c r="D689" s="5">
        <f>Raw_Transactions!D689</f>
        <v/>
      </c>
      <c r="E689" s="4">
        <f>Raw_Transactions!E689</f>
        <v/>
      </c>
      <c r="F689" s="4">
        <f>Raw_Transactions!F689</f>
        <v/>
      </c>
      <c r="G689" s="4">
        <f>Raw_Transactions!G689</f>
        <v/>
      </c>
      <c r="H689" s="4">
        <f>XLOOKUP(B689,Raw_Risk_Profiles!$A:$A,Raw_Risk_Profiles!$B:$B,"Not Found")</f>
        <v/>
      </c>
      <c r="I689" s="4">
        <f>XLOOKUP(B689,Raw_Risk_Profiles!$A:$A,Raw_Risk_Profiles!$C:$C,"Missing")</f>
        <v/>
      </c>
      <c r="J689" s="4">
        <f>XLOOKUP(B689,Raw_Risk_Profiles!$A:$A,Raw_Risk_Profiles!$D:$D,"")</f>
        <v/>
      </c>
      <c r="K689" s="4">
        <f>IFERROR(INDEX(Raw_Risk_Profiles!$E:$E,MATCH(B689,Raw_Risk_Profiles!$A:$A,0)),"Unknown")</f>
        <v/>
      </c>
      <c r="L689" s="4">
        <f>IFERROR(XLOOKUP(A689,Raw_Alerts!$B:$B,Raw_Alerts!$A:$A),"No Alert")</f>
        <v/>
      </c>
      <c r="M689" s="4">
        <f>IFERROR(XLOOKUP(A689,Raw_Alerts!$B:$B,Raw_Alerts!$C:$C),"")</f>
        <v/>
      </c>
      <c r="N689" s="4">
        <f>IFERROR(XLOOKUP(A689,Raw_Alerts!$B:$B,Raw_Alerts!$D:$D),"")</f>
        <v/>
      </c>
      <c r="O689" s="4">
        <f>IFERROR(XLOOKUP(A689,Raw_Alerts!$B:$B,Raw_Alerts!$F:$F),"")</f>
        <v/>
      </c>
      <c r="P689" s="4">
        <f>IF(H689="Not Found","CRITICAL: No Risk Profile",IF(I689="Missing","WARN: Missing KYC",IF(I689="Expired","WARN: KYC Expired",IF(I689="Pending","INFO: KYC Pending","OK"))))</f>
        <v/>
      </c>
    </row>
    <row r="690">
      <c r="A690" s="2">
        <f>Raw_Transactions!A690</f>
        <v/>
      </c>
      <c r="B690" s="2">
        <f>Raw_Transactions!B690</f>
        <v/>
      </c>
      <c r="C690" s="2">
        <f>Raw_Transactions!C690</f>
        <v/>
      </c>
      <c r="D690" s="3">
        <f>Raw_Transactions!D690</f>
        <v/>
      </c>
      <c r="E690" s="2">
        <f>Raw_Transactions!E690</f>
        <v/>
      </c>
      <c r="F690" s="2">
        <f>Raw_Transactions!F690</f>
        <v/>
      </c>
      <c r="G690" s="2">
        <f>Raw_Transactions!G690</f>
        <v/>
      </c>
      <c r="H690" s="2">
        <f>XLOOKUP(B690,Raw_Risk_Profiles!$A:$A,Raw_Risk_Profiles!$B:$B,"Not Found")</f>
        <v/>
      </c>
      <c r="I690" s="2">
        <f>XLOOKUP(B690,Raw_Risk_Profiles!$A:$A,Raw_Risk_Profiles!$C:$C,"Missing")</f>
        <v/>
      </c>
      <c r="J690" s="2">
        <f>XLOOKUP(B690,Raw_Risk_Profiles!$A:$A,Raw_Risk_Profiles!$D:$D,"")</f>
        <v/>
      </c>
      <c r="K690" s="2">
        <f>IFERROR(INDEX(Raw_Risk_Profiles!$E:$E,MATCH(B690,Raw_Risk_Profiles!$A:$A,0)),"Unknown")</f>
        <v/>
      </c>
      <c r="L690" s="2">
        <f>IFERROR(XLOOKUP(A690,Raw_Alerts!$B:$B,Raw_Alerts!$A:$A),"No Alert")</f>
        <v/>
      </c>
      <c r="M690" s="2">
        <f>IFERROR(XLOOKUP(A690,Raw_Alerts!$B:$B,Raw_Alerts!$C:$C),"")</f>
        <v/>
      </c>
      <c r="N690" s="2">
        <f>IFERROR(XLOOKUP(A690,Raw_Alerts!$B:$B,Raw_Alerts!$D:$D),"")</f>
        <v/>
      </c>
      <c r="O690" s="2">
        <f>IFERROR(XLOOKUP(A690,Raw_Alerts!$B:$B,Raw_Alerts!$F:$F),"")</f>
        <v/>
      </c>
      <c r="P690" s="2">
        <f>IF(H690="Not Found","CRITICAL: No Risk Profile",IF(I690="Missing","WARN: Missing KYC",IF(I690="Expired","WARN: KYC Expired",IF(I690="Pending","INFO: KYC Pending","OK"))))</f>
        <v/>
      </c>
    </row>
    <row r="691">
      <c r="A691" s="4">
        <f>Raw_Transactions!A691</f>
        <v/>
      </c>
      <c r="B691" s="4">
        <f>Raw_Transactions!B691</f>
        <v/>
      </c>
      <c r="C691" s="4">
        <f>Raw_Transactions!C691</f>
        <v/>
      </c>
      <c r="D691" s="5">
        <f>Raw_Transactions!D691</f>
        <v/>
      </c>
      <c r="E691" s="4">
        <f>Raw_Transactions!E691</f>
        <v/>
      </c>
      <c r="F691" s="4">
        <f>Raw_Transactions!F691</f>
        <v/>
      </c>
      <c r="G691" s="4">
        <f>Raw_Transactions!G691</f>
        <v/>
      </c>
      <c r="H691" s="4">
        <f>XLOOKUP(B691,Raw_Risk_Profiles!$A:$A,Raw_Risk_Profiles!$B:$B,"Not Found")</f>
        <v/>
      </c>
      <c r="I691" s="4">
        <f>XLOOKUP(B691,Raw_Risk_Profiles!$A:$A,Raw_Risk_Profiles!$C:$C,"Missing")</f>
        <v/>
      </c>
      <c r="J691" s="4">
        <f>XLOOKUP(B691,Raw_Risk_Profiles!$A:$A,Raw_Risk_Profiles!$D:$D,"")</f>
        <v/>
      </c>
      <c r="K691" s="4">
        <f>IFERROR(INDEX(Raw_Risk_Profiles!$E:$E,MATCH(B691,Raw_Risk_Profiles!$A:$A,0)),"Unknown")</f>
        <v/>
      </c>
      <c r="L691" s="4">
        <f>IFERROR(XLOOKUP(A691,Raw_Alerts!$B:$B,Raw_Alerts!$A:$A),"No Alert")</f>
        <v/>
      </c>
      <c r="M691" s="4">
        <f>IFERROR(XLOOKUP(A691,Raw_Alerts!$B:$B,Raw_Alerts!$C:$C),"")</f>
        <v/>
      </c>
      <c r="N691" s="4">
        <f>IFERROR(XLOOKUP(A691,Raw_Alerts!$B:$B,Raw_Alerts!$D:$D),"")</f>
        <v/>
      </c>
      <c r="O691" s="4">
        <f>IFERROR(XLOOKUP(A691,Raw_Alerts!$B:$B,Raw_Alerts!$F:$F),"")</f>
        <v/>
      </c>
      <c r="P691" s="4">
        <f>IF(H691="Not Found","CRITICAL: No Risk Profile",IF(I691="Missing","WARN: Missing KYC",IF(I691="Expired","WARN: KYC Expired",IF(I691="Pending","INFO: KYC Pending","OK"))))</f>
        <v/>
      </c>
    </row>
    <row r="692">
      <c r="A692" s="2">
        <f>Raw_Transactions!A692</f>
        <v/>
      </c>
      <c r="B692" s="2">
        <f>Raw_Transactions!B692</f>
        <v/>
      </c>
      <c r="C692" s="2">
        <f>Raw_Transactions!C692</f>
        <v/>
      </c>
      <c r="D692" s="3">
        <f>Raw_Transactions!D692</f>
        <v/>
      </c>
      <c r="E692" s="2">
        <f>Raw_Transactions!E692</f>
        <v/>
      </c>
      <c r="F692" s="2">
        <f>Raw_Transactions!F692</f>
        <v/>
      </c>
      <c r="G692" s="2">
        <f>Raw_Transactions!G692</f>
        <v/>
      </c>
      <c r="H692" s="2">
        <f>XLOOKUP(B692,Raw_Risk_Profiles!$A:$A,Raw_Risk_Profiles!$B:$B,"Not Found")</f>
        <v/>
      </c>
      <c r="I692" s="2">
        <f>XLOOKUP(B692,Raw_Risk_Profiles!$A:$A,Raw_Risk_Profiles!$C:$C,"Missing")</f>
        <v/>
      </c>
      <c r="J692" s="2">
        <f>XLOOKUP(B692,Raw_Risk_Profiles!$A:$A,Raw_Risk_Profiles!$D:$D,"")</f>
        <v/>
      </c>
      <c r="K692" s="2">
        <f>IFERROR(INDEX(Raw_Risk_Profiles!$E:$E,MATCH(B692,Raw_Risk_Profiles!$A:$A,0)),"Unknown")</f>
        <v/>
      </c>
      <c r="L692" s="2">
        <f>IFERROR(XLOOKUP(A692,Raw_Alerts!$B:$B,Raw_Alerts!$A:$A),"No Alert")</f>
        <v/>
      </c>
      <c r="M692" s="2">
        <f>IFERROR(XLOOKUP(A692,Raw_Alerts!$B:$B,Raw_Alerts!$C:$C),"")</f>
        <v/>
      </c>
      <c r="N692" s="2">
        <f>IFERROR(XLOOKUP(A692,Raw_Alerts!$B:$B,Raw_Alerts!$D:$D),"")</f>
        <v/>
      </c>
      <c r="O692" s="2">
        <f>IFERROR(XLOOKUP(A692,Raw_Alerts!$B:$B,Raw_Alerts!$F:$F),"")</f>
        <v/>
      </c>
      <c r="P692" s="2">
        <f>IF(H692="Not Found","CRITICAL: No Risk Profile",IF(I692="Missing","WARN: Missing KYC",IF(I692="Expired","WARN: KYC Expired",IF(I692="Pending","INFO: KYC Pending","OK"))))</f>
        <v/>
      </c>
    </row>
    <row r="693">
      <c r="A693" s="4">
        <f>Raw_Transactions!A693</f>
        <v/>
      </c>
      <c r="B693" s="4">
        <f>Raw_Transactions!B693</f>
        <v/>
      </c>
      <c r="C693" s="4">
        <f>Raw_Transactions!C693</f>
        <v/>
      </c>
      <c r="D693" s="5">
        <f>Raw_Transactions!D693</f>
        <v/>
      </c>
      <c r="E693" s="4">
        <f>Raw_Transactions!E693</f>
        <v/>
      </c>
      <c r="F693" s="4">
        <f>Raw_Transactions!F693</f>
        <v/>
      </c>
      <c r="G693" s="4">
        <f>Raw_Transactions!G693</f>
        <v/>
      </c>
      <c r="H693" s="4">
        <f>XLOOKUP(B693,Raw_Risk_Profiles!$A:$A,Raw_Risk_Profiles!$B:$B,"Not Found")</f>
        <v/>
      </c>
      <c r="I693" s="4">
        <f>XLOOKUP(B693,Raw_Risk_Profiles!$A:$A,Raw_Risk_Profiles!$C:$C,"Missing")</f>
        <v/>
      </c>
      <c r="J693" s="4">
        <f>XLOOKUP(B693,Raw_Risk_Profiles!$A:$A,Raw_Risk_Profiles!$D:$D,"")</f>
        <v/>
      </c>
      <c r="K693" s="4">
        <f>IFERROR(INDEX(Raw_Risk_Profiles!$E:$E,MATCH(B693,Raw_Risk_Profiles!$A:$A,0)),"Unknown")</f>
        <v/>
      </c>
      <c r="L693" s="4">
        <f>IFERROR(XLOOKUP(A693,Raw_Alerts!$B:$B,Raw_Alerts!$A:$A),"No Alert")</f>
        <v/>
      </c>
      <c r="M693" s="4">
        <f>IFERROR(XLOOKUP(A693,Raw_Alerts!$B:$B,Raw_Alerts!$C:$C),"")</f>
        <v/>
      </c>
      <c r="N693" s="4">
        <f>IFERROR(XLOOKUP(A693,Raw_Alerts!$B:$B,Raw_Alerts!$D:$D),"")</f>
        <v/>
      </c>
      <c r="O693" s="4">
        <f>IFERROR(XLOOKUP(A693,Raw_Alerts!$B:$B,Raw_Alerts!$F:$F),"")</f>
        <v/>
      </c>
      <c r="P693" s="4">
        <f>IF(H693="Not Found","CRITICAL: No Risk Profile",IF(I693="Missing","WARN: Missing KYC",IF(I693="Expired","WARN: KYC Expired",IF(I693="Pending","INFO: KYC Pending","OK"))))</f>
        <v/>
      </c>
    </row>
    <row r="694">
      <c r="A694" s="2">
        <f>Raw_Transactions!A694</f>
        <v/>
      </c>
      <c r="B694" s="2">
        <f>Raw_Transactions!B694</f>
        <v/>
      </c>
      <c r="C694" s="2">
        <f>Raw_Transactions!C694</f>
        <v/>
      </c>
      <c r="D694" s="3">
        <f>Raw_Transactions!D694</f>
        <v/>
      </c>
      <c r="E694" s="2">
        <f>Raw_Transactions!E694</f>
        <v/>
      </c>
      <c r="F694" s="2">
        <f>Raw_Transactions!F694</f>
        <v/>
      </c>
      <c r="G694" s="2">
        <f>Raw_Transactions!G694</f>
        <v/>
      </c>
      <c r="H694" s="2">
        <f>XLOOKUP(B694,Raw_Risk_Profiles!$A:$A,Raw_Risk_Profiles!$B:$B,"Not Found")</f>
        <v/>
      </c>
      <c r="I694" s="2">
        <f>XLOOKUP(B694,Raw_Risk_Profiles!$A:$A,Raw_Risk_Profiles!$C:$C,"Missing")</f>
        <v/>
      </c>
      <c r="J694" s="2">
        <f>XLOOKUP(B694,Raw_Risk_Profiles!$A:$A,Raw_Risk_Profiles!$D:$D,"")</f>
        <v/>
      </c>
      <c r="K694" s="2">
        <f>IFERROR(INDEX(Raw_Risk_Profiles!$E:$E,MATCH(B694,Raw_Risk_Profiles!$A:$A,0)),"Unknown")</f>
        <v/>
      </c>
      <c r="L694" s="2">
        <f>IFERROR(XLOOKUP(A694,Raw_Alerts!$B:$B,Raw_Alerts!$A:$A),"No Alert")</f>
        <v/>
      </c>
      <c r="M694" s="2">
        <f>IFERROR(XLOOKUP(A694,Raw_Alerts!$B:$B,Raw_Alerts!$C:$C),"")</f>
        <v/>
      </c>
      <c r="N694" s="2">
        <f>IFERROR(XLOOKUP(A694,Raw_Alerts!$B:$B,Raw_Alerts!$D:$D),"")</f>
        <v/>
      </c>
      <c r="O694" s="2">
        <f>IFERROR(XLOOKUP(A694,Raw_Alerts!$B:$B,Raw_Alerts!$F:$F),"")</f>
        <v/>
      </c>
      <c r="P694" s="2">
        <f>IF(H694="Not Found","CRITICAL: No Risk Profile",IF(I694="Missing","WARN: Missing KYC",IF(I694="Expired","WARN: KYC Expired",IF(I694="Pending","INFO: KYC Pending","OK"))))</f>
        <v/>
      </c>
    </row>
    <row r="695">
      <c r="A695" s="4">
        <f>Raw_Transactions!A695</f>
        <v/>
      </c>
      <c r="B695" s="4">
        <f>Raw_Transactions!B695</f>
        <v/>
      </c>
      <c r="C695" s="4">
        <f>Raw_Transactions!C695</f>
        <v/>
      </c>
      <c r="D695" s="5">
        <f>Raw_Transactions!D695</f>
        <v/>
      </c>
      <c r="E695" s="4">
        <f>Raw_Transactions!E695</f>
        <v/>
      </c>
      <c r="F695" s="4">
        <f>Raw_Transactions!F695</f>
        <v/>
      </c>
      <c r="G695" s="4">
        <f>Raw_Transactions!G695</f>
        <v/>
      </c>
      <c r="H695" s="4">
        <f>XLOOKUP(B695,Raw_Risk_Profiles!$A:$A,Raw_Risk_Profiles!$B:$B,"Not Found")</f>
        <v/>
      </c>
      <c r="I695" s="4">
        <f>XLOOKUP(B695,Raw_Risk_Profiles!$A:$A,Raw_Risk_Profiles!$C:$C,"Missing")</f>
        <v/>
      </c>
      <c r="J695" s="4">
        <f>XLOOKUP(B695,Raw_Risk_Profiles!$A:$A,Raw_Risk_Profiles!$D:$D,"")</f>
        <v/>
      </c>
      <c r="K695" s="4">
        <f>IFERROR(INDEX(Raw_Risk_Profiles!$E:$E,MATCH(B695,Raw_Risk_Profiles!$A:$A,0)),"Unknown")</f>
        <v/>
      </c>
      <c r="L695" s="4">
        <f>IFERROR(XLOOKUP(A695,Raw_Alerts!$B:$B,Raw_Alerts!$A:$A),"No Alert")</f>
        <v/>
      </c>
      <c r="M695" s="4">
        <f>IFERROR(XLOOKUP(A695,Raw_Alerts!$B:$B,Raw_Alerts!$C:$C),"")</f>
        <v/>
      </c>
      <c r="N695" s="4">
        <f>IFERROR(XLOOKUP(A695,Raw_Alerts!$B:$B,Raw_Alerts!$D:$D),"")</f>
        <v/>
      </c>
      <c r="O695" s="4">
        <f>IFERROR(XLOOKUP(A695,Raw_Alerts!$B:$B,Raw_Alerts!$F:$F),"")</f>
        <v/>
      </c>
      <c r="P695" s="4">
        <f>IF(H695="Not Found","CRITICAL: No Risk Profile",IF(I695="Missing","WARN: Missing KYC",IF(I695="Expired","WARN: KYC Expired",IF(I695="Pending","INFO: KYC Pending","OK"))))</f>
        <v/>
      </c>
    </row>
    <row r="696">
      <c r="A696" s="2">
        <f>Raw_Transactions!A696</f>
        <v/>
      </c>
      <c r="B696" s="2">
        <f>Raw_Transactions!B696</f>
        <v/>
      </c>
      <c r="C696" s="2">
        <f>Raw_Transactions!C696</f>
        <v/>
      </c>
      <c r="D696" s="3">
        <f>Raw_Transactions!D696</f>
        <v/>
      </c>
      <c r="E696" s="2">
        <f>Raw_Transactions!E696</f>
        <v/>
      </c>
      <c r="F696" s="2">
        <f>Raw_Transactions!F696</f>
        <v/>
      </c>
      <c r="G696" s="2">
        <f>Raw_Transactions!G696</f>
        <v/>
      </c>
      <c r="H696" s="2">
        <f>XLOOKUP(B696,Raw_Risk_Profiles!$A:$A,Raw_Risk_Profiles!$B:$B,"Not Found")</f>
        <v/>
      </c>
      <c r="I696" s="2">
        <f>XLOOKUP(B696,Raw_Risk_Profiles!$A:$A,Raw_Risk_Profiles!$C:$C,"Missing")</f>
        <v/>
      </c>
      <c r="J696" s="2">
        <f>XLOOKUP(B696,Raw_Risk_Profiles!$A:$A,Raw_Risk_Profiles!$D:$D,"")</f>
        <v/>
      </c>
      <c r="K696" s="2">
        <f>IFERROR(INDEX(Raw_Risk_Profiles!$E:$E,MATCH(B696,Raw_Risk_Profiles!$A:$A,0)),"Unknown")</f>
        <v/>
      </c>
      <c r="L696" s="2">
        <f>IFERROR(XLOOKUP(A696,Raw_Alerts!$B:$B,Raw_Alerts!$A:$A),"No Alert")</f>
        <v/>
      </c>
      <c r="M696" s="2">
        <f>IFERROR(XLOOKUP(A696,Raw_Alerts!$B:$B,Raw_Alerts!$C:$C),"")</f>
        <v/>
      </c>
      <c r="N696" s="2">
        <f>IFERROR(XLOOKUP(A696,Raw_Alerts!$B:$B,Raw_Alerts!$D:$D),"")</f>
        <v/>
      </c>
      <c r="O696" s="2">
        <f>IFERROR(XLOOKUP(A696,Raw_Alerts!$B:$B,Raw_Alerts!$F:$F),"")</f>
        <v/>
      </c>
      <c r="P696" s="2">
        <f>IF(H696="Not Found","CRITICAL: No Risk Profile",IF(I696="Missing","WARN: Missing KYC",IF(I696="Expired","WARN: KYC Expired",IF(I696="Pending","INFO: KYC Pending","OK"))))</f>
        <v/>
      </c>
    </row>
    <row r="697">
      <c r="A697" s="4">
        <f>Raw_Transactions!A697</f>
        <v/>
      </c>
      <c r="B697" s="4">
        <f>Raw_Transactions!B697</f>
        <v/>
      </c>
      <c r="C697" s="4">
        <f>Raw_Transactions!C697</f>
        <v/>
      </c>
      <c r="D697" s="5">
        <f>Raw_Transactions!D697</f>
        <v/>
      </c>
      <c r="E697" s="4">
        <f>Raw_Transactions!E697</f>
        <v/>
      </c>
      <c r="F697" s="4">
        <f>Raw_Transactions!F697</f>
        <v/>
      </c>
      <c r="G697" s="4">
        <f>Raw_Transactions!G697</f>
        <v/>
      </c>
      <c r="H697" s="4">
        <f>XLOOKUP(B697,Raw_Risk_Profiles!$A:$A,Raw_Risk_Profiles!$B:$B,"Not Found")</f>
        <v/>
      </c>
      <c r="I697" s="4">
        <f>XLOOKUP(B697,Raw_Risk_Profiles!$A:$A,Raw_Risk_Profiles!$C:$C,"Missing")</f>
        <v/>
      </c>
      <c r="J697" s="4">
        <f>XLOOKUP(B697,Raw_Risk_Profiles!$A:$A,Raw_Risk_Profiles!$D:$D,"")</f>
        <v/>
      </c>
      <c r="K697" s="4">
        <f>IFERROR(INDEX(Raw_Risk_Profiles!$E:$E,MATCH(B697,Raw_Risk_Profiles!$A:$A,0)),"Unknown")</f>
        <v/>
      </c>
      <c r="L697" s="4">
        <f>IFERROR(XLOOKUP(A697,Raw_Alerts!$B:$B,Raw_Alerts!$A:$A),"No Alert")</f>
        <v/>
      </c>
      <c r="M697" s="4">
        <f>IFERROR(XLOOKUP(A697,Raw_Alerts!$B:$B,Raw_Alerts!$C:$C),"")</f>
        <v/>
      </c>
      <c r="N697" s="4">
        <f>IFERROR(XLOOKUP(A697,Raw_Alerts!$B:$B,Raw_Alerts!$D:$D),"")</f>
        <v/>
      </c>
      <c r="O697" s="4">
        <f>IFERROR(XLOOKUP(A697,Raw_Alerts!$B:$B,Raw_Alerts!$F:$F),"")</f>
        <v/>
      </c>
      <c r="P697" s="4">
        <f>IF(H697="Not Found","CRITICAL: No Risk Profile",IF(I697="Missing","WARN: Missing KYC",IF(I697="Expired","WARN: KYC Expired",IF(I697="Pending","INFO: KYC Pending","OK"))))</f>
        <v/>
      </c>
    </row>
    <row r="698">
      <c r="A698" s="2">
        <f>Raw_Transactions!A698</f>
        <v/>
      </c>
      <c r="B698" s="2">
        <f>Raw_Transactions!B698</f>
        <v/>
      </c>
      <c r="C698" s="2">
        <f>Raw_Transactions!C698</f>
        <v/>
      </c>
      <c r="D698" s="3">
        <f>Raw_Transactions!D698</f>
        <v/>
      </c>
      <c r="E698" s="2">
        <f>Raw_Transactions!E698</f>
        <v/>
      </c>
      <c r="F698" s="2">
        <f>Raw_Transactions!F698</f>
        <v/>
      </c>
      <c r="G698" s="2">
        <f>Raw_Transactions!G698</f>
        <v/>
      </c>
      <c r="H698" s="2">
        <f>XLOOKUP(B698,Raw_Risk_Profiles!$A:$A,Raw_Risk_Profiles!$B:$B,"Not Found")</f>
        <v/>
      </c>
      <c r="I698" s="2">
        <f>XLOOKUP(B698,Raw_Risk_Profiles!$A:$A,Raw_Risk_Profiles!$C:$C,"Missing")</f>
        <v/>
      </c>
      <c r="J698" s="2">
        <f>XLOOKUP(B698,Raw_Risk_Profiles!$A:$A,Raw_Risk_Profiles!$D:$D,"")</f>
        <v/>
      </c>
      <c r="K698" s="2">
        <f>IFERROR(INDEX(Raw_Risk_Profiles!$E:$E,MATCH(B698,Raw_Risk_Profiles!$A:$A,0)),"Unknown")</f>
        <v/>
      </c>
      <c r="L698" s="2">
        <f>IFERROR(XLOOKUP(A698,Raw_Alerts!$B:$B,Raw_Alerts!$A:$A),"No Alert")</f>
        <v/>
      </c>
      <c r="M698" s="2">
        <f>IFERROR(XLOOKUP(A698,Raw_Alerts!$B:$B,Raw_Alerts!$C:$C),"")</f>
        <v/>
      </c>
      <c r="N698" s="2">
        <f>IFERROR(XLOOKUP(A698,Raw_Alerts!$B:$B,Raw_Alerts!$D:$D),"")</f>
        <v/>
      </c>
      <c r="O698" s="2">
        <f>IFERROR(XLOOKUP(A698,Raw_Alerts!$B:$B,Raw_Alerts!$F:$F),"")</f>
        <v/>
      </c>
      <c r="P698" s="2">
        <f>IF(H698="Not Found","CRITICAL: No Risk Profile",IF(I698="Missing","WARN: Missing KYC",IF(I698="Expired","WARN: KYC Expired",IF(I698="Pending","INFO: KYC Pending","OK"))))</f>
        <v/>
      </c>
    </row>
    <row r="699">
      <c r="A699" s="4">
        <f>Raw_Transactions!A699</f>
        <v/>
      </c>
      <c r="B699" s="4">
        <f>Raw_Transactions!B699</f>
        <v/>
      </c>
      <c r="C699" s="4">
        <f>Raw_Transactions!C699</f>
        <v/>
      </c>
      <c r="D699" s="5">
        <f>Raw_Transactions!D699</f>
        <v/>
      </c>
      <c r="E699" s="4">
        <f>Raw_Transactions!E699</f>
        <v/>
      </c>
      <c r="F699" s="4">
        <f>Raw_Transactions!F699</f>
        <v/>
      </c>
      <c r="G699" s="4">
        <f>Raw_Transactions!G699</f>
        <v/>
      </c>
      <c r="H699" s="4">
        <f>XLOOKUP(B699,Raw_Risk_Profiles!$A:$A,Raw_Risk_Profiles!$B:$B,"Not Found")</f>
        <v/>
      </c>
      <c r="I699" s="4">
        <f>XLOOKUP(B699,Raw_Risk_Profiles!$A:$A,Raw_Risk_Profiles!$C:$C,"Missing")</f>
        <v/>
      </c>
      <c r="J699" s="4">
        <f>XLOOKUP(B699,Raw_Risk_Profiles!$A:$A,Raw_Risk_Profiles!$D:$D,"")</f>
        <v/>
      </c>
      <c r="K699" s="4">
        <f>IFERROR(INDEX(Raw_Risk_Profiles!$E:$E,MATCH(B699,Raw_Risk_Profiles!$A:$A,0)),"Unknown")</f>
        <v/>
      </c>
      <c r="L699" s="4">
        <f>IFERROR(XLOOKUP(A699,Raw_Alerts!$B:$B,Raw_Alerts!$A:$A),"No Alert")</f>
        <v/>
      </c>
      <c r="M699" s="4">
        <f>IFERROR(XLOOKUP(A699,Raw_Alerts!$B:$B,Raw_Alerts!$C:$C),"")</f>
        <v/>
      </c>
      <c r="N699" s="4">
        <f>IFERROR(XLOOKUP(A699,Raw_Alerts!$B:$B,Raw_Alerts!$D:$D),"")</f>
        <v/>
      </c>
      <c r="O699" s="4">
        <f>IFERROR(XLOOKUP(A699,Raw_Alerts!$B:$B,Raw_Alerts!$F:$F),"")</f>
        <v/>
      </c>
      <c r="P699" s="4">
        <f>IF(H699="Not Found","CRITICAL: No Risk Profile",IF(I699="Missing","WARN: Missing KYC",IF(I699="Expired","WARN: KYC Expired",IF(I699="Pending","INFO: KYC Pending","OK"))))</f>
        <v/>
      </c>
    </row>
    <row r="700">
      <c r="A700" s="2">
        <f>Raw_Transactions!A700</f>
        <v/>
      </c>
      <c r="B700" s="2">
        <f>Raw_Transactions!B700</f>
        <v/>
      </c>
      <c r="C700" s="2">
        <f>Raw_Transactions!C700</f>
        <v/>
      </c>
      <c r="D700" s="3">
        <f>Raw_Transactions!D700</f>
        <v/>
      </c>
      <c r="E700" s="2">
        <f>Raw_Transactions!E700</f>
        <v/>
      </c>
      <c r="F700" s="2">
        <f>Raw_Transactions!F700</f>
        <v/>
      </c>
      <c r="G700" s="2">
        <f>Raw_Transactions!G700</f>
        <v/>
      </c>
      <c r="H700" s="2">
        <f>XLOOKUP(B700,Raw_Risk_Profiles!$A:$A,Raw_Risk_Profiles!$B:$B,"Not Found")</f>
        <v/>
      </c>
      <c r="I700" s="2">
        <f>XLOOKUP(B700,Raw_Risk_Profiles!$A:$A,Raw_Risk_Profiles!$C:$C,"Missing")</f>
        <v/>
      </c>
      <c r="J700" s="2">
        <f>XLOOKUP(B700,Raw_Risk_Profiles!$A:$A,Raw_Risk_Profiles!$D:$D,"")</f>
        <v/>
      </c>
      <c r="K700" s="2">
        <f>IFERROR(INDEX(Raw_Risk_Profiles!$E:$E,MATCH(B700,Raw_Risk_Profiles!$A:$A,0)),"Unknown")</f>
        <v/>
      </c>
      <c r="L700" s="2">
        <f>IFERROR(XLOOKUP(A700,Raw_Alerts!$B:$B,Raw_Alerts!$A:$A),"No Alert")</f>
        <v/>
      </c>
      <c r="M700" s="2">
        <f>IFERROR(XLOOKUP(A700,Raw_Alerts!$B:$B,Raw_Alerts!$C:$C),"")</f>
        <v/>
      </c>
      <c r="N700" s="2">
        <f>IFERROR(XLOOKUP(A700,Raw_Alerts!$B:$B,Raw_Alerts!$D:$D),"")</f>
        <v/>
      </c>
      <c r="O700" s="2">
        <f>IFERROR(XLOOKUP(A700,Raw_Alerts!$B:$B,Raw_Alerts!$F:$F),"")</f>
        <v/>
      </c>
      <c r="P700" s="2">
        <f>IF(H700="Not Found","CRITICAL: No Risk Profile",IF(I700="Missing","WARN: Missing KYC",IF(I700="Expired","WARN: KYC Expired",IF(I700="Pending","INFO: KYC Pending","OK"))))</f>
        <v/>
      </c>
    </row>
    <row r="701">
      <c r="A701" s="4">
        <f>Raw_Transactions!A701</f>
        <v/>
      </c>
      <c r="B701" s="4">
        <f>Raw_Transactions!B701</f>
        <v/>
      </c>
      <c r="C701" s="4">
        <f>Raw_Transactions!C701</f>
        <v/>
      </c>
      <c r="D701" s="5">
        <f>Raw_Transactions!D701</f>
        <v/>
      </c>
      <c r="E701" s="4">
        <f>Raw_Transactions!E701</f>
        <v/>
      </c>
      <c r="F701" s="4">
        <f>Raw_Transactions!F701</f>
        <v/>
      </c>
      <c r="G701" s="4">
        <f>Raw_Transactions!G701</f>
        <v/>
      </c>
      <c r="H701" s="4">
        <f>XLOOKUP(B701,Raw_Risk_Profiles!$A:$A,Raw_Risk_Profiles!$B:$B,"Not Found")</f>
        <v/>
      </c>
      <c r="I701" s="4">
        <f>XLOOKUP(B701,Raw_Risk_Profiles!$A:$A,Raw_Risk_Profiles!$C:$C,"Missing")</f>
        <v/>
      </c>
      <c r="J701" s="4">
        <f>XLOOKUP(B701,Raw_Risk_Profiles!$A:$A,Raw_Risk_Profiles!$D:$D,"")</f>
        <v/>
      </c>
      <c r="K701" s="4">
        <f>IFERROR(INDEX(Raw_Risk_Profiles!$E:$E,MATCH(B701,Raw_Risk_Profiles!$A:$A,0)),"Unknown")</f>
        <v/>
      </c>
      <c r="L701" s="4">
        <f>IFERROR(XLOOKUP(A701,Raw_Alerts!$B:$B,Raw_Alerts!$A:$A),"No Alert")</f>
        <v/>
      </c>
      <c r="M701" s="4">
        <f>IFERROR(XLOOKUP(A701,Raw_Alerts!$B:$B,Raw_Alerts!$C:$C),"")</f>
        <v/>
      </c>
      <c r="N701" s="4">
        <f>IFERROR(XLOOKUP(A701,Raw_Alerts!$B:$B,Raw_Alerts!$D:$D),"")</f>
        <v/>
      </c>
      <c r="O701" s="4">
        <f>IFERROR(XLOOKUP(A701,Raw_Alerts!$B:$B,Raw_Alerts!$F:$F),"")</f>
        <v/>
      </c>
      <c r="P701" s="4">
        <f>IF(H701="Not Found","CRITICAL: No Risk Profile",IF(I701="Missing","WARN: Missing KYC",IF(I701="Expired","WARN: KYC Expired",IF(I701="Pending","INFO: KYC Pending","OK"))))</f>
        <v/>
      </c>
    </row>
    <row r="702">
      <c r="A702" s="2">
        <f>Raw_Transactions!A702</f>
        <v/>
      </c>
      <c r="B702" s="2">
        <f>Raw_Transactions!B702</f>
        <v/>
      </c>
      <c r="C702" s="2">
        <f>Raw_Transactions!C702</f>
        <v/>
      </c>
      <c r="D702" s="3">
        <f>Raw_Transactions!D702</f>
        <v/>
      </c>
      <c r="E702" s="2">
        <f>Raw_Transactions!E702</f>
        <v/>
      </c>
      <c r="F702" s="2">
        <f>Raw_Transactions!F702</f>
        <v/>
      </c>
      <c r="G702" s="2">
        <f>Raw_Transactions!G702</f>
        <v/>
      </c>
      <c r="H702" s="2">
        <f>XLOOKUP(B702,Raw_Risk_Profiles!$A:$A,Raw_Risk_Profiles!$B:$B,"Not Found")</f>
        <v/>
      </c>
      <c r="I702" s="2">
        <f>XLOOKUP(B702,Raw_Risk_Profiles!$A:$A,Raw_Risk_Profiles!$C:$C,"Missing")</f>
        <v/>
      </c>
      <c r="J702" s="2">
        <f>XLOOKUP(B702,Raw_Risk_Profiles!$A:$A,Raw_Risk_Profiles!$D:$D,"")</f>
        <v/>
      </c>
      <c r="K702" s="2">
        <f>IFERROR(INDEX(Raw_Risk_Profiles!$E:$E,MATCH(B702,Raw_Risk_Profiles!$A:$A,0)),"Unknown")</f>
        <v/>
      </c>
      <c r="L702" s="2">
        <f>IFERROR(XLOOKUP(A702,Raw_Alerts!$B:$B,Raw_Alerts!$A:$A),"No Alert")</f>
        <v/>
      </c>
      <c r="M702" s="2">
        <f>IFERROR(XLOOKUP(A702,Raw_Alerts!$B:$B,Raw_Alerts!$C:$C),"")</f>
        <v/>
      </c>
      <c r="N702" s="2">
        <f>IFERROR(XLOOKUP(A702,Raw_Alerts!$B:$B,Raw_Alerts!$D:$D),"")</f>
        <v/>
      </c>
      <c r="O702" s="2">
        <f>IFERROR(XLOOKUP(A702,Raw_Alerts!$B:$B,Raw_Alerts!$F:$F),"")</f>
        <v/>
      </c>
      <c r="P702" s="2">
        <f>IF(H702="Not Found","CRITICAL: No Risk Profile",IF(I702="Missing","WARN: Missing KYC",IF(I702="Expired","WARN: KYC Expired",IF(I702="Pending","INFO: KYC Pending","OK"))))</f>
        <v/>
      </c>
    </row>
    <row r="703">
      <c r="A703" s="4">
        <f>Raw_Transactions!A703</f>
        <v/>
      </c>
      <c r="B703" s="4">
        <f>Raw_Transactions!B703</f>
        <v/>
      </c>
      <c r="C703" s="4">
        <f>Raw_Transactions!C703</f>
        <v/>
      </c>
      <c r="D703" s="5">
        <f>Raw_Transactions!D703</f>
        <v/>
      </c>
      <c r="E703" s="4">
        <f>Raw_Transactions!E703</f>
        <v/>
      </c>
      <c r="F703" s="4">
        <f>Raw_Transactions!F703</f>
        <v/>
      </c>
      <c r="G703" s="4">
        <f>Raw_Transactions!G703</f>
        <v/>
      </c>
      <c r="H703" s="4">
        <f>XLOOKUP(B703,Raw_Risk_Profiles!$A:$A,Raw_Risk_Profiles!$B:$B,"Not Found")</f>
        <v/>
      </c>
      <c r="I703" s="4">
        <f>XLOOKUP(B703,Raw_Risk_Profiles!$A:$A,Raw_Risk_Profiles!$C:$C,"Missing")</f>
        <v/>
      </c>
      <c r="J703" s="4">
        <f>XLOOKUP(B703,Raw_Risk_Profiles!$A:$A,Raw_Risk_Profiles!$D:$D,"")</f>
        <v/>
      </c>
      <c r="K703" s="4">
        <f>IFERROR(INDEX(Raw_Risk_Profiles!$E:$E,MATCH(B703,Raw_Risk_Profiles!$A:$A,0)),"Unknown")</f>
        <v/>
      </c>
      <c r="L703" s="4">
        <f>IFERROR(XLOOKUP(A703,Raw_Alerts!$B:$B,Raw_Alerts!$A:$A),"No Alert")</f>
        <v/>
      </c>
      <c r="M703" s="4">
        <f>IFERROR(XLOOKUP(A703,Raw_Alerts!$B:$B,Raw_Alerts!$C:$C),"")</f>
        <v/>
      </c>
      <c r="N703" s="4">
        <f>IFERROR(XLOOKUP(A703,Raw_Alerts!$B:$B,Raw_Alerts!$D:$D),"")</f>
        <v/>
      </c>
      <c r="O703" s="4">
        <f>IFERROR(XLOOKUP(A703,Raw_Alerts!$B:$B,Raw_Alerts!$F:$F),"")</f>
        <v/>
      </c>
      <c r="P703" s="4">
        <f>IF(H703="Not Found","CRITICAL: No Risk Profile",IF(I703="Missing","WARN: Missing KYC",IF(I703="Expired","WARN: KYC Expired",IF(I703="Pending","INFO: KYC Pending","OK"))))</f>
        <v/>
      </c>
    </row>
    <row r="704">
      <c r="A704" s="2">
        <f>Raw_Transactions!A704</f>
        <v/>
      </c>
      <c r="B704" s="2">
        <f>Raw_Transactions!B704</f>
        <v/>
      </c>
      <c r="C704" s="2">
        <f>Raw_Transactions!C704</f>
        <v/>
      </c>
      <c r="D704" s="3">
        <f>Raw_Transactions!D704</f>
        <v/>
      </c>
      <c r="E704" s="2">
        <f>Raw_Transactions!E704</f>
        <v/>
      </c>
      <c r="F704" s="2">
        <f>Raw_Transactions!F704</f>
        <v/>
      </c>
      <c r="G704" s="2">
        <f>Raw_Transactions!G704</f>
        <v/>
      </c>
      <c r="H704" s="2">
        <f>XLOOKUP(B704,Raw_Risk_Profiles!$A:$A,Raw_Risk_Profiles!$B:$B,"Not Found")</f>
        <v/>
      </c>
      <c r="I704" s="2">
        <f>XLOOKUP(B704,Raw_Risk_Profiles!$A:$A,Raw_Risk_Profiles!$C:$C,"Missing")</f>
        <v/>
      </c>
      <c r="J704" s="2">
        <f>XLOOKUP(B704,Raw_Risk_Profiles!$A:$A,Raw_Risk_Profiles!$D:$D,"")</f>
        <v/>
      </c>
      <c r="K704" s="2">
        <f>IFERROR(INDEX(Raw_Risk_Profiles!$E:$E,MATCH(B704,Raw_Risk_Profiles!$A:$A,0)),"Unknown")</f>
        <v/>
      </c>
      <c r="L704" s="2">
        <f>IFERROR(XLOOKUP(A704,Raw_Alerts!$B:$B,Raw_Alerts!$A:$A),"No Alert")</f>
        <v/>
      </c>
      <c r="M704" s="2">
        <f>IFERROR(XLOOKUP(A704,Raw_Alerts!$B:$B,Raw_Alerts!$C:$C),"")</f>
        <v/>
      </c>
      <c r="N704" s="2">
        <f>IFERROR(XLOOKUP(A704,Raw_Alerts!$B:$B,Raw_Alerts!$D:$D),"")</f>
        <v/>
      </c>
      <c r="O704" s="2">
        <f>IFERROR(XLOOKUP(A704,Raw_Alerts!$B:$B,Raw_Alerts!$F:$F),"")</f>
        <v/>
      </c>
      <c r="P704" s="2">
        <f>IF(H704="Not Found","CRITICAL: No Risk Profile",IF(I704="Missing","WARN: Missing KYC",IF(I704="Expired","WARN: KYC Expired",IF(I704="Pending","INFO: KYC Pending","OK"))))</f>
        <v/>
      </c>
    </row>
    <row r="705">
      <c r="A705" s="4">
        <f>Raw_Transactions!A705</f>
        <v/>
      </c>
      <c r="B705" s="4">
        <f>Raw_Transactions!B705</f>
        <v/>
      </c>
      <c r="C705" s="4">
        <f>Raw_Transactions!C705</f>
        <v/>
      </c>
      <c r="D705" s="5">
        <f>Raw_Transactions!D705</f>
        <v/>
      </c>
      <c r="E705" s="4">
        <f>Raw_Transactions!E705</f>
        <v/>
      </c>
      <c r="F705" s="4">
        <f>Raw_Transactions!F705</f>
        <v/>
      </c>
      <c r="G705" s="4">
        <f>Raw_Transactions!G705</f>
        <v/>
      </c>
      <c r="H705" s="4">
        <f>XLOOKUP(B705,Raw_Risk_Profiles!$A:$A,Raw_Risk_Profiles!$B:$B,"Not Found")</f>
        <v/>
      </c>
      <c r="I705" s="4">
        <f>XLOOKUP(B705,Raw_Risk_Profiles!$A:$A,Raw_Risk_Profiles!$C:$C,"Missing")</f>
        <v/>
      </c>
      <c r="J705" s="4">
        <f>XLOOKUP(B705,Raw_Risk_Profiles!$A:$A,Raw_Risk_Profiles!$D:$D,"")</f>
        <v/>
      </c>
      <c r="K705" s="4">
        <f>IFERROR(INDEX(Raw_Risk_Profiles!$E:$E,MATCH(B705,Raw_Risk_Profiles!$A:$A,0)),"Unknown")</f>
        <v/>
      </c>
      <c r="L705" s="4">
        <f>IFERROR(XLOOKUP(A705,Raw_Alerts!$B:$B,Raw_Alerts!$A:$A),"No Alert")</f>
        <v/>
      </c>
      <c r="M705" s="4">
        <f>IFERROR(XLOOKUP(A705,Raw_Alerts!$B:$B,Raw_Alerts!$C:$C),"")</f>
        <v/>
      </c>
      <c r="N705" s="4">
        <f>IFERROR(XLOOKUP(A705,Raw_Alerts!$B:$B,Raw_Alerts!$D:$D),"")</f>
        <v/>
      </c>
      <c r="O705" s="4">
        <f>IFERROR(XLOOKUP(A705,Raw_Alerts!$B:$B,Raw_Alerts!$F:$F),"")</f>
        <v/>
      </c>
      <c r="P705" s="4">
        <f>IF(H705="Not Found","CRITICAL: No Risk Profile",IF(I705="Missing","WARN: Missing KYC",IF(I705="Expired","WARN: KYC Expired",IF(I705="Pending","INFO: KYC Pending","OK"))))</f>
        <v/>
      </c>
    </row>
    <row r="706">
      <c r="A706" s="2">
        <f>Raw_Transactions!A706</f>
        <v/>
      </c>
      <c r="B706" s="2">
        <f>Raw_Transactions!B706</f>
        <v/>
      </c>
      <c r="C706" s="2">
        <f>Raw_Transactions!C706</f>
        <v/>
      </c>
      <c r="D706" s="3">
        <f>Raw_Transactions!D706</f>
        <v/>
      </c>
      <c r="E706" s="2">
        <f>Raw_Transactions!E706</f>
        <v/>
      </c>
      <c r="F706" s="2">
        <f>Raw_Transactions!F706</f>
        <v/>
      </c>
      <c r="G706" s="2">
        <f>Raw_Transactions!G706</f>
        <v/>
      </c>
      <c r="H706" s="2">
        <f>XLOOKUP(B706,Raw_Risk_Profiles!$A:$A,Raw_Risk_Profiles!$B:$B,"Not Found")</f>
        <v/>
      </c>
      <c r="I706" s="2">
        <f>XLOOKUP(B706,Raw_Risk_Profiles!$A:$A,Raw_Risk_Profiles!$C:$C,"Missing")</f>
        <v/>
      </c>
      <c r="J706" s="2">
        <f>XLOOKUP(B706,Raw_Risk_Profiles!$A:$A,Raw_Risk_Profiles!$D:$D,"")</f>
        <v/>
      </c>
      <c r="K706" s="2">
        <f>IFERROR(INDEX(Raw_Risk_Profiles!$E:$E,MATCH(B706,Raw_Risk_Profiles!$A:$A,0)),"Unknown")</f>
        <v/>
      </c>
      <c r="L706" s="2">
        <f>IFERROR(XLOOKUP(A706,Raw_Alerts!$B:$B,Raw_Alerts!$A:$A),"No Alert")</f>
        <v/>
      </c>
      <c r="M706" s="2">
        <f>IFERROR(XLOOKUP(A706,Raw_Alerts!$B:$B,Raw_Alerts!$C:$C),"")</f>
        <v/>
      </c>
      <c r="N706" s="2">
        <f>IFERROR(XLOOKUP(A706,Raw_Alerts!$B:$B,Raw_Alerts!$D:$D),"")</f>
        <v/>
      </c>
      <c r="O706" s="2">
        <f>IFERROR(XLOOKUP(A706,Raw_Alerts!$B:$B,Raw_Alerts!$F:$F),"")</f>
        <v/>
      </c>
      <c r="P706" s="2">
        <f>IF(H706="Not Found","CRITICAL: No Risk Profile",IF(I706="Missing","WARN: Missing KYC",IF(I706="Expired","WARN: KYC Expired",IF(I706="Pending","INFO: KYC Pending","OK"))))</f>
        <v/>
      </c>
    </row>
    <row r="707">
      <c r="A707" s="4">
        <f>Raw_Transactions!A707</f>
        <v/>
      </c>
      <c r="B707" s="4">
        <f>Raw_Transactions!B707</f>
        <v/>
      </c>
      <c r="C707" s="4">
        <f>Raw_Transactions!C707</f>
        <v/>
      </c>
      <c r="D707" s="5">
        <f>Raw_Transactions!D707</f>
        <v/>
      </c>
      <c r="E707" s="4">
        <f>Raw_Transactions!E707</f>
        <v/>
      </c>
      <c r="F707" s="4">
        <f>Raw_Transactions!F707</f>
        <v/>
      </c>
      <c r="G707" s="4">
        <f>Raw_Transactions!G707</f>
        <v/>
      </c>
      <c r="H707" s="4">
        <f>XLOOKUP(B707,Raw_Risk_Profiles!$A:$A,Raw_Risk_Profiles!$B:$B,"Not Found")</f>
        <v/>
      </c>
      <c r="I707" s="4">
        <f>XLOOKUP(B707,Raw_Risk_Profiles!$A:$A,Raw_Risk_Profiles!$C:$C,"Missing")</f>
        <v/>
      </c>
      <c r="J707" s="4">
        <f>XLOOKUP(B707,Raw_Risk_Profiles!$A:$A,Raw_Risk_Profiles!$D:$D,"")</f>
        <v/>
      </c>
      <c r="K707" s="4">
        <f>IFERROR(INDEX(Raw_Risk_Profiles!$E:$E,MATCH(B707,Raw_Risk_Profiles!$A:$A,0)),"Unknown")</f>
        <v/>
      </c>
      <c r="L707" s="4">
        <f>IFERROR(XLOOKUP(A707,Raw_Alerts!$B:$B,Raw_Alerts!$A:$A),"No Alert")</f>
        <v/>
      </c>
      <c r="M707" s="4">
        <f>IFERROR(XLOOKUP(A707,Raw_Alerts!$B:$B,Raw_Alerts!$C:$C),"")</f>
        <v/>
      </c>
      <c r="N707" s="4">
        <f>IFERROR(XLOOKUP(A707,Raw_Alerts!$B:$B,Raw_Alerts!$D:$D),"")</f>
        <v/>
      </c>
      <c r="O707" s="4">
        <f>IFERROR(XLOOKUP(A707,Raw_Alerts!$B:$B,Raw_Alerts!$F:$F),"")</f>
        <v/>
      </c>
      <c r="P707" s="4">
        <f>IF(H707="Not Found","CRITICAL: No Risk Profile",IF(I707="Missing","WARN: Missing KYC",IF(I707="Expired","WARN: KYC Expired",IF(I707="Pending","INFO: KYC Pending","OK"))))</f>
        <v/>
      </c>
    </row>
    <row r="708">
      <c r="A708" s="2">
        <f>Raw_Transactions!A708</f>
        <v/>
      </c>
      <c r="B708" s="2">
        <f>Raw_Transactions!B708</f>
        <v/>
      </c>
      <c r="C708" s="2">
        <f>Raw_Transactions!C708</f>
        <v/>
      </c>
      <c r="D708" s="3">
        <f>Raw_Transactions!D708</f>
        <v/>
      </c>
      <c r="E708" s="2">
        <f>Raw_Transactions!E708</f>
        <v/>
      </c>
      <c r="F708" s="2">
        <f>Raw_Transactions!F708</f>
        <v/>
      </c>
      <c r="G708" s="2">
        <f>Raw_Transactions!G708</f>
        <v/>
      </c>
      <c r="H708" s="2">
        <f>XLOOKUP(B708,Raw_Risk_Profiles!$A:$A,Raw_Risk_Profiles!$B:$B,"Not Found")</f>
        <v/>
      </c>
      <c r="I708" s="2">
        <f>XLOOKUP(B708,Raw_Risk_Profiles!$A:$A,Raw_Risk_Profiles!$C:$C,"Missing")</f>
        <v/>
      </c>
      <c r="J708" s="2">
        <f>XLOOKUP(B708,Raw_Risk_Profiles!$A:$A,Raw_Risk_Profiles!$D:$D,"")</f>
        <v/>
      </c>
      <c r="K708" s="2">
        <f>IFERROR(INDEX(Raw_Risk_Profiles!$E:$E,MATCH(B708,Raw_Risk_Profiles!$A:$A,0)),"Unknown")</f>
        <v/>
      </c>
      <c r="L708" s="2">
        <f>IFERROR(XLOOKUP(A708,Raw_Alerts!$B:$B,Raw_Alerts!$A:$A),"No Alert")</f>
        <v/>
      </c>
      <c r="M708" s="2">
        <f>IFERROR(XLOOKUP(A708,Raw_Alerts!$B:$B,Raw_Alerts!$C:$C),"")</f>
        <v/>
      </c>
      <c r="N708" s="2">
        <f>IFERROR(XLOOKUP(A708,Raw_Alerts!$B:$B,Raw_Alerts!$D:$D),"")</f>
        <v/>
      </c>
      <c r="O708" s="2">
        <f>IFERROR(XLOOKUP(A708,Raw_Alerts!$B:$B,Raw_Alerts!$F:$F),"")</f>
        <v/>
      </c>
      <c r="P708" s="2">
        <f>IF(H708="Not Found","CRITICAL: No Risk Profile",IF(I708="Missing","WARN: Missing KYC",IF(I708="Expired","WARN: KYC Expired",IF(I708="Pending","INFO: KYC Pending","OK"))))</f>
        <v/>
      </c>
    </row>
    <row r="709">
      <c r="A709" s="4">
        <f>Raw_Transactions!A709</f>
        <v/>
      </c>
      <c r="B709" s="4">
        <f>Raw_Transactions!B709</f>
        <v/>
      </c>
      <c r="C709" s="4">
        <f>Raw_Transactions!C709</f>
        <v/>
      </c>
      <c r="D709" s="5">
        <f>Raw_Transactions!D709</f>
        <v/>
      </c>
      <c r="E709" s="4">
        <f>Raw_Transactions!E709</f>
        <v/>
      </c>
      <c r="F709" s="4">
        <f>Raw_Transactions!F709</f>
        <v/>
      </c>
      <c r="G709" s="4">
        <f>Raw_Transactions!G709</f>
        <v/>
      </c>
      <c r="H709" s="4">
        <f>XLOOKUP(B709,Raw_Risk_Profiles!$A:$A,Raw_Risk_Profiles!$B:$B,"Not Found")</f>
        <v/>
      </c>
      <c r="I709" s="4">
        <f>XLOOKUP(B709,Raw_Risk_Profiles!$A:$A,Raw_Risk_Profiles!$C:$C,"Missing")</f>
        <v/>
      </c>
      <c r="J709" s="4">
        <f>XLOOKUP(B709,Raw_Risk_Profiles!$A:$A,Raw_Risk_Profiles!$D:$D,"")</f>
        <v/>
      </c>
      <c r="K709" s="4">
        <f>IFERROR(INDEX(Raw_Risk_Profiles!$E:$E,MATCH(B709,Raw_Risk_Profiles!$A:$A,0)),"Unknown")</f>
        <v/>
      </c>
      <c r="L709" s="4">
        <f>IFERROR(XLOOKUP(A709,Raw_Alerts!$B:$B,Raw_Alerts!$A:$A),"No Alert")</f>
        <v/>
      </c>
      <c r="M709" s="4">
        <f>IFERROR(XLOOKUP(A709,Raw_Alerts!$B:$B,Raw_Alerts!$C:$C),"")</f>
        <v/>
      </c>
      <c r="N709" s="4">
        <f>IFERROR(XLOOKUP(A709,Raw_Alerts!$B:$B,Raw_Alerts!$D:$D),"")</f>
        <v/>
      </c>
      <c r="O709" s="4">
        <f>IFERROR(XLOOKUP(A709,Raw_Alerts!$B:$B,Raw_Alerts!$F:$F),"")</f>
        <v/>
      </c>
      <c r="P709" s="4">
        <f>IF(H709="Not Found","CRITICAL: No Risk Profile",IF(I709="Missing","WARN: Missing KYC",IF(I709="Expired","WARN: KYC Expired",IF(I709="Pending","INFO: KYC Pending","OK"))))</f>
        <v/>
      </c>
    </row>
    <row r="710">
      <c r="A710" s="2">
        <f>Raw_Transactions!A710</f>
        <v/>
      </c>
      <c r="B710" s="2">
        <f>Raw_Transactions!B710</f>
        <v/>
      </c>
      <c r="C710" s="2">
        <f>Raw_Transactions!C710</f>
        <v/>
      </c>
      <c r="D710" s="3">
        <f>Raw_Transactions!D710</f>
        <v/>
      </c>
      <c r="E710" s="2">
        <f>Raw_Transactions!E710</f>
        <v/>
      </c>
      <c r="F710" s="2">
        <f>Raw_Transactions!F710</f>
        <v/>
      </c>
      <c r="G710" s="2">
        <f>Raw_Transactions!G710</f>
        <v/>
      </c>
      <c r="H710" s="2">
        <f>XLOOKUP(B710,Raw_Risk_Profiles!$A:$A,Raw_Risk_Profiles!$B:$B,"Not Found")</f>
        <v/>
      </c>
      <c r="I710" s="2">
        <f>XLOOKUP(B710,Raw_Risk_Profiles!$A:$A,Raw_Risk_Profiles!$C:$C,"Missing")</f>
        <v/>
      </c>
      <c r="J710" s="2">
        <f>XLOOKUP(B710,Raw_Risk_Profiles!$A:$A,Raw_Risk_Profiles!$D:$D,"")</f>
        <v/>
      </c>
      <c r="K710" s="2">
        <f>IFERROR(INDEX(Raw_Risk_Profiles!$E:$E,MATCH(B710,Raw_Risk_Profiles!$A:$A,0)),"Unknown")</f>
        <v/>
      </c>
      <c r="L710" s="2">
        <f>IFERROR(XLOOKUP(A710,Raw_Alerts!$B:$B,Raw_Alerts!$A:$A),"No Alert")</f>
        <v/>
      </c>
      <c r="M710" s="2">
        <f>IFERROR(XLOOKUP(A710,Raw_Alerts!$B:$B,Raw_Alerts!$C:$C),"")</f>
        <v/>
      </c>
      <c r="N710" s="2">
        <f>IFERROR(XLOOKUP(A710,Raw_Alerts!$B:$B,Raw_Alerts!$D:$D),"")</f>
        <v/>
      </c>
      <c r="O710" s="2">
        <f>IFERROR(XLOOKUP(A710,Raw_Alerts!$B:$B,Raw_Alerts!$F:$F),"")</f>
        <v/>
      </c>
      <c r="P710" s="2">
        <f>IF(H710="Not Found","CRITICAL: No Risk Profile",IF(I710="Missing","WARN: Missing KYC",IF(I710="Expired","WARN: KYC Expired",IF(I710="Pending","INFO: KYC Pending","OK"))))</f>
        <v/>
      </c>
    </row>
    <row r="711">
      <c r="A711" s="4">
        <f>Raw_Transactions!A711</f>
        <v/>
      </c>
      <c r="B711" s="4">
        <f>Raw_Transactions!B711</f>
        <v/>
      </c>
      <c r="C711" s="4">
        <f>Raw_Transactions!C711</f>
        <v/>
      </c>
      <c r="D711" s="5">
        <f>Raw_Transactions!D711</f>
        <v/>
      </c>
      <c r="E711" s="4">
        <f>Raw_Transactions!E711</f>
        <v/>
      </c>
      <c r="F711" s="4">
        <f>Raw_Transactions!F711</f>
        <v/>
      </c>
      <c r="G711" s="4">
        <f>Raw_Transactions!G711</f>
        <v/>
      </c>
      <c r="H711" s="4">
        <f>XLOOKUP(B711,Raw_Risk_Profiles!$A:$A,Raw_Risk_Profiles!$B:$B,"Not Found")</f>
        <v/>
      </c>
      <c r="I711" s="4">
        <f>XLOOKUP(B711,Raw_Risk_Profiles!$A:$A,Raw_Risk_Profiles!$C:$C,"Missing")</f>
        <v/>
      </c>
      <c r="J711" s="4">
        <f>XLOOKUP(B711,Raw_Risk_Profiles!$A:$A,Raw_Risk_Profiles!$D:$D,"")</f>
        <v/>
      </c>
      <c r="K711" s="4">
        <f>IFERROR(INDEX(Raw_Risk_Profiles!$E:$E,MATCH(B711,Raw_Risk_Profiles!$A:$A,0)),"Unknown")</f>
        <v/>
      </c>
      <c r="L711" s="4">
        <f>IFERROR(XLOOKUP(A711,Raw_Alerts!$B:$B,Raw_Alerts!$A:$A),"No Alert")</f>
        <v/>
      </c>
      <c r="M711" s="4">
        <f>IFERROR(XLOOKUP(A711,Raw_Alerts!$B:$B,Raw_Alerts!$C:$C),"")</f>
        <v/>
      </c>
      <c r="N711" s="4">
        <f>IFERROR(XLOOKUP(A711,Raw_Alerts!$B:$B,Raw_Alerts!$D:$D),"")</f>
        <v/>
      </c>
      <c r="O711" s="4">
        <f>IFERROR(XLOOKUP(A711,Raw_Alerts!$B:$B,Raw_Alerts!$F:$F),"")</f>
        <v/>
      </c>
      <c r="P711" s="4">
        <f>IF(H711="Not Found","CRITICAL: No Risk Profile",IF(I711="Missing","WARN: Missing KYC",IF(I711="Expired","WARN: KYC Expired",IF(I711="Pending","INFO: KYC Pending","OK"))))</f>
        <v/>
      </c>
    </row>
    <row r="712">
      <c r="A712" s="2">
        <f>Raw_Transactions!A712</f>
        <v/>
      </c>
      <c r="B712" s="2">
        <f>Raw_Transactions!B712</f>
        <v/>
      </c>
      <c r="C712" s="2">
        <f>Raw_Transactions!C712</f>
        <v/>
      </c>
      <c r="D712" s="3">
        <f>Raw_Transactions!D712</f>
        <v/>
      </c>
      <c r="E712" s="2">
        <f>Raw_Transactions!E712</f>
        <v/>
      </c>
      <c r="F712" s="2">
        <f>Raw_Transactions!F712</f>
        <v/>
      </c>
      <c r="G712" s="2">
        <f>Raw_Transactions!G712</f>
        <v/>
      </c>
      <c r="H712" s="2">
        <f>XLOOKUP(B712,Raw_Risk_Profiles!$A:$A,Raw_Risk_Profiles!$B:$B,"Not Found")</f>
        <v/>
      </c>
      <c r="I712" s="2">
        <f>XLOOKUP(B712,Raw_Risk_Profiles!$A:$A,Raw_Risk_Profiles!$C:$C,"Missing")</f>
        <v/>
      </c>
      <c r="J712" s="2">
        <f>XLOOKUP(B712,Raw_Risk_Profiles!$A:$A,Raw_Risk_Profiles!$D:$D,"")</f>
        <v/>
      </c>
      <c r="K712" s="2">
        <f>IFERROR(INDEX(Raw_Risk_Profiles!$E:$E,MATCH(B712,Raw_Risk_Profiles!$A:$A,0)),"Unknown")</f>
        <v/>
      </c>
      <c r="L712" s="2">
        <f>IFERROR(XLOOKUP(A712,Raw_Alerts!$B:$B,Raw_Alerts!$A:$A),"No Alert")</f>
        <v/>
      </c>
      <c r="M712" s="2">
        <f>IFERROR(XLOOKUP(A712,Raw_Alerts!$B:$B,Raw_Alerts!$C:$C),"")</f>
        <v/>
      </c>
      <c r="N712" s="2">
        <f>IFERROR(XLOOKUP(A712,Raw_Alerts!$B:$B,Raw_Alerts!$D:$D),"")</f>
        <v/>
      </c>
      <c r="O712" s="2">
        <f>IFERROR(XLOOKUP(A712,Raw_Alerts!$B:$B,Raw_Alerts!$F:$F),"")</f>
        <v/>
      </c>
      <c r="P712" s="2">
        <f>IF(H712="Not Found","CRITICAL: No Risk Profile",IF(I712="Missing","WARN: Missing KYC",IF(I712="Expired","WARN: KYC Expired",IF(I712="Pending","INFO: KYC Pending","OK"))))</f>
        <v/>
      </c>
    </row>
    <row r="713">
      <c r="A713" s="4">
        <f>Raw_Transactions!A713</f>
        <v/>
      </c>
      <c r="B713" s="4">
        <f>Raw_Transactions!B713</f>
        <v/>
      </c>
      <c r="C713" s="4">
        <f>Raw_Transactions!C713</f>
        <v/>
      </c>
      <c r="D713" s="5">
        <f>Raw_Transactions!D713</f>
        <v/>
      </c>
      <c r="E713" s="4">
        <f>Raw_Transactions!E713</f>
        <v/>
      </c>
      <c r="F713" s="4">
        <f>Raw_Transactions!F713</f>
        <v/>
      </c>
      <c r="G713" s="4">
        <f>Raw_Transactions!G713</f>
        <v/>
      </c>
      <c r="H713" s="4">
        <f>XLOOKUP(B713,Raw_Risk_Profiles!$A:$A,Raw_Risk_Profiles!$B:$B,"Not Found")</f>
        <v/>
      </c>
      <c r="I713" s="4">
        <f>XLOOKUP(B713,Raw_Risk_Profiles!$A:$A,Raw_Risk_Profiles!$C:$C,"Missing")</f>
        <v/>
      </c>
      <c r="J713" s="4">
        <f>XLOOKUP(B713,Raw_Risk_Profiles!$A:$A,Raw_Risk_Profiles!$D:$D,"")</f>
        <v/>
      </c>
      <c r="K713" s="4">
        <f>IFERROR(INDEX(Raw_Risk_Profiles!$E:$E,MATCH(B713,Raw_Risk_Profiles!$A:$A,0)),"Unknown")</f>
        <v/>
      </c>
      <c r="L713" s="4">
        <f>IFERROR(XLOOKUP(A713,Raw_Alerts!$B:$B,Raw_Alerts!$A:$A),"No Alert")</f>
        <v/>
      </c>
      <c r="M713" s="4">
        <f>IFERROR(XLOOKUP(A713,Raw_Alerts!$B:$B,Raw_Alerts!$C:$C),"")</f>
        <v/>
      </c>
      <c r="N713" s="4">
        <f>IFERROR(XLOOKUP(A713,Raw_Alerts!$B:$B,Raw_Alerts!$D:$D),"")</f>
        <v/>
      </c>
      <c r="O713" s="4">
        <f>IFERROR(XLOOKUP(A713,Raw_Alerts!$B:$B,Raw_Alerts!$F:$F),"")</f>
        <v/>
      </c>
      <c r="P713" s="4">
        <f>IF(H713="Not Found","CRITICAL: No Risk Profile",IF(I713="Missing","WARN: Missing KYC",IF(I713="Expired","WARN: KYC Expired",IF(I713="Pending","INFO: KYC Pending","OK"))))</f>
        <v/>
      </c>
    </row>
    <row r="714">
      <c r="A714" s="2">
        <f>Raw_Transactions!A714</f>
        <v/>
      </c>
      <c r="B714" s="2">
        <f>Raw_Transactions!B714</f>
        <v/>
      </c>
      <c r="C714" s="2">
        <f>Raw_Transactions!C714</f>
        <v/>
      </c>
      <c r="D714" s="3">
        <f>Raw_Transactions!D714</f>
        <v/>
      </c>
      <c r="E714" s="2">
        <f>Raw_Transactions!E714</f>
        <v/>
      </c>
      <c r="F714" s="2">
        <f>Raw_Transactions!F714</f>
        <v/>
      </c>
      <c r="G714" s="2">
        <f>Raw_Transactions!G714</f>
        <v/>
      </c>
      <c r="H714" s="2">
        <f>XLOOKUP(B714,Raw_Risk_Profiles!$A:$A,Raw_Risk_Profiles!$B:$B,"Not Found")</f>
        <v/>
      </c>
      <c r="I714" s="2">
        <f>XLOOKUP(B714,Raw_Risk_Profiles!$A:$A,Raw_Risk_Profiles!$C:$C,"Missing")</f>
        <v/>
      </c>
      <c r="J714" s="2">
        <f>XLOOKUP(B714,Raw_Risk_Profiles!$A:$A,Raw_Risk_Profiles!$D:$D,"")</f>
        <v/>
      </c>
      <c r="K714" s="2">
        <f>IFERROR(INDEX(Raw_Risk_Profiles!$E:$E,MATCH(B714,Raw_Risk_Profiles!$A:$A,0)),"Unknown")</f>
        <v/>
      </c>
      <c r="L714" s="2">
        <f>IFERROR(XLOOKUP(A714,Raw_Alerts!$B:$B,Raw_Alerts!$A:$A),"No Alert")</f>
        <v/>
      </c>
      <c r="M714" s="2">
        <f>IFERROR(XLOOKUP(A714,Raw_Alerts!$B:$B,Raw_Alerts!$C:$C),"")</f>
        <v/>
      </c>
      <c r="N714" s="2">
        <f>IFERROR(XLOOKUP(A714,Raw_Alerts!$B:$B,Raw_Alerts!$D:$D),"")</f>
        <v/>
      </c>
      <c r="O714" s="2">
        <f>IFERROR(XLOOKUP(A714,Raw_Alerts!$B:$B,Raw_Alerts!$F:$F),"")</f>
        <v/>
      </c>
      <c r="P714" s="2">
        <f>IF(H714="Not Found","CRITICAL: No Risk Profile",IF(I714="Missing","WARN: Missing KYC",IF(I714="Expired","WARN: KYC Expired",IF(I714="Pending","INFO: KYC Pending","OK"))))</f>
        <v/>
      </c>
    </row>
    <row r="715">
      <c r="A715" s="4">
        <f>Raw_Transactions!A715</f>
        <v/>
      </c>
      <c r="B715" s="4">
        <f>Raw_Transactions!B715</f>
        <v/>
      </c>
      <c r="C715" s="4">
        <f>Raw_Transactions!C715</f>
        <v/>
      </c>
      <c r="D715" s="5">
        <f>Raw_Transactions!D715</f>
        <v/>
      </c>
      <c r="E715" s="4">
        <f>Raw_Transactions!E715</f>
        <v/>
      </c>
      <c r="F715" s="4">
        <f>Raw_Transactions!F715</f>
        <v/>
      </c>
      <c r="G715" s="4">
        <f>Raw_Transactions!G715</f>
        <v/>
      </c>
      <c r="H715" s="4">
        <f>XLOOKUP(B715,Raw_Risk_Profiles!$A:$A,Raw_Risk_Profiles!$B:$B,"Not Found")</f>
        <v/>
      </c>
      <c r="I715" s="4">
        <f>XLOOKUP(B715,Raw_Risk_Profiles!$A:$A,Raw_Risk_Profiles!$C:$C,"Missing")</f>
        <v/>
      </c>
      <c r="J715" s="4">
        <f>XLOOKUP(B715,Raw_Risk_Profiles!$A:$A,Raw_Risk_Profiles!$D:$D,"")</f>
        <v/>
      </c>
      <c r="K715" s="4">
        <f>IFERROR(INDEX(Raw_Risk_Profiles!$E:$E,MATCH(B715,Raw_Risk_Profiles!$A:$A,0)),"Unknown")</f>
        <v/>
      </c>
      <c r="L715" s="4">
        <f>IFERROR(XLOOKUP(A715,Raw_Alerts!$B:$B,Raw_Alerts!$A:$A),"No Alert")</f>
        <v/>
      </c>
      <c r="M715" s="4">
        <f>IFERROR(XLOOKUP(A715,Raw_Alerts!$B:$B,Raw_Alerts!$C:$C),"")</f>
        <v/>
      </c>
      <c r="N715" s="4">
        <f>IFERROR(XLOOKUP(A715,Raw_Alerts!$B:$B,Raw_Alerts!$D:$D),"")</f>
        <v/>
      </c>
      <c r="O715" s="4">
        <f>IFERROR(XLOOKUP(A715,Raw_Alerts!$B:$B,Raw_Alerts!$F:$F),"")</f>
        <v/>
      </c>
      <c r="P715" s="4">
        <f>IF(H715="Not Found","CRITICAL: No Risk Profile",IF(I715="Missing","WARN: Missing KYC",IF(I715="Expired","WARN: KYC Expired",IF(I715="Pending","INFO: KYC Pending","OK"))))</f>
        <v/>
      </c>
    </row>
    <row r="716">
      <c r="A716" s="2">
        <f>Raw_Transactions!A716</f>
        <v/>
      </c>
      <c r="B716" s="2">
        <f>Raw_Transactions!B716</f>
        <v/>
      </c>
      <c r="C716" s="2">
        <f>Raw_Transactions!C716</f>
        <v/>
      </c>
      <c r="D716" s="3">
        <f>Raw_Transactions!D716</f>
        <v/>
      </c>
      <c r="E716" s="2">
        <f>Raw_Transactions!E716</f>
        <v/>
      </c>
      <c r="F716" s="2">
        <f>Raw_Transactions!F716</f>
        <v/>
      </c>
      <c r="G716" s="2">
        <f>Raw_Transactions!G716</f>
        <v/>
      </c>
      <c r="H716" s="2">
        <f>XLOOKUP(B716,Raw_Risk_Profiles!$A:$A,Raw_Risk_Profiles!$B:$B,"Not Found")</f>
        <v/>
      </c>
      <c r="I716" s="2">
        <f>XLOOKUP(B716,Raw_Risk_Profiles!$A:$A,Raw_Risk_Profiles!$C:$C,"Missing")</f>
        <v/>
      </c>
      <c r="J716" s="2">
        <f>XLOOKUP(B716,Raw_Risk_Profiles!$A:$A,Raw_Risk_Profiles!$D:$D,"")</f>
        <v/>
      </c>
      <c r="K716" s="2">
        <f>IFERROR(INDEX(Raw_Risk_Profiles!$E:$E,MATCH(B716,Raw_Risk_Profiles!$A:$A,0)),"Unknown")</f>
        <v/>
      </c>
      <c r="L716" s="2">
        <f>IFERROR(XLOOKUP(A716,Raw_Alerts!$B:$B,Raw_Alerts!$A:$A),"No Alert")</f>
        <v/>
      </c>
      <c r="M716" s="2">
        <f>IFERROR(XLOOKUP(A716,Raw_Alerts!$B:$B,Raw_Alerts!$C:$C),"")</f>
        <v/>
      </c>
      <c r="N716" s="2">
        <f>IFERROR(XLOOKUP(A716,Raw_Alerts!$B:$B,Raw_Alerts!$D:$D),"")</f>
        <v/>
      </c>
      <c r="O716" s="2">
        <f>IFERROR(XLOOKUP(A716,Raw_Alerts!$B:$B,Raw_Alerts!$F:$F),"")</f>
        <v/>
      </c>
      <c r="P716" s="2">
        <f>IF(H716="Not Found","CRITICAL: No Risk Profile",IF(I716="Missing","WARN: Missing KYC",IF(I716="Expired","WARN: KYC Expired",IF(I716="Pending","INFO: KYC Pending","OK"))))</f>
        <v/>
      </c>
    </row>
    <row r="717">
      <c r="A717" s="4">
        <f>Raw_Transactions!A717</f>
        <v/>
      </c>
      <c r="B717" s="4">
        <f>Raw_Transactions!B717</f>
        <v/>
      </c>
      <c r="C717" s="4">
        <f>Raw_Transactions!C717</f>
        <v/>
      </c>
      <c r="D717" s="5">
        <f>Raw_Transactions!D717</f>
        <v/>
      </c>
      <c r="E717" s="4">
        <f>Raw_Transactions!E717</f>
        <v/>
      </c>
      <c r="F717" s="4">
        <f>Raw_Transactions!F717</f>
        <v/>
      </c>
      <c r="G717" s="4">
        <f>Raw_Transactions!G717</f>
        <v/>
      </c>
      <c r="H717" s="4">
        <f>XLOOKUP(B717,Raw_Risk_Profiles!$A:$A,Raw_Risk_Profiles!$B:$B,"Not Found")</f>
        <v/>
      </c>
      <c r="I717" s="4">
        <f>XLOOKUP(B717,Raw_Risk_Profiles!$A:$A,Raw_Risk_Profiles!$C:$C,"Missing")</f>
        <v/>
      </c>
      <c r="J717" s="4">
        <f>XLOOKUP(B717,Raw_Risk_Profiles!$A:$A,Raw_Risk_Profiles!$D:$D,"")</f>
        <v/>
      </c>
      <c r="K717" s="4">
        <f>IFERROR(INDEX(Raw_Risk_Profiles!$E:$E,MATCH(B717,Raw_Risk_Profiles!$A:$A,0)),"Unknown")</f>
        <v/>
      </c>
      <c r="L717" s="4">
        <f>IFERROR(XLOOKUP(A717,Raw_Alerts!$B:$B,Raw_Alerts!$A:$A),"No Alert")</f>
        <v/>
      </c>
      <c r="M717" s="4">
        <f>IFERROR(XLOOKUP(A717,Raw_Alerts!$B:$B,Raw_Alerts!$C:$C),"")</f>
        <v/>
      </c>
      <c r="N717" s="4">
        <f>IFERROR(XLOOKUP(A717,Raw_Alerts!$B:$B,Raw_Alerts!$D:$D),"")</f>
        <v/>
      </c>
      <c r="O717" s="4">
        <f>IFERROR(XLOOKUP(A717,Raw_Alerts!$B:$B,Raw_Alerts!$F:$F),"")</f>
        <v/>
      </c>
      <c r="P717" s="4">
        <f>IF(H717="Not Found","CRITICAL: No Risk Profile",IF(I717="Missing","WARN: Missing KYC",IF(I717="Expired","WARN: KYC Expired",IF(I717="Pending","INFO: KYC Pending","OK"))))</f>
        <v/>
      </c>
    </row>
    <row r="718">
      <c r="A718" s="2">
        <f>Raw_Transactions!A718</f>
        <v/>
      </c>
      <c r="B718" s="2">
        <f>Raw_Transactions!B718</f>
        <v/>
      </c>
      <c r="C718" s="2">
        <f>Raw_Transactions!C718</f>
        <v/>
      </c>
      <c r="D718" s="3">
        <f>Raw_Transactions!D718</f>
        <v/>
      </c>
      <c r="E718" s="2">
        <f>Raw_Transactions!E718</f>
        <v/>
      </c>
      <c r="F718" s="2">
        <f>Raw_Transactions!F718</f>
        <v/>
      </c>
      <c r="G718" s="2">
        <f>Raw_Transactions!G718</f>
        <v/>
      </c>
      <c r="H718" s="2">
        <f>XLOOKUP(B718,Raw_Risk_Profiles!$A:$A,Raw_Risk_Profiles!$B:$B,"Not Found")</f>
        <v/>
      </c>
      <c r="I718" s="2">
        <f>XLOOKUP(B718,Raw_Risk_Profiles!$A:$A,Raw_Risk_Profiles!$C:$C,"Missing")</f>
        <v/>
      </c>
      <c r="J718" s="2">
        <f>XLOOKUP(B718,Raw_Risk_Profiles!$A:$A,Raw_Risk_Profiles!$D:$D,"")</f>
        <v/>
      </c>
      <c r="K718" s="2">
        <f>IFERROR(INDEX(Raw_Risk_Profiles!$E:$E,MATCH(B718,Raw_Risk_Profiles!$A:$A,0)),"Unknown")</f>
        <v/>
      </c>
      <c r="L718" s="2">
        <f>IFERROR(XLOOKUP(A718,Raw_Alerts!$B:$B,Raw_Alerts!$A:$A),"No Alert")</f>
        <v/>
      </c>
      <c r="M718" s="2">
        <f>IFERROR(XLOOKUP(A718,Raw_Alerts!$B:$B,Raw_Alerts!$C:$C),"")</f>
        <v/>
      </c>
      <c r="N718" s="2">
        <f>IFERROR(XLOOKUP(A718,Raw_Alerts!$B:$B,Raw_Alerts!$D:$D),"")</f>
        <v/>
      </c>
      <c r="O718" s="2">
        <f>IFERROR(XLOOKUP(A718,Raw_Alerts!$B:$B,Raw_Alerts!$F:$F),"")</f>
        <v/>
      </c>
      <c r="P718" s="2">
        <f>IF(H718="Not Found","CRITICAL: No Risk Profile",IF(I718="Missing","WARN: Missing KYC",IF(I718="Expired","WARN: KYC Expired",IF(I718="Pending","INFO: KYC Pending","OK"))))</f>
        <v/>
      </c>
    </row>
    <row r="719">
      <c r="A719" s="4">
        <f>Raw_Transactions!A719</f>
        <v/>
      </c>
      <c r="B719" s="4">
        <f>Raw_Transactions!B719</f>
        <v/>
      </c>
      <c r="C719" s="4">
        <f>Raw_Transactions!C719</f>
        <v/>
      </c>
      <c r="D719" s="5">
        <f>Raw_Transactions!D719</f>
        <v/>
      </c>
      <c r="E719" s="4">
        <f>Raw_Transactions!E719</f>
        <v/>
      </c>
      <c r="F719" s="4">
        <f>Raw_Transactions!F719</f>
        <v/>
      </c>
      <c r="G719" s="4">
        <f>Raw_Transactions!G719</f>
        <v/>
      </c>
      <c r="H719" s="4">
        <f>XLOOKUP(B719,Raw_Risk_Profiles!$A:$A,Raw_Risk_Profiles!$B:$B,"Not Found")</f>
        <v/>
      </c>
      <c r="I719" s="4">
        <f>XLOOKUP(B719,Raw_Risk_Profiles!$A:$A,Raw_Risk_Profiles!$C:$C,"Missing")</f>
        <v/>
      </c>
      <c r="J719" s="4">
        <f>XLOOKUP(B719,Raw_Risk_Profiles!$A:$A,Raw_Risk_Profiles!$D:$D,"")</f>
        <v/>
      </c>
      <c r="K719" s="4">
        <f>IFERROR(INDEX(Raw_Risk_Profiles!$E:$E,MATCH(B719,Raw_Risk_Profiles!$A:$A,0)),"Unknown")</f>
        <v/>
      </c>
      <c r="L719" s="4">
        <f>IFERROR(XLOOKUP(A719,Raw_Alerts!$B:$B,Raw_Alerts!$A:$A),"No Alert")</f>
        <v/>
      </c>
      <c r="M719" s="4">
        <f>IFERROR(XLOOKUP(A719,Raw_Alerts!$B:$B,Raw_Alerts!$C:$C),"")</f>
        <v/>
      </c>
      <c r="N719" s="4">
        <f>IFERROR(XLOOKUP(A719,Raw_Alerts!$B:$B,Raw_Alerts!$D:$D),"")</f>
        <v/>
      </c>
      <c r="O719" s="4">
        <f>IFERROR(XLOOKUP(A719,Raw_Alerts!$B:$B,Raw_Alerts!$F:$F),"")</f>
        <v/>
      </c>
      <c r="P719" s="4">
        <f>IF(H719="Not Found","CRITICAL: No Risk Profile",IF(I719="Missing","WARN: Missing KYC",IF(I719="Expired","WARN: KYC Expired",IF(I719="Pending","INFO: KYC Pending","OK"))))</f>
        <v/>
      </c>
    </row>
    <row r="720">
      <c r="A720" s="2">
        <f>Raw_Transactions!A720</f>
        <v/>
      </c>
      <c r="B720" s="2">
        <f>Raw_Transactions!B720</f>
        <v/>
      </c>
      <c r="C720" s="2">
        <f>Raw_Transactions!C720</f>
        <v/>
      </c>
      <c r="D720" s="3">
        <f>Raw_Transactions!D720</f>
        <v/>
      </c>
      <c r="E720" s="2">
        <f>Raw_Transactions!E720</f>
        <v/>
      </c>
      <c r="F720" s="2">
        <f>Raw_Transactions!F720</f>
        <v/>
      </c>
      <c r="G720" s="2">
        <f>Raw_Transactions!G720</f>
        <v/>
      </c>
      <c r="H720" s="2">
        <f>XLOOKUP(B720,Raw_Risk_Profiles!$A:$A,Raw_Risk_Profiles!$B:$B,"Not Found")</f>
        <v/>
      </c>
      <c r="I720" s="2">
        <f>XLOOKUP(B720,Raw_Risk_Profiles!$A:$A,Raw_Risk_Profiles!$C:$C,"Missing")</f>
        <v/>
      </c>
      <c r="J720" s="2">
        <f>XLOOKUP(B720,Raw_Risk_Profiles!$A:$A,Raw_Risk_Profiles!$D:$D,"")</f>
        <v/>
      </c>
      <c r="K720" s="2">
        <f>IFERROR(INDEX(Raw_Risk_Profiles!$E:$E,MATCH(B720,Raw_Risk_Profiles!$A:$A,0)),"Unknown")</f>
        <v/>
      </c>
      <c r="L720" s="2">
        <f>IFERROR(XLOOKUP(A720,Raw_Alerts!$B:$B,Raw_Alerts!$A:$A),"No Alert")</f>
        <v/>
      </c>
      <c r="M720" s="2">
        <f>IFERROR(XLOOKUP(A720,Raw_Alerts!$B:$B,Raw_Alerts!$C:$C),"")</f>
        <v/>
      </c>
      <c r="N720" s="2">
        <f>IFERROR(XLOOKUP(A720,Raw_Alerts!$B:$B,Raw_Alerts!$D:$D),"")</f>
        <v/>
      </c>
      <c r="O720" s="2">
        <f>IFERROR(XLOOKUP(A720,Raw_Alerts!$B:$B,Raw_Alerts!$F:$F),"")</f>
        <v/>
      </c>
      <c r="P720" s="2">
        <f>IF(H720="Not Found","CRITICAL: No Risk Profile",IF(I720="Missing","WARN: Missing KYC",IF(I720="Expired","WARN: KYC Expired",IF(I720="Pending","INFO: KYC Pending","OK"))))</f>
        <v/>
      </c>
    </row>
    <row r="721">
      <c r="A721" s="4">
        <f>Raw_Transactions!A721</f>
        <v/>
      </c>
      <c r="B721" s="4">
        <f>Raw_Transactions!B721</f>
        <v/>
      </c>
      <c r="C721" s="4">
        <f>Raw_Transactions!C721</f>
        <v/>
      </c>
      <c r="D721" s="5">
        <f>Raw_Transactions!D721</f>
        <v/>
      </c>
      <c r="E721" s="4">
        <f>Raw_Transactions!E721</f>
        <v/>
      </c>
      <c r="F721" s="4">
        <f>Raw_Transactions!F721</f>
        <v/>
      </c>
      <c r="G721" s="4">
        <f>Raw_Transactions!G721</f>
        <v/>
      </c>
      <c r="H721" s="4">
        <f>XLOOKUP(B721,Raw_Risk_Profiles!$A:$A,Raw_Risk_Profiles!$B:$B,"Not Found")</f>
        <v/>
      </c>
      <c r="I721" s="4">
        <f>XLOOKUP(B721,Raw_Risk_Profiles!$A:$A,Raw_Risk_Profiles!$C:$C,"Missing")</f>
        <v/>
      </c>
      <c r="J721" s="4">
        <f>XLOOKUP(B721,Raw_Risk_Profiles!$A:$A,Raw_Risk_Profiles!$D:$D,"")</f>
        <v/>
      </c>
      <c r="K721" s="4">
        <f>IFERROR(INDEX(Raw_Risk_Profiles!$E:$E,MATCH(B721,Raw_Risk_Profiles!$A:$A,0)),"Unknown")</f>
        <v/>
      </c>
      <c r="L721" s="4">
        <f>IFERROR(XLOOKUP(A721,Raw_Alerts!$B:$B,Raw_Alerts!$A:$A),"No Alert")</f>
        <v/>
      </c>
      <c r="M721" s="4">
        <f>IFERROR(XLOOKUP(A721,Raw_Alerts!$B:$B,Raw_Alerts!$C:$C),"")</f>
        <v/>
      </c>
      <c r="N721" s="4">
        <f>IFERROR(XLOOKUP(A721,Raw_Alerts!$B:$B,Raw_Alerts!$D:$D),"")</f>
        <v/>
      </c>
      <c r="O721" s="4">
        <f>IFERROR(XLOOKUP(A721,Raw_Alerts!$B:$B,Raw_Alerts!$F:$F),"")</f>
        <v/>
      </c>
      <c r="P721" s="4">
        <f>IF(H721="Not Found","CRITICAL: No Risk Profile",IF(I721="Missing","WARN: Missing KYC",IF(I721="Expired","WARN: KYC Expired",IF(I721="Pending","INFO: KYC Pending","OK"))))</f>
        <v/>
      </c>
    </row>
    <row r="722">
      <c r="A722" s="2">
        <f>Raw_Transactions!A722</f>
        <v/>
      </c>
      <c r="B722" s="2">
        <f>Raw_Transactions!B722</f>
        <v/>
      </c>
      <c r="C722" s="2">
        <f>Raw_Transactions!C722</f>
        <v/>
      </c>
      <c r="D722" s="3">
        <f>Raw_Transactions!D722</f>
        <v/>
      </c>
      <c r="E722" s="2">
        <f>Raw_Transactions!E722</f>
        <v/>
      </c>
      <c r="F722" s="2">
        <f>Raw_Transactions!F722</f>
        <v/>
      </c>
      <c r="G722" s="2">
        <f>Raw_Transactions!G722</f>
        <v/>
      </c>
      <c r="H722" s="2">
        <f>XLOOKUP(B722,Raw_Risk_Profiles!$A:$A,Raw_Risk_Profiles!$B:$B,"Not Found")</f>
        <v/>
      </c>
      <c r="I722" s="2">
        <f>XLOOKUP(B722,Raw_Risk_Profiles!$A:$A,Raw_Risk_Profiles!$C:$C,"Missing")</f>
        <v/>
      </c>
      <c r="J722" s="2">
        <f>XLOOKUP(B722,Raw_Risk_Profiles!$A:$A,Raw_Risk_Profiles!$D:$D,"")</f>
        <v/>
      </c>
      <c r="K722" s="2">
        <f>IFERROR(INDEX(Raw_Risk_Profiles!$E:$E,MATCH(B722,Raw_Risk_Profiles!$A:$A,0)),"Unknown")</f>
        <v/>
      </c>
      <c r="L722" s="2">
        <f>IFERROR(XLOOKUP(A722,Raw_Alerts!$B:$B,Raw_Alerts!$A:$A),"No Alert")</f>
        <v/>
      </c>
      <c r="M722" s="2">
        <f>IFERROR(XLOOKUP(A722,Raw_Alerts!$B:$B,Raw_Alerts!$C:$C),"")</f>
        <v/>
      </c>
      <c r="N722" s="2">
        <f>IFERROR(XLOOKUP(A722,Raw_Alerts!$B:$B,Raw_Alerts!$D:$D),"")</f>
        <v/>
      </c>
      <c r="O722" s="2">
        <f>IFERROR(XLOOKUP(A722,Raw_Alerts!$B:$B,Raw_Alerts!$F:$F),"")</f>
        <v/>
      </c>
      <c r="P722" s="2">
        <f>IF(H722="Not Found","CRITICAL: No Risk Profile",IF(I722="Missing","WARN: Missing KYC",IF(I722="Expired","WARN: KYC Expired",IF(I722="Pending","INFO: KYC Pending","OK"))))</f>
        <v/>
      </c>
    </row>
    <row r="723">
      <c r="A723" s="4">
        <f>Raw_Transactions!A723</f>
        <v/>
      </c>
      <c r="B723" s="4">
        <f>Raw_Transactions!B723</f>
        <v/>
      </c>
      <c r="C723" s="4">
        <f>Raw_Transactions!C723</f>
        <v/>
      </c>
      <c r="D723" s="5">
        <f>Raw_Transactions!D723</f>
        <v/>
      </c>
      <c r="E723" s="4">
        <f>Raw_Transactions!E723</f>
        <v/>
      </c>
      <c r="F723" s="4">
        <f>Raw_Transactions!F723</f>
        <v/>
      </c>
      <c r="G723" s="4">
        <f>Raw_Transactions!G723</f>
        <v/>
      </c>
      <c r="H723" s="4">
        <f>XLOOKUP(B723,Raw_Risk_Profiles!$A:$A,Raw_Risk_Profiles!$B:$B,"Not Found")</f>
        <v/>
      </c>
      <c r="I723" s="4">
        <f>XLOOKUP(B723,Raw_Risk_Profiles!$A:$A,Raw_Risk_Profiles!$C:$C,"Missing")</f>
        <v/>
      </c>
      <c r="J723" s="4">
        <f>XLOOKUP(B723,Raw_Risk_Profiles!$A:$A,Raw_Risk_Profiles!$D:$D,"")</f>
        <v/>
      </c>
      <c r="K723" s="4">
        <f>IFERROR(INDEX(Raw_Risk_Profiles!$E:$E,MATCH(B723,Raw_Risk_Profiles!$A:$A,0)),"Unknown")</f>
        <v/>
      </c>
      <c r="L723" s="4">
        <f>IFERROR(XLOOKUP(A723,Raw_Alerts!$B:$B,Raw_Alerts!$A:$A),"No Alert")</f>
        <v/>
      </c>
      <c r="M723" s="4">
        <f>IFERROR(XLOOKUP(A723,Raw_Alerts!$B:$B,Raw_Alerts!$C:$C),"")</f>
        <v/>
      </c>
      <c r="N723" s="4">
        <f>IFERROR(XLOOKUP(A723,Raw_Alerts!$B:$B,Raw_Alerts!$D:$D),"")</f>
        <v/>
      </c>
      <c r="O723" s="4">
        <f>IFERROR(XLOOKUP(A723,Raw_Alerts!$B:$B,Raw_Alerts!$F:$F),"")</f>
        <v/>
      </c>
      <c r="P723" s="4">
        <f>IF(H723="Not Found","CRITICAL: No Risk Profile",IF(I723="Missing","WARN: Missing KYC",IF(I723="Expired","WARN: KYC Expired",IF(I723="Pending","INFO: KYC Pending","OK"))))</f>
        <v/>
      </c>
    </row>
    <row r="724">
      <c r="A724" s="2">
        <f>Raw_Transactions!A724</f>
        <v/>
      </c>
      <c r="B724" s="2">
        <f>Raw_Transactions!B724</f>
        <v/>
      </c>
      <c r="C724" s="2">
        <f>Raw_Transactions!C724</f>
        <v/>
      </c>
      <c r="D724" s="3">
        <f>Raw_Transactions!D724</f>
        <v/>
      </c>
      <c r="E724" s="2">
        <f>Raw_Transactions!E724</f>
        <v/>
      </c>
      <c r="F724" s="2">
        <f>Raw_Transactions!F724</f>
        <v/>
      </c>
      <c r="G724" s="2">
        <f>Raw_Transactions!G724</f>
        <v/>
      </c>
      <c r="H724" s="2">
        <f>XLOOKUP(B724,Raw_Risk_Profiles!$A:$A,Raw_Risk_Profiles!$B:$B,"Not Found")</f>
        <v/>
      </c>
      <c r="I724" s="2">
        <f>XLOOKUP(B724,Raw_Risk_Profiles!$A:$A,Raw_Risk_Profiles!$C:$C,"Missing")</f>
        <v/>
      </c>
      <c r="J724" s="2">
        <f>XLOOKUP(B724,Raw_Risk_Profiles!$A:$A,Raw_Risk_Profiles!$D:$D,"")</f>
        <v/>
      </c>
      <c r="K724" s="2">
        <f>IFERROR(INDEX(Raw_Risk_Profiles!$E:$E,MATCH(B724,Raw_Risk_Profiles!$A:$A,0)),"Unknown")</f>
        <v/>
      </c>
      <c r="L724" s="2">
        <f>IFERROR(XLOOKUP(A724,Raw_Alerts!$B:$B,Raw_Alerts!$A:$A),"No Alert")</f>
        <v/>
      </c>
      <c r="M724" s="2">
        <f>IFERROR(XLOOKUP(A724,Raw_Alerts!$B:$B,Raw_Alerts!$C:$C),"")</f>
        <v/>
      </c>
      <c r="N724" s="2">
        <f>IFERROR(XLOOKUP(A724,Raw_Alerts!$B:$B,Raw_Alerts!$D:$D),"")</f>
        <v/>
      </c>
      <c r="O724" s="2">
        <f>IFERROR(XLOOKUP(A724,Raw_Alerts!$B:$B,Raw_Alerts!$F:$F),"")</f>
        <v/>
      </c>
      <c r="P724" s="2">
        <f>IF(H724="Not Found","CRITICAL: No Risk Profile",IF(I724="Missing","WARN: Missing KYC",IF(I724="Expired","WARN: KYC Expired",IF(I724="Pending","INFO: KYC Pending","OK"))))</f>
        <v/>
      </c>
    </row>
    <row r="725">
      <c r="A725" s="4">
        <f>Raw_Transactions!A725</f>
        <v/>
      </c>
      <c r="B725" s="4">
        <f>Raw_Transactions!B725</f>
        <v/>
      </c>
      <c r="C725" s="4">
        <f>Raw_Transactions!C725</f>
        <v/>
      </c>
      <c r="D725" s="5">
        <f>Raw_Transactions!D725</f>
        <v/>
      </c>
      <c r="E725" s="4">
        <f>Raw_Transactions!E725</f>
        <v/>
      </c>
      <c r="F725" s="4">
        <f>Raw_Transactions!F725</f>
        <v/>
      </c>
      <c r="G725" s="4">
        <f>Raw_Transactions!G725</f>
        <v/>
      </c>
      <c r="H725" s="4">
        <f>XLOOKUP(B725,Raw_Risk_Profiles!$A:$A,Raw_Risk_Profiles!$B:$B,"Not Found")</f>
        <v/>
      </c>
      <c r="I725" s="4">
        <f>XLOOKUP(B725,Raw_Risk_Profiles!$A:$A,Raw_Risk_Profiles!$C:$C,"Missing")</f>
        <v/>
      </c>
      <c r="J725" s="4">
        <f>XLOOKUP(B725,Raw_Risk_Profiles!$A:$A,Raw_Risk_Profiles!$D:$D,"")</f>
        <v/>
      </c>
      <c r="K725" s="4">
        <f>IFERROR(INDEX(Raw_Risk_Profiles!$E:$E,MATCH(B725,Raw_Risk_Profiles!$A:$A,0)),"Unknown")</f>
        <v/>
      </c>
      <c r="L725" s="4">
        <f>IFERROR(XLOOKUP(A725,Raw_Alerts!$B:$B,Raw_Alerts!$A:$A),"No Alert")</f>
        <v/>
      </c>
      <c r="M725" s="4">
        <f>IFERROR(XLOOKUP(A725,Raw_Alerts!$B:$B,Raw_Alerts!$C:$C),"")</f>
        <v/>
      </c>
      <c r="N725" s="4">
        <f>IFERROR(XLOOKUP(A725,Raw_Alerts!$B:$B,Raw_Alerts!$D:$D),"")</f>
        <v/>
      </c>
      <c r="O725" s="4">
        <f>IFERROR(XLOOKUP(A725,Raw_Alerts!$B:$B,Raw_Alerts!$F:$F),"")</f>
        <v/>
      </c>
      <c r="P725" s="4">
        <f>IF(H725="Not Found","CRITICAL: No Risk Profile",IF(I725="Missing","WARN: Missing KYC",IF(I725="Expired","WARN: KYC Expired",IF(I725="Pending","INFO: KYC Pending","OK"))))</f>
        <v/>
      </c>
    </row>
    <row r="726">
      <c r="A726" s="2">
        <f>Raw_Transactions!A726</f>
        <v/>
      </c>
      <c r="B726" s="2">
        <f>Raw_Transactions!B726</f>
        <v/>
      </c>
      <c r="C726" s="2">
        <f>Raw_Transactions!C726</f>
        <v/>
      </c>
      <c r="D726" s="3">
        <f>Raw_Transactions!D726</f>
        <v/>
      </c>
      <c r="E726" s="2">
        <f>Raw_Transactions!E726</f>
        <v/>
      </c>
      <c r="F726" s="2">
        <f>Raw_Transactions!F726</f>
        <v/>
      </c>
      <c r="G726" s="2">
        <f>Raw_Transactions!G726</f>
        <v/>
      </c>
      <c r="H726" s="2">
        <f>XLOOKUP(B726,Raw_Risk_Profiles!$A:$A,Raw_Risk_Profiles!$B:$B,"Not Found")</f>
        <v/>
      </c>
      <c r="I726" s="2">
        <f>XLOOKUP(B726,Raw_Risk_Profiles!$A:$A,Raw_Risk_Profiles!$C:$C,"Missing")</f>
        <v/>
      </c>
      <c r="J726" s="2">
        <f>XLOOKUP(B726,Raw_Risk_Profiles!$A:$A,Raw_Risk_Profiles!$D:$D,"")</f>
        <v/>
      </c>
      <c r="K726" s="2">
        <f>IFERROR(INDEX(Raw_Risk_Profiles!$E:$E,MATCH(B726,Raw_Risk_Profiles!$A:$A,0)),"Unknown")</f>
        <v/>
      </c>
      <c r="L726" s="2">
        <f>IFERROR(XLOOKUP(A726,Raw_Alerts!$B:$B,Raw_Alerts!$A:$A),"No Alert")</f>
        <v/>
      </c>
      <c r="M726" s="2">
        <f>IFERROR(XLOOKUP(A726,Raw_Alerts!$B:$B,Raw_Alerts!$C:$C),"")</f>
        <v/>
      </c>
      <c r="N726" s="2">
        <f>IFERROR(XLOOKUP(A726,Raw_Alerts!$B:$B,Raw_Alerts!$D:$D),"")</f>
        <v/>
      </c>
      <c r="O726" s="2">
        <f>IFERROR(XLOOKUP(A726,Raw_Alerts!$B:$B,Raw_Alerts!$F:$F),"")</f>
        <v/>
      </c>
      <c r="P726" s="2">
        <f>IF(H726="Not Found","CRITICAL: No Risk Profile",IF(I726="Missing","WARN: Missing KYC",IF(I726="Expired","WARN: KYC Expired",IF(I726="Pending","INFO: KYC Pending","OK"))))</f>
        <v/>
      </c>
    </row>
    <row r="727">
      <c r="A727" s="4">
        <f>Raw_Transactions!A727</f>
        <v/>
      </c>
      <c r="B727" s="4">
        <f>Raw_Transactions!B727</f>
        <v/>
      </c>
      <c r="C727" s="4">
        <f>Raw_Transactions!C727</f>
        <v/>
      </c>
      <c r="D727" s="5">
        <f>Raw_Transactions!D727</f>
        <v/>
      </c>
      <c r="E727" s="4">
        <f>Raw_Transactions!E727</f>
        <v/>
      </c>
      <c r="F727" s="4">
        <f>Raw_Transactions!F727</f>
        <v/>
      </c>
      <c r="G727" s="4">
        <f>Raw_Transactions!G727</f>
        <v/>
      </c>
      <c r="H727" s="4">
        <f>XLOOKUP(B727,Raw_Risk_Profiles!$A:$A,Raw_Risk_Profiles!$B:$B,"Not Found")</f>
        <v/>
      </c>
      <c r="I727" s="4">
        <f>XLOOKUP(B727,Raw_Risk_Profiles!$A:$A,Raw_Risk_Profiles!$C:$C,"Missing")</f>
        <v/>
      </c>
      <c r="J727" s="4">
        <f>XLOOKUP(B727,Raw_Risk_Profiles!$A:$A,Raw_Risk_Profiles!$D:$D,"")</f>
        <v/>
      </c>
      <c r="K727" s="4">
        <f>IFERROR(INDEX(Raw_Risk_Profiles!$E:$E,MATCH(B727,Raw_Risk_Profiles!$A:$A,0)),"Unknown")</f>
        <v/>
      </c>
      <c r="L727" s="4">
        <f>IFERROR(XLOOKUP(A727,Raw_Alerts!$B:$B,Raw_Alerts!$A:$A),"No Alert")</f>
        <v/>
      </c>
      <c r="M727" s="4">
        <f>IFERROR(XLOOKUP(A727,Raw_Alerts!$B:$B,Raw_Alerts!$C:$C),"")</f>
        <v/>
      </c>
      <c r="N727" s="4">
        <f>IFERROR(XLOOKUP(A727,Raw_Alerts!$B:$B,Raw_Alerts!$D:$D),"")</f>
        <v/>
      </c>
      <c r="O727" s="4">
        <f>IFERROR(XLOOKUP(A727,Raw_Alerts!$B:$B,Raw_Alerts!$F:$F),"")</f>
        <v/>
      </c>
      <c r="P727" s="4">
        <f>IF(H727="Not Found","CRITICAL: No Risk Profile",IF(I727="Missing","WARN: Missing KYC",IF(I727="Expired","WARN: KYC Expired",IF(I727="Pending","INFO: KYC Pending","OK"))))</f>
        <v/>
      </c>
    </row>
    <row r="728">
      <c r="A728" s="2">
        <f>Raw_Transactions!A728</f>
        <v/>
      </c>
      <c r="B728" s="2">
        <f>Raw_Transactions!B728</f>
        <v/>
      </c>
      <c r="C728" s="2">
        <f>Raw_Transactions!C728</f>
        <v/>
      </c>
      <c r="D728" s="3">
        <f>Raw_Transactions!D728</f>
        <v/>
      </c>
      <c r="E728" s="2">
        <f>Raw_Transactions!E728</f>
        <v/>
      </c>
      <c r="F728" s="2">
        <f>Raw_Transactions!F728</f>
        <v/>
      </c>
      <c r="G728" s="2">
        <f>Raw_Transactions!G728</f>
        <v/>
      </c>
      <c r="H728" s="2">
        <f>XLOOKUP(B728,Raw_Risk_Profiles!$A:$A,Raw_Risk_Profiles!$B:$B,"Not Found")</f>
        <v/>
      </c>
      <c r="I728" s="2">
        <f>XLOOKUP(B728,Raw_Risk_Profiles!$A:$A,Raw_Risk_Profiles!$C:$C,"Missing")</f>
        <v/>
      </c>
      <c r="J728" s="2">
        <f>XLOOKUP(B728,Raw_Risk_Profiles!$A:$A,Raw_Risk_Profiles!$D:$D,"")</f>
        <v/>
      </c>
      <c r="K728" s="2">
        <f>IFERROR(INDEX(Raw_Risk_Profiles!$E:$E,MATCH(B728,Raw_Risk_Profiles!$A:$A,0)),"Unknown")</f>
        <v/>
      </c>
      <c r="L728" s="2">
        <f>IFERROR(XLOOKUP(A728,Raw_Alerts!$B:$B,Raw_Alerts!$A:$A),"No Alert")</f>
        <v/>
      </c>
      <c r="M728" s="2">
        <f>IFERROR(XLOOKUP(A728,Raw_Alerts!$B:$B,Raw_Alerts!$C:$C),"")</f>
        <v/>
      </c>
      <c r="N728" s="2">
        <f>IFERROR(XLOOKUP(A728,Raw_Alerts!$B:$B,Raw_Alerts!$D:$D),"")</f>
        <v/>
      </c>
      <c r="O728" s="2">
        <f>IFERROR(XLOOKUP(A728,Raw_Alerts!$B:$B,Raw_Alerts!$F:$F),"")</f>
        <v/>
      </c>
      <c r="P728" s="2">
        <f>IF(H728="Not Found","CRITICAL: No Risk Profile",IF(I728="Missing","WARN: Missing KYC",IF(I728="Expired","WARN: KYC Expired",IF(I728="Pending","INFO: KYC Pending","OK"))))</f>
        <v/>
      </c>
    </row>
    <row r="729">
      <c r="A729" s="4">
        <f>Raw_Transactions!A729</f>
        <v/>
      </c>
      <c r="B729" s="4">
        <f>Raw_Transactions!B729</f>
        <v/>
      </c>
      <c r="C729" s="4">
        <f>Raw_Transactions!C729</f>
        <v/>
      </c>
      <c r="D729" s="5">
        <f>Raw_Transactions!D729</f>
        <v/>
      </c>
      <c r="E729" s="4">
        <f>Raw_Transactions!E729</f>
        <v/>
      </c>
      <c r="F729" s="4">
        <f>Raw_Transactions!F729</f>
        <v/>
      </c>
      <c r="G729" s="4">
        <f>Raw_Transactions!G729</f>
        <v/>
      </c>
      <c r="H729" s="4">
        <f>XLOOKUP(B729,Raw_Risk_Profiles!$A:$A,Raw_Risk_Profiles!$B:$B,"Not Found")</f>
        <v/>
      </c>
      <c r="I729" s="4">
        <f>XLOOKUP(B729,Raw_Risk_Profiles!$A:$A,Raw_Risk_Profiles!$C:$C,"Missing")</f>
        <v/>
      </c>
      <c r="J729" s="4">
        <f>XLOOKUP(B729,Raw_Risk_Profiles!$A:$A,Raw_Risk_Profiles!$D:$D,"")</f>
        <v/>
      </c>
      <c r="K729" s="4">
        <f>IFERROR(INDEX(Raw_Risk_Profiles!$E:$E,MATCH(B729,Raw_Risk_Profiles!$A:$A,0)),"Unknown")</f>
        <v/>
      </c>
      <c r="L729" s="4">
        <f>IFERROR(XLOOKUP(A729,Raw_Alerts!$B:$B,Raw_Alerts!$A:$A),"No Alert")</f>
        <v/>
      </c>
      <c r="M729" s="4">
        <f>IFERROR(XLOOKUP(A729,Raw_Alerts!$B:$B,Raw_Alerts!$C:$C),"")</f>
        <v/>
      </c>
      <c r="N729" s="4">
        <f>IFERROR(XLOOKUP(A729,Raw_Alerts!$B:$B,Raw_Alerts!$D:$D),"")</f>
        <v/>
      </c>
      <c r="O729" s="4">
        <f>IFERROR(XLOOKUP(A729,Raw_Alerts!$B:$B,Raw_Alerts!$F:$F),"")</f>
        <v/>
      </c>
      <c r="P729" s="4">
        <f>IF(H729="Not Found","CRITICAL: No Risk Profile",IF(I729="Missing","WARN: Missing KYC",IF(I729="Expired","WARN: KYC Expired",IF(I729="Pending","INFO: KYC Pending","OK"))))</f>
        <v/>
      </c>
    </row>
    <row r="730">
      <c r="A730" s="2">
        <f>Raw_Transactions!A730</f>
        <v/>
      </c>
      <c r="B730" s="2">
        <f>Raw_Transactions!B730</f>
        <v/>
      </c>
      <c r="C730" s="2">
        <f>Raw_Transactions!C730</f>
        <v/>
      </c>
      <c r="D730" s="3">
        <f>Raw_Transactions!D730</f>
        <v/>
      </c>
      <c r="E730" s="2">
        <f>Raw_Transactions!E730</f>
        <v/>
      </c>
      <c r="F730" s="2">
        <f>Raw_Transactions!F730</f>
        <v/>
      </c>
      <c r="G730" s="2">
        <f>Raw_Transactions!G730</f>
        <v/>
      </c>
      <c r="H730" s="2">
        <f>XLOOKUP(B730,Raw_Risk_Profiles!$A:$A,Raw_Risk_Profiles!$B:$B,"Not Found")</f>
        <v/>
      </c>
      <c r="I730" s="2">
        <f>XLOOKUP(B730,Raw_Risk_Profiles!$A:$A,Raw_Risk_Profiles!$C:$C,"Missing")</f>
        <v/>
      </c>
      <c r="J730" s="2">
        <f>XLOOKUP(B730,Raw_Risk_Profiles!$A:$A,Raw_Risk_Profiles!$D:$D,"")</f>
        <v/>
      </c>
      <c r="K730" s="2">
        <f>IFERROR(INDEX(Raw_Risk_Profiles!$E:$E,MATCH(B730,Raw_Risk_Profiles!$A:$A,0)),"Unknown")</f>
        <v/>
      </c>
      <c r="L730" s="2">
        <f>IFERROR(XLOOKUP(A730,Raw_Alerts!$B:$B,Raw_Alerts!$A:$A),"No Alert")</f>
        <v/>
      </c>
      <c r="M730" s="2">
        <f>IFERROR(XLOOKUP(A730,Raw_Alerts!$B:$B,Raw_Alerts!$C:$C),"")</f>
        <v/>
      </c>
      <c r="N730" s="2">
        <f>IFERROR(XLOOKUP(A730,Raw_Alerts!$B:$B,Raw_Alerts!$D:$D),"")</f>
        <v/>
      </c>
      <c r="O730" s="2">
        <f>IFERROR(XLOOKUP(A730,Raw_Alerts!$B:$B,Raw_Alerts!$F:$F),"")</f>
        <v/>
      </c>
      <c r="P730" s="2">
        <f>IF(H730="Not Found","CRITICAL: No Risk Profile",IF(I730="Missing","WARN: Missing KYC",IF(I730="Expired","WARN: KYC Expired",IF(I730="Pending","INFO: KYC Pending","OK"))))</f>
        <v/>
      </c>
    </row>
    <row r="731">
      <c r="A731" s="4">
        <f>Raw_Transactions!A731</f>
        <v/>
      </c>
      <c r="B731" s="4">
        <f>Raw_Transactions!B731</f>
        <v/>
      </c>
      <c r="C731" s="4">
        <f>Raw_Transactions!C731</f>
        <v/>
      </c>
      <c r="D731" s="5">
        <f>Raw_Transactions!D731</f>
        <v/>
      </c>
      <c r="E731" s="4">
        <f>Raw_Transactions!E731</f>
        <v/>
      </c>
      <c r="F731" s="4">
        <f>Raw_Transactions!F731</f>
        <v/>
      </c>
      <c r="G731" s="4">
        <f>Raw_Transactions!G731</f>
        <v/>
      </c>
      <c r="H731" s="4">
        <f>XLOOKUP(B731,Raw_Risk_Profiles!$A:$A,Raw_Risk_Profiles!$B:$B,"Not Found")</f>
        <v/>
      </c>
      <c r="I731" s="4">
        <f>XLOOKUP(B731,Raw_Risk_Profiles!$A:$A,Raw_Risk_Profiles!$C:$C,"Missing")</f>
        <v/>
      </c>
      <c r="J731" s="4">
        <f>XLOOKUP(B731,Raw_Risk_Profiles!$A:$A,Raw_Risk_Profiles!$D:$D,"")</f>
        <v/>
      </c>
      <c r="K731" s="4">
        <f>IFERROR(INDEX(Raw_Risk_Profiles!$E:$E,MATCH(B731,Raw_Risk_Profiles!$A:$A,0)),"Unknown")</f>
        <v/>
      </c>
      <c r="L731" s="4">
        <f>IFERROR(XLOOKUP(A731,Raw_Alerts!$B:$B,Raw_Alerts!$A:$A),"No Alert")</f>
        <v/>
      </c>
      <c r="M731" s="4">
        <f>IFERROR(XLOOKUP(A731,Raw_Alerts!$B:$B,Raw_Alerts!$C:$C),"")</f>
        <v/>
      </c>
      <c r="N731" s="4">
        <f>IFERROR(XLOOKUP(A731,Raw_Alerts!$B:$B,Raw_Alerts!$D:$D),"")</f>
        <v/>
      </c>
      <c r="O731" s="4">
        <f>IFERROR(XLOOKUP(A731,Raw_Alerts!$B:$B,Raw_Alerts!$F:$F),"")</f>
        <v/>
      </c>
      <c r="P731" s="4">
        <f>IF(H731="Not Found","CRITICAL: No Risk Profile",IF(I731="Missing","WARN: Missing KYC",IF(I731="Expired","WARN: KYC Expired",IF(I731="Pending","INFO: KYC Pending","OK"))))</f>
        <v/>
      </c>
    </row>
    <row r="732">
      <c r="A732" s="2">
        <f>Raw_Transactions!A732</f>
        <v/>
      </c>
      <c r="B732" s="2">
        <f>Raw_Transactions!B732</f>
        <v/>
      </c>
      <c r="C732" s="2">
        <f>Raw_Transactions!C732</f>
        <v/>
      </c>
      <c r="D732" s="3">
        <f>Raw_Transactions!D732</f>
        <v/>
      </c>
      <c r="E732" s="2">
        <f>Raw_Transactions!E732</f>
        <v/>
      </c>
      <c r="F732" s="2">
        <f>Raw_Transactions!F732</f>
        <v/>
      </c>
      <c r="G732" s="2">
        <f>Raw_Transactions!G732</f>
        <v/>
      </c>
      <c r="H732" s="2">
        <f>XLOOKUP(B732,Raw_Risk_Profiles!$A:$A,Raw_Risk_Profiles!$B:$B,"Not Found")</f>
        <v/>
      </c>
      <c r="I732" s="2">
        <f>XLOOKUP(B732,Raw_Risk_Profiles!$A:$A,Raw_Risk_Profiles!$C:$C,"Missing")</f>
        <v/>
      </c>
      <c r="J732" s="2">
        <f>XLOOKUP(B732,Raw_Risk_Profiles!$A:$A,Raw_Risk_Profiles!$D:$D,"")</f>
        <v/>
      </c>
      <c r="K732" s="2">
        <f>IFERROR(INDEX(Raw_Risk_Profiles!$E:$E,MATCH(B732,Raw_Risk_Profiles!$A:$A,0)),"Unknown")</f>
        <v/>
      </c>
      <c r="L732" s="2">
        <f>IFERROR(XLOOKUP(A732,Raw_Alerts!$B:$B,Raw_Alerts!$A:$A),"No Alert")</f>
        <v/>
      </c>
      <c r="M732" s="2">
        <f>IFERROR(XLOOKUP(A732,Raw_Alerts!$B:$B,Raw_Alerts!$C:$C),"")</f>
        <v/>
      </c>
      <c r="N732" s="2">
        <f>IFERROR(XLOOKUP(A732,Raw_Alerts!$B:$B,Raw_Alerts!$D:$D),"")</f>
        <v/>
      </c>
      <c r="O732" s="2">
        <f>IFERROR(XLOOKUP(A732,Raw_Alerts!$B:$B,Raw_Alerts!$F:$F),"")</f>
        <v/>
      </c>
      <c r="P732" s="2">
        <f>IF(H732="Not Found","CRITICAL: No Risk Profile",IF(I732="Missing","WARN: Missing KYC",IF(I732="Expired","WARN: KYC Expired",IF(I732="Pending","INFO: KYC Pending","OK"))))</f>
        <v/>
      </c>
    </row>
    <row r="733">
      <c r="A733" s="4">
        <f>Raw_Transactions!A733</f>
        <v/>
      </c>
      <c r="B733" s="4">
        <f>Raw_Transactions!B733</f>
        <v/>
      </c>
      <c r="C733" s="4">
        <f>Raw_Transactions!C733</f>
        <v/>
      </c>
      <c r="D733" s="5">
        <f>Raw_Transactions!D733</f>
        <v/>
      </c>
      <c r="E733" s="4">
        <f>Raw_Transactions!E733</f>
        <v/>
      </c>
      <c r="F733" s="4">
        <f>Raw_Transactions!F733</f>
        <v/>
      </c>
      <c r="G733" s="4">
        <f>Raw_Transactions!G733</f>
        <v/>
      </c>
      <c r="H733" s="4">
        <f>XLOOKUP(B733,Raw_Risk_Profiles!$A:$A,Raw_Risk_Profiles!$B:$B,"Not Found")</f>
        <v/>
      </c>
      <c r="I733" s="4">
        <f>XLOOKUP(B733,Raw_Risk_Profiles!$A:$A,Raw_Risk_Profiles!$C:$C,"Missing")</f>
        <v/>
      </c>
      <c r="J733" s="4">
        <f>XLOOKUP(B733,Raw_Risk_Profiles!$A:$A,Raw_Risk_Profiles!$D:$D,"")</f>
        <v/>
      </c>
      <c r="K733" s="4">
        <f>IFERROR(INDEX(Raw_Risk_Profiles!$E:$E,MATCH(B733,Raw_Risk_Profiles!$A:$A,0)),"Unknown")</f>
        <v/>
      </c>
      <c r="L733" s="4">
        <f>IFERROR(XLOOKUP(A733,Raw_Alerts!$B:$B,Raw_Alerts!$A:$A),"No Alert")</f>
        <v/>
      </c>
      <c r="M733" s="4">
        <f>IFERROR(XLOOKUP(A733,Raw_Alerts!$B:$B,Raw_Alerts!$C:$C),"")</f>
        <v/>
      </c>
      <c r="N733" s="4">
        <f>IFERROR(XLOOKUP(A733,Raw_Alerts!$B:$B,Raw_Alerts!$D:$D),"")</f>
        <v/>
      </c>
      <c r="O733" s="4">
        <f>IFERROR(XLOOKUP(A733,Raw_Alerts!$B:$B,Raw_Alerts!$F:$F),"")</f>
        <v/>
      </c>
      <c r="P733" s="4">
        <f>IF(H733="Not Found","CRITICAL: No Risk Profile",IF(I733="Missing","WARN: Missing KYC",IF(I733="Expired","WARN: KYC Expired",IF(I733="Pending","INFO: KYC Pending","OK"))))</f>
        <v/>
      </c>
    </row>
    <row r="734">
      <c r="A734" s="2">
        <f>Raw_Transactions!A734</f>
        <v/>
      </c>
      <c r="B734" s="2">
        <f>Raw_Transactions!B734</f>
        <v/>
      </c>
      <c r="C734" s="2">
        <f>Raw_Transactions!C734</f>
        <v/>
      </c>
      <c r="D734" s="3">
        <f>Raw_Transactions!D734</f>
        <v/>
      </c>
      <c r="E734" s="2">
        <f>Raw_Transactions!E734</f>
        <v/>
      </c>
      <c r="F734" s="2">
        <f>Raw_Transactions!F734</f>
        <v/>
      </c>
      <c r="G734" s="2">
        <f>Raw_Transactions!G734</f>
        <v/>
      </c>
      <c r="H734" s="2">
        <f>XLOOKUP(B734,Raw_Risk_Profiles!$A:$A,Raw_Risk_Profiles!$B:$B,"Not Found")</f>
        <v/>
      </c>
      <c r="I734" s="2">
        <f>XLOOKUP(B734,Raw_Risk_Profiles!$A:$A,Raw_Risk_Profiles!$C:$C,"Missing")</f>
        <v/>
      </c>
      <c r="J734" s="2">
        <f>XLOOKUP(B734,Raw_Risk_Profiles!$A:$A,Raw_Risk_Profiles!$D:$D,"")</f>
        <v/>
      </c>
      <c r="K734" s="2">
        <f>IFERROR(INDEX(Raw_Risk_Profiles!$E:$E,MATCH(B734,Raw_Risk_Profiles!$A:$A,0)),"Unknown")</f>
        <v/>
      </c>
      <c r="L734" s="2">
        <f>IFERROR(XLOOKUP(A734,Raw_Alerts!$B:$B,Raw_Alerts!$A:$A),"No Alert")</f>
        <v/>
      </c>
      <c r="M734" s="2">
        <f>IFERROR(XLOOKUP(A734,Raw_Alerts!$B:$B,Raw_Alerts!$C:$C),"")</f>
        <v/>
      </c>
      <c r="N734" s="2">
        <f>IFERROR(XLOOKUP(A734,Raw_Alerts!$B:$B,Raw_Alerts!$D:$D),"")</f>
        <v/>
      </c>
      <c r="O734" s="2">
        <f>IFERROR(XLOOKUP(A734,Raw_Alerts!$B:$B,Raw_Alerts!$F:$F),"")</f>
        <v/>
      </c>
      <c r="P734" s="2">
        <f>IF(H734="Not Found","CRITICAL: No Risk Profile",IF(I734="Missing","WARN: Missing KYC",IF(I734="Expired","WARN: KYC Expired",IF(I734="Pending","INFO: KYC Pending","OK"))))</f>
        <v/>
      </c>
    </row>
    <row r="735">
      <c r="A735" s="4">
        <f>Raw_Transactions!A735</f>
        <v/>
      </c>
      <c r="B735" s="4">
        <f>Raw_Transactions!B735</f>
        <v/>
      </c>
      <c r="C735" s="4">
        <f>Raw_Transactions!C735</f>
        <v/>
      </c>
      <c r="D735" s="5">
        <f>Raw_Transactions!D735</f>
        <v/>
      </c>
      <c r="E735" s="4">
        <f>Raw_Transactions!E735</f>
        <v/>
      </c>
      <c r="F735" s="4">
        <f>Raw_Transactions!F735</f>
        <v/>
      </c>
      <c r="G735" s="4">
        <f>Raw_Transactions!G735</f>
        <v/>
      </c>
      <c r="H735" s="4">
        <f>XLOOKUP(B735,Raw_Risk_Profiles!$A:$A,Raw_Risk_Profiles!$B:$B,"Not Found")</f>
        <v/>
      </c>
      <c r="I735" s="4">
        <f>XLOOKUP(B735,Raw_Risk_Profiles!$A:$A,Raw_Risk_Profiles!$C:$C,"Missing")</f>
        <v/>
      </c>
      <c r="J735" s="4">
        <f>XLOOKUP(B735,Raw_Risk_Profiles!$A:$A,Raw_Risk_Profiles!$D:$D,"")</f>
        <v/>
      </c>
      <c r="K735" s="4">
        <f>IFERROR(INDEX(Raw_Risk_Profiles!$E:$E,MATCH(B735,Raw_Risk_Profiles!$A:$A,0)),"Unknown")</f>
        <v/>
      </c>
      <c r="L735" s="4">
        <f>IFERROR(XLOOKUP(A735,Raw_Alerts!$B:$B,Raw_Alerts!$A:$A),"No Alert")</f>
        <v/>
      </c>
      <c r="M735" s="4">
        <f>IFERROR(XLOOKUP(A735,Raw_Alerts!$B:$B,Raw_Alerts!$C:$C),"")</f>
        <v/>
      </c>
      <c r="N735" s="4">
        <f>IFERROR(XLOOKUP(A735,Raw_Alerts!$B:$B,Raw_Alerts!$D:$D),"")</f>
        <v/>
      </c>
      <c r="O735" s="4">
        <f>IFERROR(XLOOKUP(A735,Raw_Alerts!$B:$B,Raw_Alerts!$F:$F),"")</f>
        <v/>
      </c>
      <c r="P735" s="4">
        <f>IF(H735="Not Found","CRITICAL: No Risk Profile",IF(I735="Missing","WARN: Missing KYC",IF(I735="Expired","WARN: KYC Expired",IF(I735="Pending","INFO: KYC Pending","OK"))))</f>
        <v/>
      </c>
    </row>
    <row r="736">
      <c r="A736" s="2">
        <f>Raw_Transactions!A736</f>
        <v/>
      </c>
      <c r="B736" s="2">
        <f>Raw_Transactions!B736</f>
        <v/>
      </c>
      <c r="C736" s="2">
        <f>Raw_Transactions!C736</f>
        <v/>
      </c>
      <c r="D736" s="3">
        <f>Raw_Transactions!D736</f>
        <v/>
      </c>
      <c r="E736" s="2">
        <f>Raw_Transactions!E736</f>
        <v/>
      </c>
      <c r="F736" s="2">
        <f>Raw_Transactions!F736</f>
        <v/>
      </c>
      <c r="G736" s="2">
        <f>Raw_Transactions!G736</f>
        <v/>
      </c>
      <c r="H736" s="2">
        <f>XLOOKUP(B736,Raw_Risk_Profiles!$A:$A,Raw_Risk_Profiles!$B:$B,"Not Found")</f>
        <v/>
      </c>
      <c r="I736" s="2">
        <f>XLOOKUP(B736,Raw_Risk_Profiles!$A:$A,Raw_Risk_Profiles!$C:$C,"Missing")</f>
        <v/>
      </c>
      <c r="J736" s="2">
        <f>XLOOKUP(B736,Raw_Risk_Profiles!$A:$A,Raw_Risk_Profiles!$D:$D,"")</f>
        <v/>
      </c>
      <c r="K736" s="2">
        <f>IFERROR(INDEX(Raw_Risk_Profiles!$E:$E,MATCH(B736,Raw_Risk_Profiles!$A:$A,0)),"Unknown")</f>
        <v/>
      </c>
      <c r="L736" s="2">
        <f>IFERROR(XLOOKUP(A736,Raw_Alerts!$B:$B,Raw_Alerts!$A:$A),"No Alert")</f>
        <v/>
      </c>
      <c r="M736" s="2">
        <f>IFERROR(XLOOKUP(A736,Raw_Alerts!$B:$B,Raw_Alerts!$C:$C),"")</f>
        <v/>
      </c>
      <c r="N736" s="2">
        <f>IFERROR(XLOOKUP(A736,Raw_Alerts!$B:$B,Raw_Alerts!$D:$D),"")</f>
        <v/>
      </c>
      <c r="O736" s="2">
        <f>IFERROR(XLOOKUP(A736,Raw_Alerts!$B:$B,Raw_Alerts!$F:$F),"")</f>
        <v/>
      </c>
      <c r="P736" s="2">
        <f>IF(H736="Not Found","CRITICAL: No Risk Profile",IF(I736="Missing","WARN: Missing KYC",IF(I736="Expired","WARN: KYC Expired",IF(I736="Pending","INFO: KYC Pending","OK"))))</f>
        <v/>
      </c>
    </row>
    <row r="737">
      <c r="A737" s="4">
        <f>Raw_Transactions!A737</f>
        <v/>
      </c>
      <c r="B737" s="4">
        <f>Raw_Transactions!B737</f>
        <v/>
      </c>
      <c r="C737" s="4">
        <f>Raw_Transactions!C737</f>
        <v/>
      </c>
      <c r="D737" s="5">
        <f>Raw_Transactions!D737</f>
        <v/>
      </c>
      <c r="E737" s="4">
        <f>Raw_Transactions!E737</f>
        <v/>
      </c>
      <c r="F737" s="4">
        <f>Raw_Transactions!F737</f>
        <v/>
      </c>
      <c r="G737" s="4">
        <f>Raw_Transactions!G737</f>
        <v/>
      </c>
      <c r="H737" s="4">
        <f>XLOOKUP(B737,Raw_Risk_Profiles!$A:$A,Raw_Risk_Profiles!$B:$B,"Not Found")</f>
        <v/>
      </c>
      <c r="I737" s="4">
        <f>XLOOKUP(B737,Raw_Risk_Profiles!$A:$A,Raw_Risk_Profiles!$C:$C,"Missing")</f>
        <v/>
      </c>
      <c r="J737" s="4">
        <f>XLOOKUP(B737,Raw_Risk_Profiles!$A:$A,Raw_Risk_Profiles!$D:$D,"")</f>
        <v/>
      </c>
      <c r="K737" s="4">
        <f>IFERROR(INDEX(Raw_Risk_Profiles!$E:$E,MATCH(B737,Raw_Risk_Profiles!$A:$A,0)),"Unknown")</f>
        <v/>
      </c>
      <c r="L737" s="4">
        <f>IFERROR(XLOOKUP(A737,Raw_Alerts!$B:$B,Raw_Alerts!$A:$A),"No Alert")</f>
        <v/>
      </c>
      <c r="M737" s="4">
        <f>IFERROR(XLOOKUP(A737,Raw_Alerts!$B:$B,Raw_Alerts!$C:$C),"")</f>
        <v/>
      </c>
      <c r="N737" s="4">
        <f>IFERROR(XLOOKUP(A737,Raw_Alerts!$B:$B,Raw_Alerts!$D:$D),"")</f>
        <v/>
      </c>
      <c r="O737" s="4">
        <f>IFERROR(XLOOKUP(A737,Raw_Alerts!$B:$B,Raw_Alerts!$F:$F),"")</f>
        <v/>
      </c>
      <c r="P737" s="4">
        <f>IF(H737="Not Found","CRITICAL: No Risk Profile",IF(I737="Missing","WARN: Missing KYC",IF(I737="Expired","WARN: KYC Expired",IF(I737="Pending","INFO: KYC Pending","OK"))))</f>
        <v/>
      </c>
    </row>
    <row r="738">
      <c r="A738" s="2">
        <f>Raw_Transactions!A738</f>
        <v/>
      </c>
      <c r="B738" s="2">
        <f>Raw_Transactions!B738</f>
        <v/>
      </c>
      <c r="C738" s="2">
        <f>Raw_Transactions!C738</f>
        <v/>
      </c>
      <c r="D738" s="3">
        <f>Raw_Transactions!D738</f>
        <v/>
      </c>
      <c r="E738" s="2">
        <f>Raw_Transactions!E738</f>
        <v/>
      </c>
      <c r="F738" s="2">
        <f>Raw_Transactions!F738</f>
        <v/>
      </c>
      <c r="G738" s="2">
        <f>Raw_Transactions!G738</f>
        <v/>
      </c>
      <c r="H738" s="2">
        <f>XLOOKUP(B738,Raw_Risk_Profiles!$A:$A,Raw_Risk_Profiles!$B:$B,"Not Found")</f>
        <v/>
      </c>
      <c r="I738" s="2">
        <f>XLOOKUP(B738,Raw_Risk_Profiles!$A:$A,Raw_Risk_Profiles!$C:$C,"Missing")</f>
        <v/>
      </c>
      <c r="J738" s="2">
        <f>XLOOKUP(B738,Raw_Risk_Profiles!$A:$A,Raw_Risk_Profiles!$D:$D,"")</f>
        <v/>
      </c>
      <c r="K738" s="2">
        <f>IFERROR(INDEX(Raw_Risk_Profiles!$E:$E,MATCH(B738,Raw_Risk_Profiles!$A:$A,0)),"Unknown")</f>
        <v/>
      </c>
      <c r="L738" s="2">
        <f>IFERROR(XLOOKUP(A738,Raw_Alerts!$B:$B,Raw_Alerts!$A:$A),"No Alert")</f>
        <v/>
      </c>
      <c r="M738" s="2">
        <f>IFERROR(XLOOKUP(A738,Raw_Alerts!$B:$B,Raw_Alerts!$C:$C),"")</f>
        <v/>
      </c>
      <c r="N738" s="2">
        <f>IFERROR(XLOOKUP(A738,Raw_Alerts!$B:$B,Raw_Alerts!$D:$D),"")</f>
        <v/>
      </c>
      <c r="O738" s="2">
        <f>IFERROR(XLOOKUP(A738,Raw_Alerts!$B:$B,Raw_Alerts!$F:$F),"")</f>
        <v/>
      </c>
      <c r="P738" s="2">
        <f>IF(H738="Not Found","CRITICAL: No Risk Profile",IF(I738="Missing","WARN: Missing KYC",IF(I738="Expired","WARN: KYC Expired",IF(I738="Pending","INFO: KYC Pending","OK"))))</f>
        <v/>
      </c>
    </row>
    <row r="739">
      <c r="A739" s="4">
        <f>Raw_Transactions!A739</f>
        <v/>
      </c>
      <c r="B739" s="4">
        <f>Raw_Transactions!B739</f>
        <v/>
      </c>
      <c r="C739" s="4">
        <f>Raw_Transactions!C739</f>
        <v/>
      </c>
      <c r="D739" s="5">
        <f>Raw_Transactions!D739</f>
        <v/>
      </c>
      <c r="E739" s="4">
        <f>Raw_Transactions!E739</f>
        <v/>
      </c>
      <c r="F739" s="4">
        <f>Raw_Transactions!F739</f>
        <v/>
      </c>
      <c r="G739" s="4">
        <f>Raw_Transactions!G739</f>
        <v/>
      </c>
      <c r="H739" s="4">
        <f>XLOOKUP(B739,Raw_Risk_Profiles!$A:$A,Raw_Risk_Profiles!$B:$B,"Not Found")</f>
        <v/>
      </c>
      <c r="I739" s="4">
        <f>XLOOKUP(B739,Raw_Risk_Profiles!$A:$A,Raw_Risk_Profiles!$C:$C,"Missing")</f>
        <v/>
      </c>
      <c r="J739" s="4">
        <f>XLOOKUP(B739,Raw_Risk_Profiles!$A:$A,Raw_Risk_Profiles!$D:$D,"")</f>
        <v/>
      </c>
      <c r="K739" s="4">
        <f>IFERROR(INDEX(Raw_Risk_Profiles!$E:$E,MATCH(B739,Raw_Risk_Profiles!$A:$A,0)),"Unknown")</f>
        <v/>
      </c>
      <c r="L739" s="4">
        <f>IFERROR(XLOOKUP(A739,Raw_Alerts!$B:$B,Raw_Alerts!$A:$A),"No Alert")</f>
        <v/>
      </c>
      <c r="M739" s="4">
        <f>IFERROR(XLOOKUP(A739,Raw_Alerts!$B:$B,Raw_Alerts!$C:$C),"")</f>
        <v/>
      </c>
      <c r="N739" s="4">
        <f>IFERROR(XLOOKUP(A739,Raw_Alerts!$B:$B,Raw_Alerts!$D:$D),"")</f>
        <v/>
      </c>
      <c r="O739" s="4">
        <f>IFERROR(XLOOKUP(A739,Raw_Alerts!$B:$B,Raw_Alerts!$F:$F),"")</f>
        <v/>
      </c>
      <c r="P739" s="4">
        <f>IF(H739="Not Found","CRITICAL: No Risk Profile",IF(I739="Missing","WARN: Missing KYC",IF(I739="Expired","WARN: KYC Expired",IF(I739="Pending","INFO: KYC Pending","OK"))))</f>
        <v/>
      </c>
    </row>
    <row r="740">
      <c r="A740" s="2">
        <f>Raw_Transactions!A740</f>
        <v/>
      </c>
      <c r="B740" s="2">
        <f>Raw_Transactions!B740</f>
        <v/>
      </c>
      <c r="C740" s="2">
        <f>Raw_Transactions!C740</f>
        <v/>
      </c>
      <c r="D740" s="3">
        <f>Raw_Transactions!D740</f>
        <v/>
      </c>
      <c r="E740" s="2">
        <f>Raw_Transactions!E740</f>
        <v/>
      </c>
      <c r="F740" s="2">
        <f>Raw_Transactions!F740</f>
        <v/>
      </c>
      <c r="G740" s="2">
        <f>Raw_Transactions!G740</f>
        <v/>
      </c>
      <c r="H740" s="2">
        <f>XLOOKUP(B740,Raw_Risk_Profiles!$A:$A,Raw_Risk_Profiles!$B:$B,"Not Found")</f>
        <v/>
      </c>
      <c r="I740" s="2">
        <f>XLOOKUP(B740,Raw_Risk_Profiles!$A:$A,Raw_Risk_Profiles!$C:$C,"Missing")</f>
        <v/>
      </c>
      <c r="J740" s="2">
        <f>XLOOKUP(B740,Raw_Risk_Profiles!$A:$A,Raw_Risk_Profiles!$D:$D,"")</f>
        <v/>
      </c>
      <c r="K740" s="2">
        <f>IFERROR(INDEX(Raw_Risk_Profiles!$E:$E,MATCH(B740,Raw_Risk_Profiles!$A:$A,0)),"Unknown")</f>
        <v/>
      </c>
      <c r="L740" s="2">
        <f>IFERROR(XLOOKUP(A740,Raw_Alerts!$B:$B,Raw_Alerts!$A:$A),"No Alert")</f>
        <v/>
      </c>
      <c r="M740" s="2">
        <f>IFERROR(XLOOKUP(A740,Raw_Alerts!$B:$B,Raw_Alerts!$C:$C),"")</f>
        <v/>
      </c>
      <c r="N740" s="2">
        <f>IFERROR(XLOOKUP(A740,Raw_Alerts!$B:$B,Raw_Alerts!$D:$D),"")</f>
        <v/>
      </c>
      <c r="O740" s="2">
        <f>IFERROR(XLOOKUP(A740,Raw_Alerts!$B:$B,Raw_Alerts!$F:$F),"")</f>
        <v/>
      </c>
      <c r="P740" s="2">
        <f>IF(H740="Not Found","CRITICAL: No Risk Profile",IF(I740="Missing","WARN: Missing KYC",IF(I740="Expired","WARN: KYC Expired",IF(I740="Pending","INFO: KYC Pending","OK"))))</f>
        <v/>
      </c>
    </row>
    <row r="741">
      <c r="A741" s="4">
        <f>Raw_Transactions!A741</f>
        <v/>
      </c>
      <c r="B741" s="4">
        <f>Raw_Transactions!B741</f>
        <v/>
      </c>
      <c r="C741" s="4">
        <f>Raw_Transactions!C741</f>
        <v/>
      </c>
      <c r="D741" s="5">
        <f>Raw_Transactions!D741</f>
        <v/>
      </c>
      <c r="E741" s="4">
        <f>Raw_Transactions!E741</f>
        <v/>
      </c>
      <c r="F741" s="4">
        <f>Raw_Transactions!F741</f>
        <v/>
      </c>
      <c r="G741" s="4">
        <f>Raw_Transactions!G741</f>
        <v/>
      </c>
      <c r="H741" s="4">
        <f>XLOOKUP(B741,Raw_Risk_Profiles!$A:$A,Raw_Risk_Profiles!$B:$B,"Not Found")</f>
        <v/>
      </c>
      <c r="I741" s="4">
        <f>XLOOKUP(B741,Raw_Risk_Profiles!$A:$A,Raw_Risk_Profiles!$C:$C,"Missing")</f>
        <v/>
      </c>
      <c r="J741" s="4">
        <f>XLOOKUP(B741,Raw_Risk_Profiles!$A:$A,Raw_Risk_Profiles!$D:$D,"")</f>
        <v/>
      </c>
      <c r="K741" s="4">
        <f>IFERROR(INDEX(Raw_Risk_Profiles!$E:$E,MATCH(B741,Raw_Risk_Profiles!$A:$A,0)),"Unknown")</f>
        <v/>
      </c>
      <c r="L741" s="4">
        <f>IFERROR(XLOOKUP(A741,Raw_Alerts!$B:$B,Raw_Alerts!$A:$A),"No Alert")</f>
        <v/>
      </c>
      <c r="M741" s="4">
        <f>IFERROR(XLOOKUP(A741,Raw_Alerts!$B:$B,Raw_Alerts!$C:$C),"")</f>
        <v/>
      </c>
      <c r="N741" s="4">
        <f>IFERROR(XLOOKUP(A741,Raw_Alerts!$B:$B,Raw_Alerts!$D:$D),"")</f>
        <v/>
      </c>
      <c r="O741" s="4">
        <f>IFERROR(XLOOKUP(A741,Raw_Alerts!$B:$B,Raw_Alerts!$F:$F),"")</f>
        <v/>
      </c>
      <c r="P741" s="4">
        <f>IF(H741="Not Found","CRITICAL: No Risk Profile",IF(I741="Missing","WARN: Missing KYC",IF(I741="Expired","WARN: KYC Expired",IF(I741="Pending","INFO: KYC Pending","OK"))))</f>
        <v/>
      </c>
    </row>
    <row r="742">
      <c r="A742" s="2">
        <f>Raw_Transactions!A742</f>
        <v/>
      </c>
      <c r="B742" s="2">
        <f>Raw_Transactions!B742</f>
        <v/>
      </c>
      <c r="C742" s="2">
        <f>Raw_Transactions!C742</f>
        <v/>
      </c>
      <c r="D742" s="3">
        <f>Raw_Transactions!D742</f>
        <v/>
      </c>
      <c r="E742" s="2">
        <f>Raw_Transactions!E742</f>
        <v/>
      </c>
      <c r="F742" s="2">
        <f>Raw_Transactions!F742</f>
        <v/>
      </c>
      <c r="G742" s="2">
        <f>Raw_Transactions!G742</f>
        <v/>
      </c>
      <c r="H742" s="2">
        <f>XLOOKUP(B742,Raw_Risk_Profiles!$A:$A,Raw_Risk_Profiles!$B:$B,"Not Found")</f>
        <v/>
      </c>
      <c r="I742" s="2">
        <f>XLOOKUP(B742,Raw_Risk_Profiles!$A:$A,Raw_Risk_Profiles!$C:$C,"Missing")</f>
        <v/>
      </c>
      <c r="J742" s="2">
        <f>XLOOKUP(B742,Raw_Risk_Profiles!$A:$A,Raw_Risk_Profiles!$D:$D,"")</f>
        <v/>
      </c>
      <c r="K742" s="2">
        <f>IFERROR(INDEX(Raw_Risk_Profiles!$E:$E,MATCH(B742,Raw_Risk_Profiles!$A:$A,0)),"Unknown")</f>
        <v/>
      </c>
      <c r="L742" s="2">
        <f>IFERROR(XLOOKUP(A742,Raw_Alerts!$B:$B,Raw_Alerts!$A:$A),"No Alert")</f>
        <v/>
      </c>
      <c r="M742" s="2">
        <f>IFERROR(XLOOKUP(A742,Raw_Alerts!$B:$B,Raw_Alerts!$C:$C),"")</f>
        <v/>
      </c>
      <c r="N742" s="2">
        <f>IFERROR(XLOOKUP(A742,Raw_Alerts!$B:$B,Raw_Alerts!$D:$D),"")</f>
        <v/>
      </c>
      <c r="O742" s="2">
        <f>IFERROR(XLOOKUP(A742,Raw_Alerts!$B:$B,Raw_Alerts!$F:$F),"")</f>
        <v/>
      </c>
      <c r="P742" s="2">
        <f>IF(H742="Not Found","CRITICAL: No Risk Profile",IF(I742="Missing","WARN: Missing KYC",IF(I742="Expired","WARN: KYC Expired",IF(I742="Pending","INFO: KYC Pending","OK"))))</f>
        <v/>
      </c>
    </row>
    <row r="743">
      <c r="A743" s="4">
        <f>Raw_Transactions!A743</f>
        <v/>
      </c>
      <c r="B743" s="4">
        <f>Raw_Transactions!B743</f>
        <v/>
      </c>
      <c r="C743" s="4">
        <f>Raw_Transactions!C743</f>
        <v/>
      </c>
      <c r="D743" s="5">
        <f>Raw_Transactions!D743</f>
        <v/>
      </c>
      <c r="E743" s="4">
        <f>Raw_Transactions!E743</f>
        <v/>
      </c>
      <c r="F743" s="4">
        <f>Raw_Transactions!F743</f>
        <v/>
      </c>
      <c r="G743" s="4">
        <f>Raw_Transactions!G743</f>
        <v/>
      </c>
      <c r="H743" s="4">
        <f>XLOOKUP(B743,Raw_Risk_Profiles!$A:$A,Raw_Risk_Profiles!$B:$B,"Not Found")</f>
        <v/>
      </c>
      <c r="I743" s="4">
        <f>XLOOKUP(B743,Raw_Risk_Profiles!$A:$A,Raw_Risk_Profiles!$C:$C,"Missing")</f>
        <v/>
      </c>
      <c r="J743" s="4">
        <f>XLOOKUP(B743,Raw_Risk_Profiles!$A:$A,Raw_Risk_Profiles!$D:$D,"")</f>
        <v/>
      </c>
      <c r="K743" s="4">
        <f>IFERROR(INDEX(Raw_Risk_Profiles!$E:$E,MATCH(B743,Raw_Risk_Profiles!$A:$A,0)),"Unknown")</f>
        <v/>
      </c>
      <c r="L743" s="4">
        <f>IFERROR(XLOOKUP(A743,Raw_Alerts!$B:$B,Raw_Alerts!$A:$A),"No Alert")</f>
        <v/>
      </c>
      <c r="M743" s="4">
        <f>IFERROR(XLOOKUP(A743,Raw_Alerts!$B:$B,Raw_Alerts!$C:$C),"")</f>
        <v/>
      </c>
      <c r="N743" s="4">
        <f>IFERROR(XLOOKUP(A743,Raw_Alerts!$B:$B,Raw_Alerts!$D:$D),"")</f>
        <v/>
      </c>
      <c r="O743" s="4">
        <f>IFERROR(XLOOKUP(A743,Raw_Alerts!$B:$B,Raw_Alerts!$F:$F),"")</f>
        <v/>
      </c>
      <c r="P743" s="4">
        <f>IF(H743="Not Found","CRITICAL: No Risk Profile",IF(I743="Missing","WARN: Missing KYC",IF(I743="Expired","WARN: KYC Expired",IF(I743="Pending","INFO: KYC Pending","OK"))))</f>
        <v/>
      </c>
    </row>
    <row r="744">
      <c r="A744" s="2">
        <f>Raw_Transactions!A744</f>
        <v/>
      </c>
      <c r="B744" s="2">
        <f>Raw_Transactions!B744</f>
        <v/>
      </c>
      <c r="C744" s="2">
        <f>Raw_Transactions!C744</f>
        <v/>
      </c>
      <c r="D744" s="3">
        <f>Raw_Transactions!D744</f>
        <v/>
      </c>
      <c r="E744" s="2">
        <f>Raw_Transactions!E744</f>
        <v/>
      </c>
      <c r="F744" s="2">
        <f>Raw_Transactions!F744</f>
        <v/>
      </c>
      <c r="G744" s="2">
        <f>Raw_Transactions!G744</f>
        <v/>
      </c>
      <c r="H744" s="2">
        <f>XLOOKUP(B744,Raw_Risk_Profiles!$A:$A,Raw_Risk_Profiles!$B:$B,"Not Found")</f>
        <v/>
      </c>
      <c r="I744" s="2">
        <f>XLOOKUP(B744,Raw_Risk_Profiles!$A:$A,Raw_Risk_Profiles!$C:$C,"Missing")</f>
        <v/>
      </c>
      <c r="J744" s="2">
        <f>XLOOKUP(B744,Raw_Risk_Profiles!$A:$A,Raw_Risk_Profiles!$D:$D,"")</f>
        <v/>
      </c>
      <c r="K744" s="2">
        <f>IFERROR(INDEX(Raw_Risk_Profiles!$E:$E,MATCH(B744,Raw_Risk_Profiles!$A:$A,0)),"Unknown")</f>
        <v/>
      </c>
      <c r="L744" s="2">
        <f>IFERROR(XLOOKUP(A744,Raw_Alerts!$B:$B,Raw_Alerts!$A:$A),"No Alert")</f>
        <v/>
      </c>
      <c r="M744" s="2">
        <f>IFERROR(XLOOKUP(A744,Raw_Alerts!$B:$B,Raw_Alerts!$C:$C),"")</f>
        <v/>
      </c>
      <c r="N744" s="2">
        <f>IFERROR(XLOOKUP(A744,Raw_Alerts!$B:$B,Raw_Alerts!$D:$D),"")</f>
        <v/>
      </c>
      <c r="O744" s="2">
        <f>IFERROR(XLOOKUP(A744,Raw_Alerts!$B:$B,Raw_Alerts!$F:$F),"")</f>
        <v/>
      </c>
      <c r="P744" s="2">
        <f>IF(H744="Not Found","CRITICAL: No Risk Profile",IF(I744="Missing","WARN: Missing KYC",IF(I744="Expired","WARN: KYC Expired",IF(I744="Pending","INFO: KYC Pending","OK"))))</f>
        <v/>
      </c>
    </row>
    <row r="745">
      <c r="A745" s="4">
        <f>Raw_Transactions!A745</f>
        <v/>
      </c>
      <c r="B745" s="4">
        <f>Raw_Transactions!B745</f>
        <v/>
      </c>
      <c r="C745" s="4">
        <f>Raw_Transactions!C745</f>
        <v/>
      </c>
      <c r="D745" s="5">
        <f>Raw_Transactions!D745</f>
        <v/>
      </c>
      <c r="E745" s="4">
        <f>Raw_Transactions!E745</f>
        <v/>
      </c>
      <c r="F745" s="4">
        <f>Raw_Transactions!F745</f>
        <v/>
      </c>
      <c r="G745" s="4">
        <f>Raw_Transactions!G745</f>
        <v/>
      </c>
      <c r="H745" s="4">
        <f>XLOOKUP(B745,Raw_Risk_Profiles!$A:$A,Raw_Risk_Profiles!$B:$B,"Not Found")</f>
        <v/>
      </c>
      <c r="I745" s="4">
        <f>XLOOKUP(B745,Raw_Risk_Profiles!$A:$A,Raw_Risk_Profiles!$C:$C,"Missing")</f>
        <v/>
      </c>
      <c r="J745" s="4">
        <f>XLOOKUP(B745,Raw_Risk_Profiles!$A:$A,Raw_Risk_Profiles!$D:$D,"")</f>
        <v/>
      </c>
      <c r="K745" s="4">
        <f>IFERROR(INDEX(Raw_Risk_Profiles!$E:$E,MATCH(B745,Raw_Risk_Profiles!$A:$A,0)),"Unknown")</f>
        <v/>
      </c>
      <c r="L745" s="4">
        <f>IFERROR(XLOOKUP(A745,Raw_Alerts!$B:$B,Raw_Alerts!$A:$A),"No Alert")</f>
        <v/>
      </c>
      <c r="M745" s="4">
        <f>IFERROR(XLOOKUP(A745,Raw_Alerts!$B:$B,Raw_Alerts!$C:$C),"")</f>
        <v/>
      </c>
      <c r="N745" s="4">
        <f>IFERROR(XLOOKUP(A745,Raw_Alerts!$B:$B,Raw_Alerts!$D:$D),"")</f>
        <v/>
      </c>
      <c r="O745" s="4">
        <f>IFERROR(XLOOKUP(A745,Raw_Alerts!$B:$B,Raw_Alerts!$F:$F),"")</f>
        <v/>
      </c>
      <c r="P745" s="4">
        <f>IF(H745="Not Found","CRITICAL: No Risk Profile",IF(I745="Missing","WARN: Missing KYC",IF(I745="Expired","WARN: KYC Expired",IF(I745="Pending","INFO: KYC Pending","OK"))))</f>
        <v/>
      </c>
    </row>
    <row r="746">
      <c r="A746" s="2">
        <f>Raw_Transactions!A746</f>
        <v/>
      </c>
      <c r="B746" s="2">
        <f>Raw_Transactions!B746</f>
        <v/>
      </c>
      <c r="C746" s="2">
        <f>Raw_Transactions!C746</f>
        <v/>
      </c>
      <c r="D746" s="3">
        <f>Raw_Transactions!D746</f>
        <v/>
      </c>
      <c r="E746" s="2">
        <f>Raw_Transactions!E746</f>
        <v/>
      </c>
      <c r="F746" s="2">
        <f>Raw_Transactions!F746</f>
        <v/>
      </c>
      <c r="G746" s="2">
        <f>Raw_Transactions!G746</f>
        <v/>
      </c>
      <c r="H746" s="2">
        <f>XLOOKUP(B746,Raw_Risk_Profiles!$A:$A,Raw_Risk_Profiles!$B:$B,"Not Found")</f>
        <v/>
      </c>
      <c r="I746" s="2">
        <f>XLOOKUP(B746,Raw_Risk_Profiles!$A:$A,Raw_Risk_Profiles!$C:$C,"Missing")</f>
        <v/>
      </c>
      <c r="J746" s="2">
        <f>XLOOKUP(B746,Raw_Risk_Profiles!$A:$A,Raw_Risk_Profiles!$D:$D,"")</f>
        <v/>
      </c>
      <c r="K746" s="2">
        <f>IFERROR(INDEX(Raw_Risk_Profiles!$E:$E,MATCH(B746,Raw_Risk_Profiles!$A:$A,0)),"Unknown")</f>
        <v/>
      </c>
      <c r="L746" s="2">
        <f>IFERROR(XLOOKUP(A746,Raw_Alerts!$B:$B,Raw_Alerts!$A:$A),"No Alert")</f>
        <v/>
      </c>
      <c r="M746" s="2">
        <f>IFERROR(XLOOKUP(A746,Raw_Alerts!$B:$B,Raw_Alerts!$C:$C),"")</f>
        <v/>
      </c>
      <c r="N746" s="2">
        <f>IFERROR(XLOOKUP(A746,Raw_Alerts!$B:$B,Raw_Alerts!$D:$D),"")</f>
        <v/>
      </c>
      <c r="O746" s="2">
        <f>IFERROR(XLOOKUP(A746,Raw_Alerts!$B:$B,Raw_Alerts!$F:$F),"")</f>
        <v/>
      </c>
      <c r="P746" s="2">
        <f>IF(H746="Not Found","CRITICAL: No Risk Profile",IF(I746="Missing","WARN: Missing KYC",IF(I746="Expired","WARN: KYC Expired",IF(I746="Pending","INFO: KYC Pending","OK"))))</f>
        <v/>
      </c>
    </row>
    <row r="747">
      <c r="A747" s="4">
        <f>Raw_Transactions!A747</f>
        <v/>
      </c>
      <c r="B747" s="4">
        <f>Raw_Transactions!B747</f>
        <v/>
      </c>
      <c r="C747" s="4">
        <f>Raw_Transactions!C747</f>
        <v/>
      </c>
      <c r="D747" s="5">
        <f>Raw_Transactions!D747</f>
        <v/>
      </c>
      <c r="E747" s="4">
        <f>Raw_Transactions!E747</f>
        <v/>
      </c>
      <c r="F747" s="4">
        <f>Raw_Transactions!F747</f>
        <v/>
      </c>
      <c r="G747" s="4">
        <f>Raw_Transactions!G747</f>
        <v/>
      </c>
      <c r="H747" s="4">
        <f>XLOOKUP(B747,Raw_Risk_Profiles!$A:$A,Raw_Risk_Profiles!$B:$B,"Not Found")</f>
        <v/>
      </c>
      <c r="I747" s="4">
        <f>XLOOKUP(B747,Raw_Risk_Profiles!$A:$A,Raw_Risk_Profiles!$C:$C,"Missing")</f>
        <v/>
      </c>
      <c r="J747" s="4">
        <f>XLOOKUP(B747,Raw_Risk_Profiles!$A:$A,Raw_Risk_Profiles!$D:$D,"")</f>
        <v/>
      </c>
      <c r="K747" s="4">
        <f>IFERROR(INDEX(Raw_Risk_Profiles!$E:$E,MATCH(B747,Raw_Risk_Profiles!$A:$A,0)),"Unknown")</f>
        <v/>
      </c>
      <c r="L747" s="4">
        <f>IFERROR(XLOOKUP(A747,Raw_Alerts!$B:$B,Raw_Alerts!$A:$A),"No Alert")</f>
        <v/>
      </c>
      <c r="M747" s="4">
        <f>IFERROR(XLOOKUP(A747,Raw_Alerts!$B:$B,Raw_Alerts!$C:$C),"")</f>
        <v/>
      </c>
      <c r="N747" s="4">
        <f>IFERROR(XLOOKUP(A747,Raw_Alerts!$B:$B,Raw_Alerts!$D:$D),"")</f>
        <v/>
      </c>
      <c r="O747" s="4">
        <f>IFERROR(XLOOKUP(A747,Raw_Alerts!$B:$B,Raw_Alerts!$F:$F),"")</f>
        <v/>
      </c>
      <c r="P747" s="4">
        <f>IF(H747="Not Found","CRITICAL: No Risk Profile",IF(I747="Missing","WARN: Missing KYC",IF(I747="Expired","WARN: KYC Expired",IF(I747="Pending","INFO: KYC Pending","OK"))))</f>
        <v/>
      </c>
    </row>
    <row r="748">
      <c r="A748" s="2">
        <f>Raw_Transactions!A748</f>
        <v/>
      </c>
      <c r="B748" s="2">
        <f>Raw_Transactions!B748</f>
        <v/>
      </c>
      <c r="C748" s="2">
        <f>Raw_Transactions!C748</f>
        <v/>
      </c>
      <c r="D748" s="3">
        <f>Raw_Transactions!D748</f>
        <v/>
      </c>
      <c r="E748" s="2">
        <f>Raw_Transactions!E748</f>
        <v/>
      </c>
      <c r="F748" s="2">
        <f>Raw_Transactions!F748</f>
        <v/>
      </c>
      <c r="G748" s="2">
        <f>Raw_Transactions!G748</f>
        <v/>
      </c>
      <c r="H748" s="2">
        <f>XLOOKUP(B748,Raw_Risk_Profiles!$A:$A,Raw_Risk_Profiles!$B:$B,"Not Found")</f>
        <v/>
      </c>
      <c r="I748" s="2">
        <f>XLOOKUP(B748,Raw_Risk_Profiles!$A:$A,Raw_Risk_Profiles!$C:$C,"Missing")</f>
        <v/>
      </c>
      <c r="J748" s="2">
        <f>XLOOKUP(B748,Raw_Risk_Profiles!$A:$A,Raw_Risk_Profiles!$D:$D,"")</f>
        <v/>
      </c>
      <c r="K748" s="2">
        <f>IFERROR(INDEX(Raw_Risk_Profiles!$E:$E,MATCH(B748,Raw_Risk_Profiles!$A:$A,0)),"Unknown")</f>
        <v/>
      </c>
      <c r="L748" s="2">
        <f>IFERROR(XLOOKUP(A748,Raw_Alerts!$B:$B,Raw_Alerts!$A:$A),"No Alert")</f>
        <v/>
      </c>
      <c r="M748" s="2">
        <f>IFERROR(XLOOKUP(A748,Raw_Alerts!$B:$B,Raw_Alerts!$C:$C),"")</f>
        <v/>
      </c>
      <c r="N748" s="2">
        <f>IFERROR(XLOOKUP(A748,Raw_Alerts!$B:$B,Raw_Alerts!$D:$D),"")</f>
        <v/>
      </c>
      <c r="O748" s="2">
        <f>IFERROR(XLOOKUP(A748,Raw_Alerts!$B:$B,Raw_Alerts!$F:$F),"")</f>
        <v/>
      </c>
      <c r="P748" s="2">
        <f>IF(H748="Not Found","CRITICAL: No Risk Profile",IF(I748="Missing","WARN: Missing KYC",IF(I748="Expired","WARN: KYC Expired",IF(I748="Pending","INFO: KYC Pending","OK"))))</f>
        <v/>
      </c>
    </row>
    <row r="749">
      <c r="A749" s="4">
        <f>Raw_Transactions!A749</f>
        <v/>
      </c>
      <c r="B749" s="4">
        <f>Raw_Transactions!B749</f>
        <v/>
      </c>
      <c r="C749" s="4">
        <f>Raw_Transactions!C749</f>
        <v/>
      </c>
      <c r="D749" s="5">
        <f>Raw_Transactions!D749</f>
        <v/>
      </c>
      <c r="E749" s="4">
        <f>Raw_Transactions!E749</f>
        <v/>
      </c>
      <c r="F749" s="4">
        <f>Raw_Transactions!F749</f>
        <v/>
      </c>
      <c r="G749" s="4">
        <f>Raw_Transactions!G749</f>
        <v/>
      </c>
      <c r="H749" s="4">
        <f>XLOOKUP(B749,Raw_Risk_Profiles!$A:$A,Raw_Risk_Profiles!$B:$B,"Not Found")</f>
        <v/>
      </c>
      <c r="I749" s="4">
        <f>XLOOKUP(B749,Raw_Risk_Profiles!$A:$A,Raw_Risk_Profiles!$C:$C,"Missing")</f>
        <v/>
      </c>
      <c r="J749" s="4">
        <f>XLOOKUP(B749,Raw_Risk_Profiles!$A:$A,Raw_Risk_Profiles!$D:$D,"")</f>
        <v/>
      </c>
      <c r="K749" s="4">
        <f>IFERROR(INDEX(Raw_Risk_Profiles!$E:$E,MATCH(B749,Raw_Risk_Profiles!$A:$A,0)),"Unknown")</f>
        <v/>
      </c>
      <c r="L749" s="4">
        <f>IFERROR(XLOOKUP(A749,Raw_Alerts!$B:$B,Raw_Alerts!$A:$A),"No Alert")</f>
        <v/>
      </c>
      <c r="M749" s="4">
        <f>IFERROR(XLOOKUP(A749,Raw_Alerts!$B:$B,Raw_Alerts!$C:$C),"")</f>
        <v/>
      </c>
      <c r="N749" s="4">
        <f>IFERROR(XLOOKUP(A749,Raw_Alerts!$B:$B,Raw_Alerts!$D:$D),"")</f>
        <v/>
      </c>
      <c r="O749" s="4">
        <f>IFERROR(XLOOKUP(A749,Raw_Alerts!$B:$B,Raw_Alerts!$F:$F),"")</f>
        <v/>
      </c>
      <c r="P749" s="4">
        <f>IF(H749="Not Found","CRITICAL: No Risk Profile",IF(I749="Missing","WARN: Missing KYC",IF(I749="Expired","WARN: KYC Expired",IF(I749="Pending","INFO: KYC Pending","OK"))))</f>
        <v/>
      </c>
    </row>
    <row r="750">
      <c r="A750" s="2">
        <f>Raw_Transactions!A750</f>
        <v/>
      </c>
      <c r="B750" s="2">
        <f>Raw_Transactions!B750</f>
        <v/>
      </c>
      <c r="C750" s="2">
        <f>Raw_Transactions!C750</f>
        <v/>
      </c>
      <c r="D750" s="3">
        <f>Raw_Transactions!D750</f>
        <v/>
      </c>
      <c r="E750" s="2">
        <f>Raw_Transactions!E750</f>
        <v/>
      </c>
      <c r="F750" s="2">
        <f>Raw_Transactions!F750</f>
        <v/>
      </c>
      <c r="G750" s="2">
        <f>Raw_Transactions!G750</f>
        <v/>
      </c>
      <c r="H750" s="2">
        <f>XLOOKUP(B750,Raw_Risk_Profiles!$A:$A,Raw_Risk_Profiles!$B:$B,"Not Found")</f>
        <v/>
      </c>
      <c r="I750" s="2">
        <f>XLOOKUP(B750,Raw_Risk_Profiles!$A:$A,Raw_Risk_Profiles!$C:$C,"Missing")</f>
        <v/>
      </c>
      <c r="J750" s="2">
        <f>XLOOKUP(B750,Raw_Risk_Profiles!$A:$A,Raw_Risk_Profiles!$D:$D,"")</f>
        <v/>
      </c>
      <c r="K750" s="2">
        <f>IFERROR(INDEX(Raw_Risk_Profiles!$E:$E,MATCH(B750,Raw_Risk_Profiles!$A:$A,0)),"Unknown")</f>
        <v/>
      </c>
      <c r="L750" s="2">
        <f>IFERROR(XLOOKUP(A750,Raw_Alerts!$B:$B,Raw_Alerts!$A:$A),"No Alert")</f>
        <v/>
      </c>
      <c r="M750" s="2">
        <f>IFERROR(XLOOKUP(A750,Raw_Alerts!$B:$B,Raw_Alerts!$C:$C),"")</f>
        <v/>
      </c>
      <c r="N750" s="2">
        <f>IFERROR(XLOOKUP(A750,Raw_Alerts!$B:$B,Raw_Alerts!$D:$D),"")</f>
        <v/>
      </c>
      <c r="O750" s="2">
        <f>IFERROR(XLOOKUP(A750,Raw_Alerts!$B:$B,Raw_Alerts!$F:$F),"")</f>
        <v/>
      </c>
      <c r="P750" s="2">
        <f>IF(H750="Not Found","CRITICAL: No Risk Profile",IF(I750="Missing","WARN: Missing KYC",IF(I750="Expired","WARN: KYC Expired",IF(I750="Pending","INFO: KYC Pending","OK"))))</f>
        <v/>
      </c>
    </row>
    <row r="751">
      <c r="A751" s="4">
        <f>Raw_Transactions!A751</f>
        <v/>
      </c>
      <c r="B751" s="4">
        <f>Raw_Transactions!B751</f>
        <v/>
      </c>
      <c r="C751" s="4">
        <f>Raw_Transactions!C751</f>
        <v/>
      </c>
      <c r="D751" s="5">
        <f>Raw_Transactions!D751</f>
        <v/>
      </c>
      <c r="E751" s="4">
        <f>Raw_Transactions!E751</f>
        <v/>
      </c>
      <c r="F751" s="4">
        <f>Raw_Transactions!F751</f>
        <v/>
      </c>
      <c r="G751" s="4">
        <f>Raw_Transactions!G751</f>
        <v/>
      </c>
      <c r="H751" s="4">
        <f>XLOOKUP(B751,Raw_Risk_Profiles!$A:$A,Raw_Risk_Profiles!$B:$B,"Not Found")</f>
        <v/>
      </c>
      <c r="I751" s="4">
        <f>XLOOKUP(B751,Raw_Risk_Profiles!$A:$A,Raw_Risk_Profiles!$C:$C,"Missing")</f>
        <v/>
      </c>
      <c r="J751" s="4">
        <f>XLOOKUP(B751,Raw_Risk_Profiles!$A:$A,Raw_Risk_Profiles!$D:$D,"")</f>
        <v/>
      </c>
      <c r="K751" s="4">
        <f>IFERROR(INDEX(Raw_Risk_Profiles!$E:$E,MATCH(B751,Raw_Risk_Profiles!$A:$A,0)),"Unknown")</f>
        <v/>
      </c>
      <c r="L751" s="4">
        <f>IFERROR(XLOOKUP(A751,Raw_Alerts!$B:$B,Raw_Alerts!$A:$A),"No Alert")</f>
        <v/>
      </c>
      <c r="M751" s="4">
        <f>IFERROR(XLOOKUP(A751,Raw_Alerts!$B:$B,Raw_Alerts!$C:$C),"")</f>
        <v/>
      </c>
      <c r="N751" s="4">
        <f>IFERROR(XLOOKUP(A751,Raw_Alerts!$B:$B,Raw_Alerts!$D:$D),"")</f>
        <v/>
      </c>
      <c r="O751" s="4">
        <f>IFERROR(XLOOKUP(A751,Raw_Alerts!$B:$B,Raw_Alerts!$F:$F),"")</f>
        <v/>
      </c>
      <c r="P751" s="4">
        <f>IF(H751="Not Found","CRITICAL: No Risk Profile",IF(I751="Missing","WARN: Missing KYC",IF(I751="Expired","WARN: KYC Expired",IF(I751="Pending","INFO: KYC Pending","OK"))))</f>
        <v/>
      </c>
    </row>
    <row r="752">
      <c r="A752" s="2">
        <f>Raw_Transactions!A752</f>
        <v/>
      </c>
      <c r="B752" s="2">
        <f>Raw_Transactions!B752</f>
        <v/>
      </c>
      <c r="C752" s="2">
        <f>Raw_Transactions!C752</f>
        <v/>
      </c>
      <c r="D752" s="3">
        <f>Raw_Transactions!D752</f>
        <v/>
      </c>
      <c r="E752" s="2">
        <f>Raw_Transactions!E752</f>
        <v/>
      </c>
      <c r="F752" s="2">
        <f>Raw_Transactions!F752</f>
        <v/>
      </c>
      <c r="G752" s="2">
        <f>Raw_Transactions!G752</f>
        <v/>
      </c>
      <c r="H752" s="2">
        <f>XLOOKUP(B752,Raw_Risk_Profiles!$A:$A,Raw_Risk_Profiles!$B:$B,"Not Found")</f>
        <v/>
      </c>
      <c r="I752" s="2">
        <f>XLOOKUP(B752,Raw_Risk_Profiles!$A:$A,Raw_Risk_Profiles!$C:$C,"Missing")</f>
        <v/>
      </c>
      <c r="J752" s="2">
        <f>XLOOKUP(B752,Raw_Risk_Profiles!$A:$A,Raw_Risk_Profiles!$D:$D,"")</f>
        <v/>
      </c>
      <c r="K752" s="2">
        <f>IFERROR(INDEX(Raw_Risk_Profiles!$E:$E,MATCH(B752,Raw_Risk_Profiles!$A:$A,0)),"Unknown")</f>
        <v/>
      </c>
      <c r="L752" s="2">
        <f>IFERROR(XLOOKUP(A752,Raw_Alerts!$B:$B,Raw_Alerts!$A:$A),"No Alert")</f>
        <v/>
      </c>
      <c r="M752" s="2">
        <f>IFERROR(XLOOKUP(A752,Raw_Alerts!$B:$B,Raw_Alerts!$C:$C),"")</f>
        <v/>
      </c>
      <c r="N752" s="2">
        <f>IFERROR(XLOOKUP(A752,Raw_Alerts!$B:$B,Raw_Alerts!$D:$D),"")</f>
        <v/>
      </c>
      <c r="O752" s="2">
        <f>IFERROR(XLOOKUP(A752,Raw_Alerts!$B:$B,Raw_Alerts!$F:$F),"")</f>
        <v/>
      </c>
      <c r="P752" s="2">
        <f>IF(H752="Not Found","CRITICAL: No Risk Profile",IF(I752="Missing","WARN: Missing KYC",IF(I752="Expired","WARN: KYC Expired",IF(I752="Pending","INFO: KYC Pending","OK"))))</f>
        <v/>
      </c>
    </row>
    <row r="753">
      <c r="A753" s="4">
        <f>Raw_Transactions!A753</f>
        <v/>
      </c>
      <c r="B753" s="4">
        <f>Raw_Transactions!B753</f>
        <v/>
      </c>
      <c r="C753" s="4">
        <f>Raw_Transactions!C753</f>
        <v/>
      </c>
      <c r="D753" s="5">
        <f>Raw_Transactions!D753</f>
        <v/>
      </c>
      <c r="E753" s="4">
        <f>Raw_Transactions!E753</f>
        <v/>
      </c>
      <c r="F753" s="4">
        <f>Raw_Transactions!F753</f>
        <v/>
      </c>
      <c r="G753" s="4">
        <f>Raw_Transactions!G753</f>
        <v/>
      </c>
      <c r="H753" s="4">
        <f>XLOOKUP(B753,Raw_Risk_Profiles!$A:$A,Raw_Risk_Profiles!$B:$B,"Not Found")</f>
        <v/>
      </c>
      <c r="I753" s="4">
        <f>XLOOKUP(B753,Raw_Risk_Profiles!$A:$A,Raw_Risk_Profiles!$C:$C,"Missing")</f>
        <v/>
      </c>
      <c r="J753" s="4">
        <f>XLOOKUP(B753,Raw_Risk_Profiles!$A:$A,Raw_Risk_Profiles!$D:$D,"")</f>
        <v/>
      </c>
      <c r="K753" s="4">
        <f>IFERROR(INDEX(Raw_Risk_Profiles!$E:$E,MATCH(B753,Raw_Risk_Profiles!$A:$A,0)),"Unknown")</f>
        <v/>
      </c>
      <c r="L753" s="4">
        <f>IFERROR(XLOOKUP(A753,Raw_Alerts!$B:$B,Raw_Alerts!$A:$A),"No Alert")</f>
        <v/>
      </c>
      <c r="M753" s="4">
        <f>IFERROR(XLOOKUP(A753,Raw_Alerts!$B:$B,Raw_Alerts!$C:$C),"")</f>
        <v/>
      </c>
      <c r="N753" s="4">
        <f>IFERROR(XLOOKUP(A753,Raw_Alerts!$B:$B,Raw_Alerts!$D:$D),"")</f>
        <v/>
      </c>
      <c r="O753" s="4">
        <f>IFERROR(XLOOKUP(A753,Raw_Alerts!$B:$B,Raw_Alerts!$F:$F),"")</f>
        <v/>
      </c>
      <c r="P753" s="4">
        <f>IF(H753="Not Found","CRITICAL: No Risk Profile",IF(I753="Missing","WARN: Missing KYC",IF(I753="Expired","WARN: KYC Expired",IF(I753="Pending","INFO: KYC Pending","OK"))))</f>
        <v/>
      </c>
    </row>
    <row r="754">
      <c r="A754" s="2">
        <f>Raw_Transactions!A754</f>
        <v/>
      </c>
      <c r="B754" s="2">
        <f>Raw_Transactions!B754</f>
        <v/>
      </c>
      <c r="C754" s="2">
        <f>Raw_Transactions!C754</f>
        <v/>
      </c>
      <c r="D754" s="3">
        <f>Raw_Transactions!D754</f>
        <v/>
      </c>
      <c r="E754" s="2">
        <f>Raw_Transactions!E754</f>
        <v/>
      </c>
      <c r="F754" s="2">
        <f>Raw_Transactions!F754</f>
        <v/>
      </c>
      <c r="G754" s="2">
        <f>Raw_Transactions!G754</f>
        <v/>
      </c>
      <c r="H754" s="2">
        <f>XLOOKUP(B754,Raw_Risk_Profiles!$A:$A,Raw_Risk_Profiles!$B:$B,"Not Found")</f>
        <v/>
      </c>
      <c r="I754" s="2">
        <f>XLOOKUP(B754,Raw_Risk_Profiles!$A:$A,Raw_Risk_Profiles!$C:$C,"Missing")</f>
        <v/>
      </c>
      <c r="J754" s="2">
        <f>XLOOKUP(B754,Raw_Risk_Profiles!$A:$A,Raw_Risk_Profiles!$D:$D,"")</f>
        <v/>
      </c>
      <c r="K754" s="2">
        <f>IFERROR(INDEX(Raw_Risk_Profiles!$E:$E,MATCH(B754,Raw_Risk_Profiles!$A:$A,0)),"Unknown")</f>
        <v/>
      </c>
      <c r="L754" s="2">
        <f>IFERROR(XLOOKUP(A754,Raw_Alerts!$B:$B,Raw_Alerts!$A:$A),"No Alert")</f>
        <v/>
      </c>
      <c r="M754" s="2">
        <f>IFERROR(XLOOKUP(A754,Raw_Alerts!$B:$B,Raw_Alerts!$C:$C),"")</f>
        <v/>
      </c>
      <c r="N754" s="2">
        <f>IFERROR(XLOOKUP(A754,Raw_Alerts!$B:$B,Raw_Alerts!$D:$D),"")</f>
        <v/>
      </c>
      <c r="O754" s="2">
        <f>IFERROR(XLOOKUP(A754,Raw_Alerts!$B:$B,Raw_Alerts!$F:$F),"")</f>
        <v/>
      </c>
      <c r="P754" s="2">
        <f>IF(H754="Not Found","CRITICAL: No Risk Profile",IF(I754="Missing","WARN: Missing KYC",IF(I754="Expired","WARN: KYC Expired",IF(I754="Pending","INFO: KYC Pending","OK"))))</f>
        <v/>
      </c>
    </row>
    <row r="755">
      <c r="A755" s="4">
        <f>Raw_Transactions!A755</f>
        <v/>
      </c>
      <c r="B755" s="4">
        <f>Raw_Transactions!B755</f>
        <v/>
      </c>
      <c r="C755" s="4">
        <f>Raw_Transactions!C755</f>
        <v/>
      </c>
      <c r="D755" s="5">
        <f>Raw_Transactions!D755</f>
        <v/>
      </c>
      <c r="E755" s="4">
        <f>Raw_Transactions!E755</f>
        <v/>
      </c>
      <c r="F755" s="4">
        <f>Raw_Transactions!F755</f>
        <v/>
      </c>
      <c r="G755" s="4">
        <f>Raw_Transactions!G755</f>
        <v/>
      </c>
      <c r="H755" s="4">
        <f>XLOOKUP(B755,Raw_Risk_Profiles!$A:$A,Raw_Risk_Profiles!$B:$B,"Not Found")</f>
        <v/>
      </c>
      <c r="I755" s="4">
        <f>XLOOKUP(B755,Raw_Risk_Profiles!$A:$A,Raw_Risk_Profiles!$C:$C,"Missing")</f>
        <v/>
      </c>
      <c r="J755" s="4">
        <f>XLOOKUP(B755,Raw_Risk_Profiles!$A:$A,Raw_Risk_Profiles!$D:$D,"")</f>
        <v/>
      </c>
      <c r="K755" s="4">
        <f>IFERROR(INDEX(Raw_Risk_Profiles!$E:$E,MATCH(B755,Raw_Risk_Profiles!$A:$A,0)),"Unknown")</f>
        <v/>
      </c>
      <c r="L755" s="4">
        <f>IFERROR(XLOOKUP(A755,Raw_Alerts!$B:$B,Raw_Alerts!$A:$A),"No Alert")</f>
        <v/>
      </c>
      <c r="M755" s="4">
        <f>IFERROR(XLOOKUP(A755,Raw_Alerts!$B:$B,Raw_Alerts!$C:$C),"")</f>
        <v/>
      </c>
      <c r="N755" s="4">
        <f>IFERROR(XLOOKUP(A755,Raw_Alerts!$B:$B,Raw_Alerts!$D:$D),"")</f>
        <v/>
      </c>
      <c r="O755" s="4">
        <f>IFERROR(XLOOKUP(A755,Raw_Alerts!$B:$B,Raw_Alerts!$F:$F),"")</f>
        <v/>
      </c>
      <c r="P755" s="4">
        <f>IF(H755="Not Found","CRITICAL: No Risk Profile",IF(I755="Missing","WARN: Missing KYC",IF(I755="Expired","WARN: KYC Expired",IF(I755="Pending","INFO: KYC Pending","OK"))))</f>
        <v/>
      </c>
    </row>
    <row r="756">
      <c r="A756" s="2">
        <f>Raw_Transactions!A756</f>
        <v/>
      </c>
      <c r="B756" s="2">
        <f>Raw_Transactions!B756</f>
        <v/>
      </c>
      <c r="C756" s="2">
        <f>Raw_Transactions!C756</f>
        <v/>
      </c>
      <c r="D756" s="3">
        <f>Raw_Transactions!D756</f>
        <v/>
      </c>
      <c r="E756" s="2">
        <f>Raw_Transactions!E756</f>
        <v/>
      </c>
      <c r="F756" s="2">
        <f>Raw_Transactions!F756</f>
        <v/>
      </c>
      <c r="G756" s="2">
        <f>Raw_Transactions!G756</f>
        <v/>
      </c>
      <c r="H756" s="2">
        <f>XLOOKUP(B756,Raw_Risk_Profiles!$A:$A,Raw_Risk_Profiles!$B:$B,"Not Found")</f>
        <v/>
      </c>
      <c r="I756" s="2">
        <f>XLOOKUP(B756,Raw_Risk_Profiles!$A:$A,Raw_Risk_Profiles!$C:$C,"Missing")</f>
        <v/>
      </c>
      <c r="J756" s="2">
        <f>XLOOKUP(B756,Raw_Risk_Profiles!$A:$A,Raw_Risk_Profiles!$D:$D,"")</f>
        <v/>
      </c>
      <c r="K756" s="2">
        <f>IFERROR(INDEX(Raw_Risk_Profiles!$E:$E,MATCH(B756,Raw_Risk_Profiles!$A:$A,0)),"Unknown")</f>
        <v/>
      </c>
      <c r="L756" s="2">
        <f>IFERROR(XLOOKUP(A756,Raw_Alerts!$B:$B,Raw_Alerts!$A:$A),"No Alert")</f>
        <v/>
      </c>
      <c r="M756" s="2">
        <f>IFERROR(XLOOKUP(A756,Raw_Alerts!$B:$B,Raw_Alerts!$C:$C),"")</f>
        <v/>
      </c>
      <c r="N756" s="2">
        <f>IFERROR(XLOOKUP(A756,Raw_Alerts!$B:$B,Raw_Alerts!$D:$D),"")</f>
        <v/>
      </c>
      <c r="O756" s="2">
        <f>IFERROR(XLOOKUP(A756,Raw_Alerts!$B:$B,Raw_Alerts!$F:$F),"")</f>
        <v/>
      </c>
      <c r="P756" s="2">
        <f>IF(H756="Not Found","CRITICAL: No Risk Profile",IF(I756="Missing","WARN: Missing KYC",IF(I756="Expired","WARN: KYC Expired",IF(I756="Pending","INFO: KYC Pending","OK"))))</f>
        <v/>
      </c>
    </row>
    <row r="757">
      <c r="A757" s="4">
        <f>Raw_Transactions!A757</f>
        <v/>
      </c>
      <c r="B757" s="4">
        <f>Raw_Transactions!B757</f>
        <v/>
      </c>
      <c r="C757" s="4">
        <f>Raw_Transactions!C757</f>
        <v/>
      </c>
      <c r="D757" s="5">
        <f>Raw_Transactions!D757</f>
        <v/>
      </c>
      <c r="E757" s="4">
        <f>Raw_Transactions!E757</f>
        <v/>
      </c>
      <c r="F757" s="4">
        <f>Raw_Transactions!F757</f>
        <v/>
      </c>
      <c r="G757" s="4">
        <f>Raw_Transactions!G757</f>
        <v/>
      </c>
      <c r="H757" s="4">
        <f>XLOOKUP(B757,Raw_Risk_Profiles!$A:$A,Raw_Risk_Profiles!$B:$B,"Not Found")</f>
        <v/>
      </c>
      <c r="I757" s="4">
        <f>XLOOKUP(B757,Raw_Risk_Profiles!$A:$A,Raw_Risk_Profiles!$C:$C,"Missing")</f>
        <v/>
      </c>
      <c r="J757" s="4">
        <f>XLOOKUP(B757,Raw_Risk_Profiles!$A:$A,Raw_Risk_Profiles!$D:$D,"")</f>
        <v/>
      </c>
      <c r="K757" s="4">
        <f>IFERROR(INDEX(Raw_Risk_Profiles!$E:$E,MATCH(B757,Raw_Risk_Profiles!$A:$A,0)),"Unknown")</f>
        <v/>
      </c>
      <c r="L757" s="4">
        <f>IFERROR(XLOOKUP(A757,Raw_Alerts!$B:$B,Raw_Alerts!$A:$A),"No Alert")</f>
        <v/>
      </c>
      <c r="M757" s="4">
        <f>IFERROR(XLOOKUP(A757,Raw_Alerts!$B:$B,Raw_Alerts!$C:$C),"")</f>
        <v/>
      </c>
      <c r="N757" s="4">
        <f>IFERROR(XLOOKUP(A757,Raw_Alerts!$B:$B,Raw_Alerts!$D:$D),"")</f>
        <v/>
      </c>
      <c r="O757" s="4">
        <f>IFERROR(XLOOKUP(A757,Raw_Alerts!$B:$B,Raw_Alerts!$F:$F),"")</f>
        <v/>
      </c>
      <c r="P757" s="4">
        <f>IF(H757="Not Found","CRITICAL: No Risk Profile",IF(I757="Missing","WARN: Missing KYC",IF(I757="Expired","WARN: KYC Expired",IF(I757="Pending","INFO: KYC Pending","OK"))))</f>
        <v/>
      </c>
    </row>
    <row r="758">
      <c r="A758" s="2">
        <f>Raw_Transactions!A758</f>
        <v/>
      </c>
      <c r="B758" s="2">
        <f>Raw_Transactions!B758</f>
        <v/>
      </c>
      <c r="C758" s="2">
        <f>Raw_Transactions!C758</f>
        <v/>
      </c>
      <c r="D758" s="3">
        <f>Raw_Transactions!D758</f>
        <v/>
      </c>
      <c r="E758" s="2">
        <f>Raw_Transactions!E758</f>
        <v/>
      </c>
      <c r="F758" s="2">
        <f>Raw_Transactions!F758</f>
        <v/>
      </c>
      <c r="G758" s="2">
        <f>Raw_Transactions!G758</f>
        <v/>
      </c>
      <c r="H758" s="2">
        <f>XLOOKUP(B758,Raw_Risk_Profiles!$A:$A,Raw_Risk_Profiles!$B:$B,"Not Found")</f>
        <v/>
      </c>
      <c r="I758" s="2">
        <f>XLOOKUP(B758,Raw_Risk_Profiles!$A:$A,Raw_Risk_Profiles!$C:$C,"Missing")</f>
        <v/>
      </c>
      <c r="J758" s="2">
        <f>XLOOKUP(B758,Raw_Risk_Profiles!$A:$A,Raw_Risk_Profiles!$D:$D,"")</f>
        <v/>
      </c>
      <c r="K758" s="2">
        <f>IFERROR(INDEX(Raw_Risk_Profiles!$E:$E,MATCH(B758,Raw_Risk_Profiles!$A:$A,0)),"Unknown")</f>
        <v/>
      </c>
      <c r="L758" s="2">
        <f>IFERROR(XLOOKUP(A758,Raw_Alerts!$B:$B,Raw_Alerts!$A:$A),"No Alert")</f>
        <v/>
      </c>
      <c r="M758" s="2">
        <f>IFERROR(XLOOKUP(A758,Raw_Alerts!$B:$B,Raw_Alerts!$C:$C),"")</f>
        <v/>
      </c>
      <c r="N758" s="2">
        <f>IFERROR(XLOOKUP(A758,Raw_Alerts!$B:$B,Raw_Alerts!$D:$D),"")</f>
        <v/>
      </c>
      <c r="O758" s="2">
        <f>IFERROR(XLOOKUP(A758,Raw_Alerts!$B:$B,Raw_Alerts!$F:$F),"")</f>
        <v/>
      </c>
      <c r="P758" s="2">
        <f>IF(H758="Not Found","CRITICAL: No Risk Profile",IF(I758="Missing","WARN: Missing KYC",IF(I758="Expired","WARN: KYC Expired",IF(I758="Pending","INFO: KYC Pending","OK"))))</f>
        <v/>
      </c>
    </row>
    <row r="759">
      <c r="A759" s="4">
        <f>Raw_Transactions!A759</f>
        <v/>
      </c>
      <c r="B759" s="4">
        <f>Raw_Transactions!B759</f>
        <v/>
      </c>
      <c r="C759" s="4">
        <f>Raw_Transactions!C759</f>
        <v/>
      </c>
      <c r="D759" s="5">
        <f>Raw_Transactions!D759</f>
        <v/>
      </c>
      <c r="E759" s="4">
        <f>Raw_Transactions!E759</f>
        <v/>
      </c>
      <c r="F759" s="4">
        <f>Raw_Transactions!F759</f>
        <v/>
      </c>
      <c r="G759" s="4">
        <f>Raw_Transactions!G759</f>
        <v/>
      </c>
      <c r="H759" s="4">
        <f>XLOOKUP(B759,Raw_Risk_Profiles!$A:$A,Raw_Risk_Profiles!$B:$B,"Not Found")</f>
        <v/>
      </c>
      <c r="I759" s="4">
        <f>XLOOKUP(B759,Raw_Risk_Profiles!$A:$A,Raw_Risk_Profiles!$C:$C,"Missing")</f>
        <v/>
      </c>
      <c r="J759" s="4">
        <f>XLOOKUP(B759,Raw_Risk_Profiles!$A:$A,Raw_Risk_Profiles!$D:$D,"")</f>
        <v/>
      </c>
      <c r="K759" s="4">
        <f>IFERROR(INDEX(Raw_Risk_Profiles!$E:$E,MATCH(B759,Raw_Risk_Profiles!$A:$A,0)),"Unknown")</f>
        <v/>
      </c>
      <c r="L759" s="4">
        <f>IFERROR(XLOOKUP(A759,Raw_Alerts!$B:$B,Raw_Alerts!$A:$A),"No Alert")</f>
        <v/>
      </c>
      <c r="M759" s="4">
        <f>IFERROR(XLOOKUP(A759,Raw_Alerts!$B:$B,Raw_Alerts!$C:$C),"")</f>
        <v/>
      </c>
      <c r="N759" s="4">
        <f>IFERROR(XLOOKUP(A759,Raw_Alerts!$B:$B,Raw_Alerts!$D:$D),"")</f>
        <v/>
      </c>
      <c r="O759" s="4">
        <f>IFERROR(XLOOKUP(A759,Raw_Alerts!$B:$B,Raw_Alerts!$F:$F),"")</f>
        <v/>
      </c>
      <c r="P759" s="4">
        <f>IF(H759="Not Found","CRITICAL: No Risk Profile",IF(I759="Missing","WARN: Missing KYC",IF(I759="Expired","WARN: KYC Expired",IF(I759="Pending","INFO: KYC Pending","OK"))))</f>
        <v/>
      </c>
    </row>
    <row r="760">
      <c r="A760" s="2">
        <f>Raw_Transactions!A760</f>
        <v/>
      </c>
      <c r="B760" s="2">
        <f>Raw_Transactions!B760</f>
        <v/>
      </c>
      <c r="C760" s="2">
        <f>Raw_Transactions!C760</f>
        <v/>
      </c>
      <c r="D760" s="3">
        <f>Raw_Transactions!D760</f>
        <v/>
      </c>
      <c r="E760" s="2">
        <f>Raw_Transactions!E760</f>
        <v/>
      </c>
      <c r="F760" s="2">
        <f>Raw_Transactions!F760</f>
        <v/>
      </c>
      <c r="G760" s="2">
        <f>Raw_Transactions!G760</f>
        <v/>
      </c>
      <c r="H760" s="2">
        <f>XLOOKUP(B760,Raw_Risk_Profiles!$A:$A,Raw_Risk_Profiles!$B:$B,"Not Found")</f>
        <v/>
      </c>
      <c r="I760" s="2">
        <f>XLOOKUP(B760,Raw_Risk_Profiles!$A:$A,Raw_Risk_Profiles!$C:$C,"Missing")</f>
        <v/>
      </c>
      <c r="J760" s="2">
        <f>XLOOKUP(B760,Raw_Risk_Profiles!$A:$A,Raw_Risk_Profiles!$D:$D,"")</f>
        <v/>
      </c>
      <c r="K760" s="2">
        <f>IFERROR(INDEX(Raw_Risk_Profiles!$E:$E,MATCH(B760,Raw_Risk_Profiles!$A:$A,0)),"Unknown")</f>
        <v/>
      </c>
      <c r="L760" s="2">
        <f>IFERROR(XLOOKUP(A760,Raw_Alerts!$B:$B,Raw_Alerts!$A:$A),"No Alert")</f>
        <v/>
      </c>
      <c r="M760" s="2">
        <f>IFERROR(XLOOKUP(A760,Raw_Alerts!$B:$B,Raw_Alerts!$C:$C),"")</f>
        <v/>
      </c>
      <c r="N760" s="2">
        <f>IFERROR(XLOOKUP(A760,Raw_Alerts!$B:$B,Raw_Alerts!$D:$D),"")</f>
        <v/>
      </c>
      <c r="O760" s="2">
        <f>IFERROR(XLOOKUP(A760,Raw_Alerts!$B:$B,Raw_Alerts!$F:$F),"")</f>
        <v/>
      </c>
      <c r="P760" s="2">
        <f>IF(H760="Not Found","CRITICAL: No Risk Profile",IF(I760="Missing","WARN: Missing KYC",IF(I760="Expired","WARN: KYC Expired",IF(I760="Pending","INFO: KYC Pending","OK"))))</f>
        <v/>
      </c>
    </row>
    <row r="761">
      <c r="A761" s="4">
        <f>Raw_Transactions!A761</f>
        <v/>
      </c>
      <c r="B761" s="4">
        <f>Raw_Transactions!B761</f>
        <v/>
      </c>
      <c r="C761" s="4">
        <f>Raw_Transactions!C761</f>
        <v/>
      </c>
      <c r="D761" s="5">
        <f>Raw_Transactions!D761</f>
        <v/>
      </c>
      <c r="E761" s="4">
        <f>Raw_Transactions!E761</f>
        <v/>
      </c>
      <c r="F761" s="4">
        <f>Raw_Transactions!F761</f>
        <v/>
      </c>
      <c r="G761" s="4">
        <f>Raw_Transactions!G761</f>
        <v/>
      </c>
      <c r="H761" s="4">
        <f>XLOOKUP(B761,Raw_Risk_Profiles!$A:$A,Raw_Risk_Profiles!$B:$B,"Not Found")</f>
        <v/>
      </c>
      <c r="I761" s="4">
        <f>XLOOKUP(B761,Raw_Risk_Profiles!$A:$A,Raw_Risk_Profiles!$C:$C,"Missing")</f>
        <v/>
      </c>
      <c r="J761" s="4">
        <f>XLOOKUP(B761,Raw_Risk_Profiles!$A:$A,Raw_Risk_Profiles!$D:$D,"")</f>
        <v/>
      </c>
      <c r="K761" s="4">
        <f>IFERROR(INDEX(Raw_Risk_Profiles!$E:$E,MATCH(B761,Raw_Risk_Profiles!$A:$A,0)),"Unknown")</f>
        <v/>
      </c>
      <c r="L761" s="4">
        <f>IFERROR(XLOOKUP(A761,Raw_Alerts!$B:$B,Raw_Alerts!$A:$A),"No Alert")</f>
        <v/>
      </c>
      <c r="M761" s="4">
        <f>IFERROR(XLOOKUP(A761,Raw_Alerts!$B:$B,Raw_Alerts!$C:$C),"")</f>
        <v/>
      </c>
      <c r="N761" s="4">
        <f>IFERROR(XLOOKUP(A761,Raw_Alerts!$B:$B,Raw_Alerts!$D:$D),"")</f>
        <v/>
      </c>
      <c r="O761" s="4">
        <f>IFERROR(XLOOKUP(A761,Raw_Alerts!$B:$B,Raw_Alerts!$F:$F),"")</f>
        <v/>
      </c>
      <c r="P761" s="4">
        <f>IF(H761="Not Found","CRITICAL: No Risk Profile",IF(I761="Missing","WARN: Missing KYC",IF(I761="Expired","WARN: KYC Expired",IF(I761="Pending","INFO: KYC Pending","OK"))))</f>
        <v/>
      </c>
    </row>
    <row r="762">
      <c r="A762" s="2">
        <f>Raw_Transactions!A762</f>
        <v/>
      </c>
      <c r="B762" s="2">
        <f>Raw_Transactions!B762</f>
        <v/>
      </c>
      <c r="C762" s="2">
        <f>Raw_Transactions!C762</f>
        <v/>
      </c>
      <c r="D762" s="3">
        <f>Raw_Transactions!D762</f>
        <v/>
      </c>
      <c r="E762" s="2">
        <f>Raw_Transactions!E762</f>
        <v/>
      </c>
      <c r="F762" s="2">
        <f>Raw_Transactions!F762</f>
        <v/>
      </c>
      <c r="G762" s="2">
        <f>Raw_Transactions!G762</f>
        <v/>
      </c>
      <c r="H762" s="2">
        <f>XLOOKUP(B762,Raw_Risk_Profiles!$A:$A,Raw_Risk_Profiles!$B:$B,"Not Found")</f>
        <v/>
      </c>
      <c r="I762" s="2">
        <f>XLOOKUP(B762,Raw_Risk_Profiles!$A:$A,Raw_Risk_Profiles!$C:$C,"Missing")</f>
        <v/>
      </c>
      <c r="J762" s="2">
        <f>XLOOKUP(B762,Raw_Risk_Profiles!$A:$A,Raw_Risk_Profiles!$D:$D,"")</f>
        <v/>
      </c>
      <c r="K762" s="2">
        <f>IFERROR(INDEX(Raw_Risk_Profiles!$E:$E,MATCH(B762,Raw_Risk_Profiles!$A:$A,0)),"Unknown")</f>
        <v/>
      </c>
      <c r="L762" s="2">
        <f>IFERROR(XLOOKUP(A762,Raw_Alerts!$B:$B,Raw_Alerts!$A:$A),"No Alert")</f>
        <v/>
      </c>
      <c r="M762" s="2">
        <f>IFERROR(XLOOKUP(A762,Raw_Alerts!$B:$B,Raw_Alerts!$C:$C),"")</f>
        <v/>
      </c>
      <c r="N762" s="2">
        <f>IFERROR(XLOOKUP(A762,Raw_Alerts!$B:$B,Raw_Alerts!$D:$D),"")</f>
        <v/>
      </c>
      <c r="O762" s="2">
        <f>IFERROR(XLOOKUP(A762,Raw_Alerts!$B:$B,Raw_Alerts!$F:$F),"")</f>
        <v/>
      </c>
      <c r="P762" s="2">
        <f>IF(H762="Not Found","CRITICAL: No Risk Profile",IF(I762="Missing","WARN: Missing KYC",IF(I762="Expired","WARN: KYC Expired",IF(I762="Pending","INFO: KYC Pending","OK"))))</f>
        <v/>
      </c>
    </row>
    <row r="763">
      <c r="A763" s="4">
        <f>Raw_Transactions!A763</f>
        <v/>
      </c>
      <c r="B763" s="4">
        <f>Raw_Transactions!B763</f>
        <v/>
      </c>
      <c r="C763" s="4">
        <f>Raw_Transactions!C763</f>
        <v/>
      </c>
      <c r="D763" s="5">
        <f>Raw_Transactions!D763</f>
        <v/>
      </c>
      <c r="E763" s="4">
        <f>Raw_Transactions!E763</f>
        <v/>
      </c>
      <c r="F763" s="4">
        <f>Raw_Transactions!F763</f>
        <v/>
      </c>
      <c r="G763" s="4">
        <f>Raw_Transactions!G763</f>
        <v/>
      </c>
      <c r="H763" s="4">
        <f>XLOOKUP(B763,Raw_Risk_Profiles!$A:$A,Raw_Risk_Profiles!$B:$B,"Not Found")</f>
        <v/>
      </c>
      <c r="I763" s="4">
        <f>XLOOKUP(B763,Raw_Risk_Profiles!$A:$A,Raw_Risk_Profiles!$C:$C,"Missing")</f>
        <v/>
      </c>
      <c r="J763" s="4">
        <f>XLOOKUP(B763,Raw_Risk_Profiles!$A:$A,Raw_Risk_Profiles!$D:$D,"")</f>
        <v/>
      </c>
      <c r="K763" s="4">
        <f>IFERROR(INDEX(Raw_Risk_Profiles!$E:$E,MATCH(B763,Raw_Risk_Profiles!$A:$A,0)),"Unknown")</f>
        <v/>
      </c>
      <c r="L763" s="4">
        <f>IFERROR(XLOOKUP(A763,Raw_Alerts!$B:$B,Raw_Alerts!$A:$A),"No Alert")</f>
        <v/>
      </c>
      <c r="M763" s="4">
        <f>IFERROR(XLOOKUP(A763,Raw_Alerts!$B:$B,Raw_Alerts!$C:$C),"")</f>
        <v/>
      </c>
      <c r="N763" s="4">
        <f>IFERROR(XLOOKUP(A763,Raw_Alerts!$B:$B,Raw_Alerts!$D:$D),"")</f>
        <v/>
      </c>
      <c r="O763" s="4">
        <f>IFERROR(XLOOKUP(A763,Raw_Alerts!$B:$B,Raw_Alerts!$F:$F),"")</f>
        <v/>
      </c>
      <c r="P763" s="4">
        <f>IF(H763="Not Found","CRITICAL: No Risk Profile",IF(I763="Missing","WARN: Missing KYC",IF(I763="Expired","WARN: KYC Expired",IF(I763="Pending","INFO: KYC Pending","OK"))))</f>
        <v/>
      </c>
    </row>
    <row r="764">
      <c r="A764" s="2">
        <f>Raw_Transactions!A764</f>
        <v/>
      </c>
      <c r="B764" s="2">
        <f>Raw_Transactions!B764</f>
        <v/>
      </c>
      <c r="C764" s="2">
        <f>Raw_Transactions!C764</f>
        <v/>
      </c>
      <c r="D764" s="3">
        <f>Raw_Transactions!D764</f>
        <v/>
      </c>
      <c r="E764" s="2">
        <f>Raw_Transactions!E764</f>
        <v/>
      </c>
      <c r="F764" s="2">
        <f>Raw_Transactions!F764</f>
        <v/>
      </c>
      <c r="G764" s="2">
        <f>Raw_Transactions!G764</f>
        <v/>
      </c>
      <c r="H764" s="2">
        <f>XLOOKUP(B764,Raw_Risk_Profiles!$A:$A,Raw_Risk_Profiles!$B:$B,"Not Found")</f>
        <v/>
      </c>
      <c r="I764" s="2">
        <f>XLOOKUP(B764,Raw_Risk_Profiles!$A:$A,Raw_Risk_Profiles!$C:$C,"Missing")</f>
        <v/>
      </c>
      <c r="J764" s="2">
        <f>XLOOKUP(B764,Raw_Risk_Profiles!$A:$A,Raw_Risk_Profiles!$D:$D,"")</f>
        <v/>
      </c>
      <c r="K764" s="2">
        <f>IFERROR(INDEX(Raw_Risk_Profiles!$E:$E,MATCH(B764,Raw_Risk_Profiles!$A:$A,0)),"Unknown")</f>
        <v/>
      </c>
      <c r="L764" s="2">
        <f>IFERROR(XLOOKUP(A764,Raw_Alerts!$B:$B,Raw_Alerts!$A:$A),"No Alert")</f>
        <v/>
      </c>
      <c r="M764" s="2">
        <f>IFERROR(XLOOKUP(A764,Raw_Alerts!$B:$B,Raw_Alerts!$C:$C),"")</f>
        <v/>
      </c>
      <c r="N764" s="2">
        <f>IFERROR(XLOOKUP(A764,Raw_Alerts!$B:$B,Raw_Alerts!$D:$D),"")</f>
        <v/>
      </c>
      <c r="O764" s="2">
        <f>IFERROR(XLOOKUP(A764,Raw_Alerts!$B:$B,Raw_Alerts!$F:$F),"")</f>
        <v/>
      </c>
      <c r="P764" s="2">
        <f>IF(H764="Not Found","CRITICAL: No Risk Profile",IF(I764="Missing","WARN: Missing KYC",IF(I764="Expired","WARN: KYC Expired",IF(I764="Pending","INFO: KYC Pending","OK"))))</f>
        <v/>
      </c>
    </row>
    <row r="765">
      <c r="A765" s="4">
        <f>Raw_Transactions!A765</f>
        <v/>
      </c>
      <c r="B765" s="4">
        <f>Raw_Transactions!B765</f>
        <v/>
      </c>
      <c r="C765" s="4">
        <f>Raw_Transactions!C765</f>
        <v/>
      </c>
      <c r="D765" s="5">
        <f>Raw_Transactions!D765</f>
        <v/>
      </c>
      <c r="E765" s="4">
        <f>Raw_Transactions!E765</f>
        <v/>
      </c>
      <c r="F765" s="4">
        <f>Raw_Transactions!F765</f>
        <v/>
      </c>
      <c r="G765" s="4">
        <f>Raw_Transactions!G765</f>
        <v/>
      </c>
      <c r="H765" s="4">
        <f>XLOOKUP(B765,Raw_Risk_Profiles!$A:$A,Raw_Risk_Profiles!$B:$B,"Not Found")</f>
        <v/>
      </c>
      <c r="I765" s="4">
        <f>XLOOKUP(B765,Raw_Risk_Profiles!$A:$A,Raw_Risk_Profiles!$C:$C,"Missing")</f>
        <v/>
      </c>
      <c r="J765" s="4">
        <f>XLOOKUP(B765,Raw_Risk_Profiles!$A:$A,Raw_Risk_Profiles!$D:$D,"")</f>
        <v/>
      </c>
      <c r="K765" s="4">
        <f>IFERROR(INDEX(Raw_Risk_Profiles!$E:$E,MATCH(B765,Raw_Risk_Profiles!$A:$A,0)),"Unknown")</f>
        <v/>
      </c>
      <c r="L765" s="4">
        <f>IFERROR(XLOOKUP(A765,Raw_Alerts!$B:$B,Raw_Alerts!$A:$A),"No Alert")</f>
        <v/>
      </c>
      <c r="M765" s="4">
        <f>IFERROR(XLOOKUP(A765,Raw_Alerts!$B:$B,Raw_Alerts!$C:$C),"")</f>
        <v/>
      </c>
      <c r="N765" s="4">
        <f>IFERROR(XLOOKUP(A765,Raw_Alerts!$B:$B,Raw_Alerts!$D:$D),"")</f>
        <v/>
      </c>
      <c r="O765" s="4">
        <f>IFERROR(XLOOKUP(A765,Raw_Alerts!$B:$B,Raw_Alerts!$F:$F),"")</f>
        <v/>
      </c>
      <c r="P765" s="4">
        <f>IF(H765="Not Found","CRITICAL: No Risk Profile",IF(I765="Missing","WARN: Missing KYC",IF(I765="Expired","WARN: KYC Expired",IF(I765="Pending","INFO: KYC Pending","OK"))))</f>
        <v/>
      </c>
    </row>
    <row r="766">
      <c r="A766" s="2">
        <f>Raw_Transactions!A766</f>
        <v/>
      </c>
      <c r="B766" s="2">
        <f>Raw_Transactions!B766</f>
        <v/>
      </c>
      <c r="C766" s="2">
        <f>Raw_Transactions!C766</f>
        <v/>
      </c>
      <c r="D766" s="3">
        <f>Raw_Transactions!D766</f>
        <v/>
      </c>
      <c r="E766" s="2">
        <f>Raw_Transactions!E766</f>
        <v/>
      </c>
      <c r="F766" s="2">
        <f>Raw_Transactions!F766</f>
        <v/>
      </c>
      <c r="G766" s="2">
        <f>Raw_Transactions!G766</f>
        <v/>
      </c>
      <c r="H766" s="2">
        <f>XLOOKUP(B766,Raw_Risk_Profiles!$A:$A,Raw_Risk_Profiles!$B:$B,"Not Found")</f>
        <v/>
      </c>
      <c r="I766" s="2">
        <f>XLOOKUP(B766,Raw_Risk_Profiles!$A:$A,Raw_Risk_Profiles!$C:$C,"Missing")</f>
        <v/>
      </c>
      <c r="J766" s="2">
        <f>XLOOKUP(B766,Raw_Risk_Profiles!$A:$A,Raw_Risk_Profiles!$D:$D,"")</f>
        <v/>
      </c>
      <c r="K766" s="2">
        <f>IFERROR(INDEX(Raw_Risk_Profiles!$E:$E,MATCH(B766,Raw_Risk_Profiles!$A:$A,0)),"Unknown")</f>
        <v/>
      </c>
      <c r="L766" s="2">
        <f>IFERROR(XLOOKUP(A766,Raw_Alerts!$B:$B,Raw_Alerts!$A:$A),"No Alert")</f>
        <v/>
      </c>
      <c r="M766" s="2">
        <f>IFERROR(XLOOKUP(A766,Raw_Alerts!$B:$B,Raw_Alerts!$C:$C),"")</f>
        <v/>
      </c>
      <c r="N766" s="2">
        <f>IFERROR(XLOOKUP(A766,Raw_Alerts!$B:$B,Raw_Alerts!$D:$D),"")</f>
        <v/>
      </c>
      <c r="O766" s="2">
        <f>IFERROR(XLOOKUP(A766,Raw_Alerts!$B:$B,Raw_Alerts!$F:$F),"")</f>
        <v/>
      </c>
      <c r="P766" s="2">
        <f>IF(H766="Not Found","CRITICAL: No Risk Profile",IF(I766="Missing","WARN: Missing KYC",IF(I766="Expired","WARN: KYC Expired",IF(I766="Pending","INFO: KYC Pending","OK"))))</f>
        <v/>
      </c>
    </row>
    <row r="767">
      <c r="A767" s="4">
        <f>Raw_Transactions!A767</f>
        <v/>
      </c>
      <c r="B767" s="4">
        <f>Raw_Transactions!B767</f>
        <v/>
      </c>
      <c r="C767" s="4">
        <f>Raw_Transactions!C767</f>
        <v/>
      </c>
      <c r="D767" s="5">
        <f>Raw_Transactions!D767</f>
        <v/>
      </c>
      <c r="E767" s="4">
        <f>Raw_Transactions!E767</f>
        <v/>
      </c>
      <c r="F767" s="4">
        <f>Raw_Transactions!F767</f>
        <v/>
      </c>
      <c r="G767" s="4">
        <f>Raw_Transactions!G767</f>
        <v/>
      </c>
      <c r="H767" s="4">
        <f>XLOOKUP(B767,Raw_Risk_Profiles!$A:$A,Raw_Risk_Profiles!$B:$B,"Not Found")</f>
        <v/>
      </c>
      <c r="I767" s="4">
        <f>XLOOKUP(B767,Raw_Risk_Profiles!$A:$A,Raw_Risk_Profiles!$C:$C,"Missing")</f>
        <v/>
      </c>
      <c r="J767" s="4">
        <f>XLOOKUP(B767,Raw_Risk_Profiles!$A:$A,Raw_Risk_Profiles!$D:$D,"")</f>
        <v/>
      </c>
      <c r="K767" s="4">
        <f>IFERROR(INDEX(Raw_Risk_Profiles!$E:$E,MATCH(B767,Raw_Risk_Profiles!$A:$A,0)),"Unknown")</f>
        <v/>
      </c>
      <c r="L767" s="4">
        <f>IFERROR(XLOOKUP(A767,Raw_Alerts!$B:$B,Raw_Alerts!$A:$A),"No Alert")</f>
        <v/>
      </c>
      <c r="M767" s="4">
        <f>IFERROR(XLOOKUP(A767,Raw_Alerts!$B:$B,Raw_Alerts!$C:$C),"")</f>
        <v/>
      </c>
      <c r="N767" s="4">
        <f>IFERROR(XLOOKUP(A767,Raw_Alerts!$B:$B,Raw_Alerts!$D:$D),"")</f>
        <v/>
      </c>
      <c r="O767" s="4">
        <f>IFERROR(XLOOKUP(A767,Raw_Alerts!$B:$B,Raw_Alerts!$F:$F),"")</f>
        <v/>
      </c>
      <c r="P767" s="4">
        <f>IF(H767="Not Found","CRITICAL: No Risk Profile",IF(I767="Missing","WARN: Missing KYC",IF(I767="Expired","WARN: KYC Expired",IF(I767="Pending","INFO: KYC Pending","OK"))))</f>
        <v/>
      </c>
    </row>
    <row r="768">
      <c r="A768" s="2">
        <f>Raw_Transactions!A768</f>
        <v/>
      </c>
      <c r="B768" s="2">
        <f>Raw_Transactions!B768</f>
        <v/>
      </c>
      <c r="C768" s="2">
        <f>Raw_Transactions!C768</f>
        <v/>
      </c>
      <c r="D768" s="3">
        <f>Raw_Transactions!D768</f>
        <v/>
      </c>
      <c r="E768" s="2">
        <f>Raw_Transactions!E768</f>
        <v/>
      </c>
      <c r="F768" s="2">
        <f>Raw_Transactions!F768</f>
        <v/>
      </c>
      <c r="G768" s="2">
        <f>Raw_Transactions!G768</f>
        <v/>
      </c>
      <c r="H768" s="2">
        <f>XLOOKUP(B768,Raw_Risk_Profiles!$A:$A,Raw_Risk_Profiles!$B:$B,"Not Found")</f>
        <v/>
      </c>
      <c r="I768" s="2">
        <f>XLOOKUP(B768,Raw_Risk_Profiles!$A:$A,Raw_Risk_Profiles!$C:$C,"Missing")</f>
        <v/>
      </c>
      <c r="J768" s="2">
        <f>XLOOKUP(B768,Raw_Risk_Profiles!$A:$A,Raw_Risk_Profiles!$D:$D,"")</f>
        <v/>
      </c>
      <c r="K768" s="2">
        <f>IFERROR(INDEX(Raw_Risk_Profiles!$E:$E,MATCH(B768,Raw_Risk_Profiles!$A:$A,0)),"Unknown")</f>
        <v/>
      </c>
      <c r="L768" s="2">
        <f>IFERROR(XLOOKUP(A768,Raw_Alerts!$B:$B,Raw_Alerts!$A:$A),"No Alert")</f>
        <v/>
      </c>
      <c r="M768" s="2">
        <f>IFERROR(XLOOKUP(A768,Raw_Alerts!$B:$B,Raw_Alerts!$C:$C),"")</f>
        <v/>
      </c>
      <c r="N768" s="2">
        <f>IFERROR(XLOOKUP(A768,Raw_Alerts!$B:$B,Raw_Alerts!$D:$D),"")</f>
        <v/>
      </c>
      <c r="O768" s="2">
        <f>IFERROR(XLOOKUP(A768,Raw_Alerts!$B:$B,Raw_Alerts!$F:$F),"")</f>
        <v/>
      </c>
      <c r="P768" s="2">
        <f>IF(H768="Not Found","CRITICAL: No Risk Profile",IF(I768="Missing","WARN: Missing KYC",IF(I768="Expired","WARN: KYC Expired",IF(I768="Pending","INFO: KYC Pending","OK"))))</f>
        <v/>
      </c>
    </row>
    <row r="769">
      <c r="A769" s="4">
        <f>Raw_Transactions!A769</f>
        <v/>
      </c>
      <c r="B769" s="4">
        <f>Raw_Transactions!B769</f>
        <v/>
      </c>
      <c r="C769" s="4">
        <f>Raw_Transactions!C769</f>
        <v/>
      </c>
      <c r="D769" s="5">
        <f>Raw_Transactions!D769</f>
        <v/>
      </c>
      <c r="E769" s="4">
        <f>Raw_Transactions!E769</f>
        <v/>
      </c>
      <c r="F769" s="4">
        <f>Raw_Transactions!F769</f>
        <v/>
      </c>
      <c r="G769" s="4">
        <f>Raw_Transactions!G769</f>
        <v/>
      </c>
      <c r="H769" s="4">
        <f>XLOOKUP(B769,Raw_Risk_Profiles!$A:$A,Raw_Risk_Profiles!$B:$B,"Not Found")</f>
        <v/>
      </c>
      <c r="I769" s="4">
        <f>XLOOKUP(B769,Raw_Risk_Profiles!$A:$A,Raw_Risk_Profiles!$C:$C,"Missing")</f>
        <v/>
      </c>
      <c r="J769" s="4">
        <f>XLOOKUP(B769,Raw_Risk_Profiles!$A:$A,Raw_Risk_Profiles!$D:$D,"")</f>
        <v/>
      </c>
      <c r="K769" s="4">
        <f>IFERROR(INDEX(Raw_Risk_Profiles!$E:$E,MATCH(B769,Raw_Risk_Profiles!$A:$A,0)),"Unknown")</f>
        <v/>
      </c>
      <c r="L769" s="4">
        <f>IFERROR(XLOOKUP(A769,Raw_Alerts!$B:$B,Raw_Alerts!$A:$A),"No Alert")</f>
        <v/>
      </c>
      <c r="M769" s="4">
        <f>IFERROR(XLOOKUP(A769,Raw_Alerts!$B:$B,Raw_Alerts!$C:$C),"")</f>
        <v/>
      </c>
      <c r="N769" s="4">
        <f>IFERROR(XLOOKUP(A769,Raw_Alerts!$B:$B,Raw_Alerts!$D:$D),"")</f>
        <v/>
      </c>
      <c r="O769" s="4">
        <f>IFERROR(XLOOKUP(A769,Raw_Alerts!$B:$B,Raw_Alerts!$F:$F),"")</f>
        <v/>
      </c>
      <c r="P769" s="4">
        <f>IF(H769="Not Found","CRITICAL: No Risk Profile",IF(I769="Missing","WARN: Missing KYC",IF(I769="Expired","WARN: KYC Expired",IF(I769="Pending","INFO: KYC Pending","OK"))))</f>
        <v/>
      </c>
    </row>
    <row r="770">
      <c r="A770" s="2">
        <f>Raw_Transactions!A770</f>
        <v/>
      </c>
      <c r="B770" s="2">
        <f>Raw_Transactions!B770</f>
        <v/>
      </c>
      <c r="C770" s="2">
        <f>Raw_Transactions!C770</f>
        <v/>
      </c>
      <c r="D770" s="3">
        <f>Raw_Transactions!D770</f>
        <v/>
      </c>
      <c r="E770" s="2">
        <f>Raw_Transactions!E770</f>
        <v/>
      </c>
      <c r="F770" s="2">
        <f>Raw_Transactions!F770</f>
        <v/>
      </c>
      <c r="G770" s="2">
        <f>Raw_Transactions!G770</f>
        <v/>
      </c>
      <c r="H770" s="2">
        <f>XLOOKUP(B770,Raw_Risk_Profiles!$A:$A,Raw_Risk_Profiles!$B:$B,"Not Found")</f>
        <v/>
      </c>
      <c r="I770" s="2">
        <f>XLOOKUP(B770,Raw_Risk_Profiles!$A:$A,Raw_Risk_Profiles!$C:$C,"Missing")</f>
        <v/>
      </c>
      <c r="J770" s="2">
        <f>XLOOKUP(B770,Raw_Risk_Profiles!$A:$A,Raw_Risk_Profiles!$D:$D,"")</f>
        <v/>
      </c>
      <c r="K770" s="2">
        <f>IFERROR(INDEX(Raw_Risk_Profiles!$E:$E,MATCH(B770,Raw_Risk_Profiles!$A:$A,0)),"Unknown")</f>
        <v/>
      </c>
      <c r="L770" s="2">
        <f>IFERROR(XLOOKUP(A770,Raw_Alerts!$B:$B,Raw_Alerts!$A:$A),"No Alert")</f>
        <v/>
      </c>
      <c r="M770" s="2">
        <f>IFERROR(XLOOKUP(A770,Raw_Alerts!$B:$B,Raw_Alerts!$C:$C),"")</f>
        <v/>
      </c>
      <c r="N770" s="2">
        <f>IFERROR(XLOOKUP(A770,Raw_Alerts!$B:$B,Raw_Alerts!$D:$D),"")</f>
        <v/>
      </c>
      <c r="O770" s="2">
        <f>IFERROR(XLOOKUP(A770,Raw_Alerts!$B:$B,Raw_Alerts!$F:$F),"")</f>
        <v/>
      </c>
      <c r="P770" s="2">
        <f>IF(H770="Not Found","CRITICAL: No Risk Profile",IF(I770="Missing","WARN: Missing KYC",IF(I770="Expired","WARN: KYC Expired",IF(I770="Pending","INFO: KYC Pending","OK"))))</f>
        <v/>
      </c>
    </row>
    <row r="771">
      <c r="A771" s="4">
        <f>Raw_Transactions!A771</f>
        <v/>
      </c>
      <c r="B771" s="4">
        <f>Raw_Transactions!B771</f>
        <v/>
      </c>
      <c r="C771" s="4">
        <f>Raw_Transactions!C771</f>
        <v/>
      </c>
      <c r="D771" s="5">
        <f>Raw_Transactions!D771</f>
        <v/>
      </c>
      <c r="E771" s="4">
        <f>Raw_Transactions!E771</f>
        <v/>
      </c>
      <c r="F771" s="4">
        <f>Raw_Transactions!F771</f>
        <v/>
      </c>
      <c r="G771" s="4">
        <f>Raw_Transactions!G771</f>
        <v/>
      </c>
      <c r="H771" s="4">
        <f>XLOOKUP(B771,Raw_Risk_Profiles!$A:$A,Raw_Risk_Profiles!$B:$B,"Not Found")</f>
        <v/>
      </c>
      <c r="I771" s="4">
        <f>XLOOKUP(B771,Raw_Risk_Profiles!$A:$A,Raw_Risk_Profiles!$C:$C,"Missing")</f>
        <v/>
      </c>
      <c r="J771" s="4">
        <f>XLOOKUP(B771,Raw_Risk_Profiles!$A:$A,Raw_Risk_Profiles!$D:$D,"")</f>
        <v/>
      </c>
      <c r="K771" s="4">
        <f>IFERROR(INDEX(Raw_Risk_Profiles!$E:$E,MATCH(B771,Raw_Risk_Profiles!$A:$A,0)),"Unknown")</f>
        <v/>
      </c>
      <c r="L771" s="4">
        <f>IFERROR(XLOOKUP(A771,Raw_Alerts!$B:$B,Raw_Alerts!$A:$A),"No Alert")</f>
        <v/>
      </c>
      <c r="M771" s="4">
        <f>IFERROR(XLOOKUP(A771,Raw_Alerts!$B:$B,Raw_Alerts!$C:$C),"")</f>
        <v/>
      </c>
      <c r="N771" s="4">
        <f>IFERROR(XLOOKUP(A771,Raw_Alerts!$B:$B,Raw_Alerts!$D:$D),"")</f>
        <v/>
      </c>
      <c r="O771" s="4">
        <f>IFERROR(XLOOKUP(A771,Raw_Alerts!$B:$B,Raw_Alerts!$F:$F),"")</f>
        <v/>
      </c>
      <c r="P771" s="4">
        <f>IF(H771="Not Found","CRITICAL: No Risk Profile",IF(I771="Missing","WARN: Missing KYC",IF(I771="Expired","WARN: KYC Expired",IF(I771="Pending","INFO: KYC Pending","OK"))))</f>
        <v/>
      </c>
    </row>
    <row r="772">
      <c r="A772" s="2">
        <f>Raw_Transactions!A772</f>
        <v/>
      </c>
      <c r="B772" s="2">
        <f>Raw_Transactions!B772</f>
        <v/>
      </c>
      <c r="C772" s="2">
        <f>Raw_Transactions!C772</f>
        <v/>
      </c>
      <c r="D772" s="3">
        <f>Raw_Transactions!D772</f>
        <v/>
      </c>
      <c r="E772" s="2">
        <f>Raw_Transactions!E772</f>
        <v/>
      </c>
      <c r="F772" s="2">
        <f>Raw_Transactions!F772</f>
        <v/>
      </c>
      <c r="G772" s="2">
        <f>Raw_Transactions!G772</f>
        <v/>
      </c>
      <c r="H772" s="2">
        <f>XLOOKUP(B772,Raw_Risk_Profiles!$A:$A,Raw_Risk_Profiles!$B:$B,"Not Found")</f>
        <v/>
      </c>
      <c r="I772" s="2">
        <f>XLOOKUP(B772,Raw_Risk_Profiles!$A:$A,Raw_Risk_Profiles!$C:$C,"Missing")</f>
        <v/>
      </c>
      <c r="J772" s="2">
        <f>XLOOKUP(B772,Raw_Risk_Profiles!$A:$A,Raw_Risk_Profiles!$D:$D,"")</f>
        <v/>
      </c>
      <c r="K772" s="2">
        <f>IFERROR(INDEX(Raw_Risk_Profiles!$E:$E,MATCH(B772,Raw_Risk_Profiles!$A:$A,0)),"Unknown")</f>
        <v/>
      </c>
      <c r="L772" s="2">
        <f>IFERROR(XLOOKUP(A772,Raw_Alerts!$B:$B,Raw_Alerts!$A:$A),"No Alert")</f>
        <v/>
      </c>
      <c r="M772" s="2">
        <f>IFERROR(XLOOKUP(A772,Raw_Alerts!$B:$B,Raw_Alerts!$C:$C),"")</f>
        <v/>
      </c>
      <c r="N772" s="2">
        <f>IFERROR(XLOOKUP(A772,Raw_Alerts!$B:$B,Raw_Alerts!$D:$D),"")</f>
        <v/>
      </c>
      <c r="O772" s="2">
        <f>IFERROR(XLOOKUP(A772,Raw_Alerts!$B:$B,Raw_Alerts!$F:$F),"")</f>
        <v/>
      </c>
      <c r="P772" s="2">
        <f>IF(H772="Not Found","CRITICAL: No Risk Profile",IF(I772="Missing","WARN: Missing KYC",IF(I772="Expired","WARN: KYC Expired",IF(I772="Pending","INFO: KYC Pending","OK"))))</f>
        <v/>
      </c>
    </row>
    <row r="773">
      <c r="A773" s="4">
        <f>Raw_Transactions!A773</f>
        <v/>
      </c>
      <c r="B773" s="4">
        <f>Raw_Transactions!B773</f>
        <v/>
      </c>
      <c r="C773" s="4">
        <f>Raw_Transactions!C773</f>
        <v/>
      </c>
      <c r="D773" s="5">
        <f>Raw_Transactions!D773</f>
        <v/>
      </c>
      <c r="E773" s="4">
        <f>Raw_Transactions!E773</f>
        <v/>
      </c>
      <c r="F773" s="4">
        <f>Raw_Transactions!F773</f>
        <v/>
      </c>
      <c r="G773" s="4">
        <f>Raw_Transactions!G773</f>
        <v/>
      </c>
      <c r="H773" s="4">
        <f>XLOOKUP(B773,Raw_Risk_Profiles!$A:$A,Raw_Risk_Profiles!$B:$B,"Not Found")</f>
        <v/>
      </c>
      <c r="I773" s="4">
        <f>XLOOKUP(B773,Raw_Risk_Profiles!$A:$A,Raw_Risk_Profiles!$C:$C,"Missing")</f>
        <v/>
      </c>
      <c r="J773" s="4">
        <f>XLOOKUP(B773,Raw_Risk_Profiles!$A:$A,Raw_Risk_Profiles!$D:$D,"")</f>
        <v/>
      </c>
      <c r="K773" s="4">
        <f>IFERROR(INDEX(Raw_Risk_Profiles!$E:$E,MATCH(B773,Raw_Risk_Profiles!$A:$A,0)),"Unknown")</f>
        <v/>
      </c>
      <c r="L773" s="4">
        <f>IFERROR(XLOOKUP(A773,Raw_Alerts!$B:$B,Raw_Alerts!$A:$A),"No Alert")</f>
        <v/>
      </c>
      <c r="M773" s="4">
        <f>IFERROR(XLOOKUP(A773,Raw_Alerts!$B:$B,Raw_Alerts!$C:$C),"")</f>
        <v/>
      </c>
      <c r="N773" s="4">
        <f>IFERROR(XLOOKUP(A773,Raw_Alerts!$B:$B,Raw_Alerts!$D:$D),"")</f>
        <v/>
      </c>
      <c r="O773" s="4">
        <f>IFERROR(XLOOKUP(A773,Raw_Alerts!$B:$B,Raw_Alerts!$F:$F),"")</f>
        <v/>
      </c>
      <c r="P773" s="4">
        <f>IF(H773="Not Found","CRITICAL: No Risk Profile",IF(I773="Missing","WARN: Missing KYC",IF(I773="Expired","WARN: KYC Expired",IF(I773="Pending","INFO: KYC Pending","OK"))))</f>
        <v/>
      </c>
    </row>
    <row r="774">
      <c r="A774" s="2">
        <f>Raw_Transactions!A774</f>
        <v/>
      </c>
      <c r="B774" s="2">
        <f>Raw_Transactions!B774</f>
        <v/>
      </c>
      <c r="C774" s="2">
        <f>Raw_Transactions!C774</f>
        <v/>
      </c>
      <c r="D774" s="3">
        <f>Raw_Transactions!D774</f>
        <v/>
      </c>
      <c r="E774" s="2">
        <f>Raw_Transactions!E774</f>
        <v/>
      </c>
      <c r="F774" s="2">
        <f>Raw_Transactions!F774</f>
        <v/>
      </c>
      <c r="G774" s="2">
        <f>Raw_Transactions!G774</f>
        <v/>
      </c>
      <c r="H774" s="2">
        <f>XLOOKUP(B774,Raw_Risk_Profiles!$A:$A,Raw_Risk_Profiles!$B:$B,"Not Found")</f>
        <v/>
      </c>
      <c r="I774" s="2">
        <f>XLOOKUP(B774,Raw_Risk_Profiles!$A:$A,Raw_Risk_Profiles!$C:$C,"Missing")</f>
        <v/>
      </c>
      <c r="J774" s="2">
        <f>XLOOKUP(B774,Raw_Risk_Profiles!$A:$A,Raw_Risk_Profiles!$D:$D,"")</f>
        <v/>
      </c>
      <c r="K774" s="2">
        <f>IFERROR(INDEX(Raw_Risk_Profiles!$E:$E,MATCH(B774,Raw_Risk_Profiles!$A:$A,0)),"Unknown")</f>
        <v/>
      </c>
      <c r="L774" s="2">
        <f>IFERROR(XLOOKUP(A774,Raw_Alerts!$B:$B,Raw_Alerts!$A:$A),"No Alert")</f>
        <v/>
      </c>
      <c r="M774" s="2">
        <f>IFERROR(XLOOKUP(A774,Raw_Alerts!$B:$B,Raw_Alerts!$C:$C),"")</f>
        <v/>
      </c>
      <c r="N774" s="2">
        <f>IFERROR(XLOOKUP(A774,Raw_Alerts!$B:$B,Raw_Alerts!$D:$D),"")</f>
        <v/>
      </c>
      <c r="O774" s="2">
        <f>IFERROR(XLOOKUP(A774,Raw_Alerts!$B:$B,Raw_Alerts!$F:$F),"")</f>
        <v/>
      </c>
      <c r="P774" s="2">
        <f>IF(H774="Not Found","CRITICAL: No Risk Profile",IF(I774="Missing","WARN: Missing KYC",IF(I774="Expired","WARN: KYC Expired",IF(I774="Pending","INFO: KYC Pending","OK"))))</f>
        <v/>
      </c>
    </row>
    <row r="775">
      <c r="A775" s="4">
        <f>Raw_Transactions!A775</f>
        <v/>
      </c>
      <c r="B775" s="4">
        <f>Raw_Transactions!B775</f>
        <v/>
      </c>
      <c r="C775" s="4">
        <f>Raw_Transactions!C775</f>
        <v/>
      </c>
      <c r="D775" s="5">
        <f>Raw_Transactions!D775</f>
        <v/>
      </c>
      <c r="E775" s="4">
        <f>Raw_Transactions!E775</f>
        <v/>
      </c>
      <c r="F775" s="4">
        <f>Raw_Transactions!F775</f>
        <v/>
      </c>
      <c r="G775" s="4">
        <f>Raw_Transactions!G775</f>
        <v/>
      </c>
      <c r="H775" s="4">
        <f>XLOOKUP(B775,Raw_Risk_Profiles!$A:$A,Raw_Risk_Profiles!$B:$B,"Not Found")</f>
        <v/>
      </c>
      <c r="I775" s="4">
        <f>XLOOKUP(B775,Raw_Risk_Profiles!$A:$A,Raw_Risk_Profiles!$C:$C,"Missing")</f>
        <v/>
      </c>
      <c r="J775" s="4">
        <f>XLOOKUP(B775,Raw_Risk_Profiles!$A:$A,Raw_Risk_Profiles!$D:$D,"")</f>
        <v/>
      </c>
      <c r="K775" s="4">
        <f>IFERROR(INDEX(Raw_Risk_Profiles!$E:$E,MATCH(B775,Raw_Risk_Profiles!$A:$A,0)),"Unknown")</f>
        <v/>
      </c>
      <c r="L775" s="4">
        <f>IFERROR(XLOOKUP(A775,Raw_Alerts!$B:$B,Raw_Alerts!$A:$A),"No Alert")</f>
        <v/>
      </c>
      <c r="M775" s="4">
        <f>IFERROR(XLOOKUP(A775,Raw_Alerts!$B:$B,Raw_Alerts!$C:$C),"")</f>
        <v/>
      </c>
      <c r="N775" s="4">
        <f>IFERROR(XLOOKUP(A775,Raw_Alerts!$B:$B,Raw_Alerts!$D:$D),"")</f>
        <v/>
      </c>
      <c r="O775" s="4">
        <f>IFERROR(XLOOKUP(A775,Raw_Alerts!$B:$B,Raw_Alerts!$F:$F),"")</f>
        <v/>
      </c>
      <c r="P775" s="4">
        <f>IF(H775="Not Found","CRITICAL: No Risk Profile",IF(I775="Missing","WARN: Missing KYC",IF(I775="Expired","WARN: KYC Expired",IF(I775="Pending","INFO: KYC Pending","OK"))))</f>
        <v/>
      </c>
    </row>
    <row r="776">
      <c r="A776" s="2">
        <f>Raw_Transactions!A776</f>
        <v/>
      </c>
      <c r="B776" s="2">
        <f>Raw_Transactions!B776</f>
        <v/>
      </c>
      <c r="C776" s="2">
        <f>Raw_Transactions!C776</f>
        <v/>
      </c>
      <c r="D776" s="3">
        <f>Raw_Transactions!D776</f>
        <v/>
      </c>
      <c r="E776" s="2">
        <f>Raw_Transactions!E776</f>
        <v/>
      </c>
      <c r="F776" s="2">
        <f>Raw_Transactions!F776</f>
        <v/>
      </c>
      <c r="G776" s="2">
        <f>Raw_Transactions!G776</f>
        <v/>
      </c>
      <c r="H776" s="2">
        <f>XLOOKUP(B776,Raw_Risk_Profiles!$A:$A,Raw_Risk_Profiles!$B:$B,"Not Found")</f>
        <v/>
      </c>
      <c r="I776" s="2">
        <f>XLOOKUP(B776,Raw_Risk_Profiles!$A:$A,Raw_Risk_Profiles!$C:$C,"Missing")</f>
        <v/>
      </c>
      <c r="J776" s="2">
        <f>XLOOKUP(B776,Raw_Risk_Profiles!$A:$A,Raw_Risk_Profiles!$D:$D,"")</f>
        <v/>
      </c>
      <c r="K776" s="2">
        <f>IFERROR(INDEX(Raw_Risk_Profiles!$E:$E,MATCH(B776,Raw_Risk_Profiles!$A:$A,0)),"Unknown")</f>
        <v/>
      </c>
      <c r="L776" s="2">
        <f>IFERROR(XLOOKUP(A776,Raw_Alerts!$B:$B,Raw_Alerts!$A:$A),"No Alert")</f>
        <v/>
      </c>
      <c r="M776" s="2">
        <f>IFERROR(XLOOKUP(A776,Raw_Alerts!$B:$B,Raw_Alerts!$C:$C),"")</f>
        <v/>
      </c>
      <c r="N776" s="2">
        <f>IFERROR(XLOOKUP(A776,Raw_Alerts!$B:$B,Raw_Alerts!$D:$D),"")</f>
        <v/>
      </c>
      <c r="O776" s="2">
        <f>IFERROR(XLOOKUP(A776,Raw_Alerts!$B:$B,Raw_Alerts!$F:$F),"")</f>
        <v/>
      </c>
      <c r="P776" s="2">
        <f>IF(H776="Not Found","CRITICAL: No Risk Profile",IF(I776="Missing","WARN: Missing KYC",IF(I776="Expired","WARN: KYC Expired",IF(I776="Pending","INFO: KYC Pending","OK"))))</f>
        <v/>
      </c>
    </row>
    <row r="777">
      <c r="A777" s="4">
        <f>Raw_Transactions!A777</f>
        <v/>
      </c>
      <c r="B777" s="4">
        <f>Raw_Transactions!B777</f>
        <v/>
      </c>
      <c r="C777" s="4">
        <f>Raw_Transactions!C777</f>
        <v/>
      </c>
      <c r="D777" s="5">
        <f>Raw_Transactions!D777</f>
        <v/>
      </c>
      <c r="E777" s="4">
        <f>Raw_Transactions!E777</f>
        <v/>
      </c>
      <c r="F777" s="4">
        <f>Raw_Transactions!F777</f>
        <v/>
      </c>
      <c r="G777" s="4">
        <f>Raw_Transactions!G777</f>
        <v/>
      </c>
      <c r="H777" s="4">
        <f>XLOOKUP(B777,Raw_Risk_Profiles!$A:$A,Raw_Risk_Profiles!$B:$B,"Not Found")</f>
        <v/>
      </c>
      <c r="I777" s="4">
        <f>XLOOKUP(B777,Raw_Risk_Profiles!$A:$A,Raw_Risk_Profiles!$C:$C,"Missing")</f>
        <v/>
      </c>
      <c r="J777" s="4">
        <f>XLOOKUP(B777,Raw_Risk_Profiles!$A:$A,Raw_Risk_Profiles!$D:$D,"")</f>
        <v/>
      </c>
      <c r="K777" s="4">
        <f>IFERROR(INDEX(Raw_Risk_Profiles!$E:$E,MATCH(B777,Raw_Risk_Profiles!$A:$A,0)),"Unknown")</f>
        <v/>
      </c>
      <c r="L777" s="4">
        <f>IFERROR(XLOOKUP(A777,Raw_Alerts!$B:$B,Raw_Alerts!$A:$A),"No Alert")</f>
        <v/>
      </c>
      <c r="M777" s="4">
        <f>IFERROR(XLOOKUP(A777,Raw_Alerts!$B:$B,Raw_Alerts!$C:$C),"")</f>
        <v/>
      </c>
      <c r="N777" s="4">
        <f>IFERROR(XLOOKUP(A777,Raw_Alerts!$B:$B,Raw_Alerts!$D:$D),"")</f>
        <v/>
      </c>
      <c r="O777" s="4">
        <f>IFERROR(XLOOKUP(A777,Raw_Alerts!$B:$B,Raw_Alerts!$F:$F),"")</f>
        <v/>
      </c>
      <c r="P777" s="4">
        <f>IF(H777="Not Found","CRITICAL: No Risk Profile",IF(I777="Missing","WARN: Missing KYC",IF(I777="Expired","WARN: KYC Expired",IF(I777="Pending","INFO: KYC Pending","OK"))))</f>
        <v/>
      </c>
    </row>
    <row r="778">
      <c r="A778" s="2">
        <f>Raw_Transactions!A778</f>
        <v/>
      </c>
      <c r="B778" s="2">
        <f>Raw_Transactions!B778</f>
        <v/>
      </c>
      <c r="C778" s="2">
        <f>Raw_Transactions!C778</f>
        <v/>
      </c>
      <c r="D778" s="3">
        <f>Raw_Transactions!D778</f>
        <v/>
      </c>
      <c r="E778" s="2">
        <f>Raw_Transactions!E778</f>
        <v/>
      </c>
      <c r="F778" s="2">
        <f>Raw_Transactions!F778</f>
        <v/>
      </c>
      <c r="G778" s="2">
        <f>Raw_Transactions!G778</f>
        <v/>
      </c>
      <c r="H778" s="2">
        <f>XLOOKUP(B778,Raw_Risk_Profiles!$A:$A,Raw_Risk_Profiles!$B:$B,"Not Found")</f>
        <v/>
      </c>
      <c r="I778" s="2">
        <f>XLOOKUP(B778,Raw_Risk_Profiles!$A:$A,Raw_Risk_Profiles!$C:$C,"Missing")</f>
        <v/>
      </c>
      <c r="J778" s="2">
        <f>XLOOKUP(B778,Raw_Risk_Profiles!$A:$A,Raw_Risk_Profiles!$D:$D,"")</f>
        <v/>
      </c>
      <c r="K778" s="2">
        <f>IFERROR(INDEX(Raw_Risk_Profiles!$E:$E,MATCH(B778,Raw_Risk_Profiles!$A:$A,0)),"Unknown")</f>
        <v/>
      </c>
      <c r="L778" s="2">
        <f>IFERROR(XLOOKUP(A778,Raw_Alerts!$B:$B,Raw_Alerts!$A:$A),"No Alert")</f>
        <v/>
      </c>
      <c r="M778" s="2">
        <f>IFERROR(XLOOKUP(A778,Raw_Alerts!$B:$B,Raw_Alerts!$C:$C),"")</f>
        <v/>
      </c>
      <c r="N778" s="2">
        <f>IFERROR(XLOOKUP(A778,Raw_Alerts!$B:$B,Raw_Alerts!$D:$D),"")</f>
        <v/>
      </c>
      <c r="O778" s="2">
        <f>IFERROR(XLOOKUP(A778,Raw_Alerts!$B:$B,Raw_Alerts!$F:$F),"")</f>
        <v/>
      </c>
      <c r="P778" s="2">
        <f>IF(H778="Not Found","CRITICAL: No Risk Profile",IF(I778="Missing","WARN: Missing KYC",IF(I778="Expired","WARN: KYC Expired",IF(I778="Pending","INFO: KYC Pending","OK"))))</f>
        <v/>
      </c>
    </row>
    <row r="779">
      <c r="A779" s="4">
        <f>Raw_Transactions!A779</f>
        <v/>
      </c>
      <c r="B779" s="4">
        <f>Raw_Transactions!B779</f>
        <v/>
      </c>
      <c r="C779" s="4">
        <f>Raw_Transactions!C779</f>
        <v/>
      </c>
      <c r="D779" s="5">
        <f>Raw_Transactions!D779</f>
        <v/>
      </c>
      <c r="E779" s="4">
        <f>Raw_Transactions!E779</f>
        <v/>
      </c>
      <c r="F779" s="4">
        <f>Raw_Transactions!F779</f>
        <v/>
      </c>
      <c r="G779" s="4">
        <f>Raw_Transactions!G779</f>
        <v/>
      </c>
      <c r="H779" s="4">
        <f>XLOOKUP(B779,Raw_Risk_Profiles!$A:$A,Raw_Risk_Profiles!$B:$B,"Not Found")</f>
        <v/>
      </c>
      <c r="I779" s="4">
        <f>XLOOKUP(B779,Raw_Risk_Profiles!$A:$A,Raw_Risk_Profiles!$C:$C,"Missing")</f>
        <v/>
      </c>
      <c r="J779" s="4">
        <f>XLOOKUP(B779,Raw_Risk_Profiles!$A:$A,Raw_Risk_Profiles!$D:$D,"")</f>
        <v/>
      </c>
      <c r="K779" s="4">
        <f>IFERROR(INDEX(Raw_Risk_Profiles!$E:$E,MATCH(B779,Raw_Risk_Profiles!$A:$A,0)),"Unknown")</f>
        <v/>
      </c>
      <c r="L779" s="4">
        <f>IFERROR(XLOOKUP(A779,Raw_Alerts!$B:$B,Raw_Alerts!$A:$A),"No Alert")</f>
        <v/>
      </c>
      <c r="M779" s="4">
        <f>IFERROR(XLOOKUP(A779,Raw_Alerts!$B:$B,Raw_Alerts!$C:$C),"")</f>
        <v/>
      </c>
      <c r="N779" s="4">
        <f>IFERROR(XLOOKUP(A779,Raw_Alerts!$B:$B,Raw_Alerts!$D:$D),"")</f>
        <v/>
      </c>
      <c r="O779" s="4">
        <f>IFERROR(XLOOKUP(A779,Raw_Alerts!$B:$B,Raw_Alerts!$F:$F),"")</f>
        <v/>
      </c>
      <c r="P779" s="4">
        <f>IF(H779="Not Found","CRITICAL: No Risk Profile",IF(I779="Missing","WARN: Missing KYC",IF(I779="Expired","WARN: KYC Expired",IF(I779="Pending","INFO: KYC Pending","OK"))))</f>
        <v/>
      </c>
    </row>
    <row r="780">
      <c r="A780" s="2">
        <f>Raw_Transactions!A780</f>
        <v/>
      </c>
      <c r="B780" s="2">
        <f>Raw_Transactions!B780</f>
        <v/>
      </c>
      <c r="C780" s="2">
        <f>Raw_Transactions!C780</f>
        <v/>
      </c>
      <c r="D780" s="3">
        <f>Raw_Transactions!D780</f>
        <v/>
      </c>
      <c r="E780" s="2">
        <f>Raw_Transactions!E780</f>
        <v/>
      </c>
      <c r="F780" s="2">
        <f>Raw_Transactions!F780</f>
        <v/>
      </c>
      <c r="G780" s="2">
        <f>Raw_Transactions!G780</f>
        <v/>
      </c>
      <c r="H780" s="2">
        <f>XLOOKUP(B780,Raw_Risk_Profiles!$A:$A,Raw_Risk_Profiles!$B:$B,"Not Found")</f>
        <v/>
      </c>
      <c r="I780" s="2">
        <f>XLOOKUP(B780,Raw_Risk_Profiles!$A:$A,Raw_Risk_Profiles!$C:$C,"Missing")</f>
        <v/>
      </c>
      <c r="J780" s="2">
        <f>XLOOKUP(B780,Raw_Risk_Profiles!$A:$A,Raw_Risk_Profiles!$D:$D,"")</f>
        <v/>
      </c>
      <c r="K780" s="2">
        <f>IFERROR(INDEX(Raw_Risk_Profiles!$E:$E,MATCH(B780,Raw_Risk_Profiles!$A:$A,0)),"Unknown")</f>
        <v/>
      </c>
      <c r="L780" s="2">
        <f>IFERROR(XLOOKUP(A780,Raw_Alerts!$B:$B,Raw_Alerts!$A:$A),"No Alert")</f>
        <v/>
      </c>
      <c r="M780" s="2">
        <f>IFERROR(XLOOKUP(A780,Raw_Alerts!$B:$B,Raw_Alerts!$C:$C),"")</f>
        <v/>
      </c>
      <c r="N780" s="2">
        <f>IFERROR(XLOOKUP(A780,Raw_Alerts!$B:$B,Raw_Alerts!$D:$D),"")</f>
        <v/>
      </c>
      <c r="O780" s="2">
        <f>IFERROR(XLOOKUP(A780,Raw_Alerts!$B:$B,Raw_Alerts!$F:$F),"")</f>
        <v/>
      </c>
      <c r="P780" s="2">
        <f>IF(H780="Not Found","CRITICAL: No Risk Profile",IF(I780="Missing","WARN: Missing KYC",IF(I780="Expired","WARN: KYC Expired",IF(I780="Pending","INFO: KYC Pending","OK"))))</f>
        <v/>
      </c>
    </row>
    <row r="781">
      <c r="A781" s="4">
        <f>Raw_Transactions!A781</f>
        <v/>
      </c>
      <c r="B781" s="4">
        <f>Raw_Transactions!B781</f>
        <v/>
      </c>
      <c r="C781" s="4">
        <f>Raw_Transactions!C781</f>
        <v/>
      </c>
      <c r="D781" s="5">
        <f>Raw_Transactions!D781</f>
        <v/>
      </c>
      <c r="E781" s="4">
        <f>Raw_Transactions!E781</f>
        <v/>
      </c>
      <c r="F781" s="4">
        <f>Raw_Transactions!F781</f>
        <v/>
      </c>
      <c r="G781" s="4">
        <f>Raw_Transactions!G781</f>
        <v/>
      </c>
      <c r="H781" s="4">
        <f>XLOOKUP(B781,Raw_Risk_Profiles!$A:$A,Raw_Risk_Profiles!$B:$B,"Not Found")</f>
        <v/>
      </c>
      <c r="I781" s="4">
        <f>XLOOKUP(B781,Raw_Risk_Profiles!$A:$A,Raw_Risk_Profiles!$C:$C,"Missing")</f>
        <v/>
      </c>
      <c r="J781" s="4">
        <f>XLOOKUP(B781,Raw_Risk_Profiles!$A:$A,Raw_Risk_Profiles!$D:$D,"")</f>
        <v/>
      </c>
      <c r="K781" s="4">
        <f>IFERROR(INDEX(Raw_Risk_Profiles!$E:$E,MATCH(B781,Raw_Risk_Profiles!$A:$A,0)),"Unknown")</f>
        <v/>
      </c>
      <c r="L781" s="4">
        <f>IFERROR(XLOOKUP(A781,Raw_Alerts!$B:$B,Raw_Alerts!$A:$A),"No Alert")</f>
        <v/>
      </c>
      <c r="M781" s="4">
        <f>IFERROR(XLOOKUP(A781,Raw_Alerts!$B:$B,Raw_Alerts!$C:$C),"")</f>
        <v/>
      </c>
      <c r="N781" s="4">
        <f>IFERROR(XLOOKUP(A781,Raw_Alerts!$B:$B,Raw_Alerts!$D:$D),"")</f>
        <v/>
      </c>
      <c r="O781" s="4">
        <f>IFERROR(XLOOKUP(A781,Raw_Alerts!$B:$B,Raw_Alerts!$F:$F),"")</f>
        <v/>
      </c>
      <c r="P781" s="4">
        <f>IF(H781="Not Found","CRITICAL: No Risk Profile",IF(I781="Missing","WARN: Missing KYC",IF(I781="Expired","WARN: KYC Expired",IF(I781="Pending","INFO: KYC Pending","OK"))))</f>
        <v/>
      </c>
    </row>
    <row r="782">
      <c r="A782" s="2">
        <f>Raw_Transactions!A782</f>
        <v/>
      </c>
      <c r="B782" s="2">
        <f>Raw_Transactions!B782</f>
        <v/>
      </c>
      <c r="C782" s="2">
        <f>Raw_Transactions!C782</f>
        <v/>
      </c>
      <c r="D782" s="3">
        <f>Raw_Transactions!D782</f>
        <v/>
      </c>
      <c r="E782" s="2">
        <f>Raw_Transactions!E782</f>
        <v/>
      </c>
      <c r="F782" s="2">
        <f>Raw_Transactions!F782</f>
        <v/>
      </c>
      <c r="G782" s="2">
        <f>Raw_Transactions!G782</f>
        <v/>
      </c>
      <c r="H782" s="2">
        <f>XLOOKUP(B782,Raw_Risk_Profiles!$A:$A,Raw_Risk_Profiles!$B:$B,"Not Found")</f>
        <v/>
      </c>
      <c r="I782" s="2">
        <f>XLOOKUP(B782,Raw_Risk_Profiles!$A:$A,Raw_Risk_Profiles!$C:$C,"Missing")</f>
        <v/>
      </c>
      <c r="J782" s="2">
        <f>XLOOKUP(B782,Raw_Risk_Profiles!$A:$A,Raw_Risk_Profiles!$D:$D,"")</f>
        <v/>
      </c>
      <c r="K782" s="2">
        <f>IFERROR(INDEX(Raw_Risk_Profiles!$E:$E,MATCH(B782,Raw_Risk_Profiles!$A:$A,0)),"Unknown")</f>
        <v/>
      </c>
      <c r="L782" s="2">
        <f>IFERROR(XLOOKUP(A782,Raw_Alerts!$B:$B,Raw_Alerts!$A:$A),"No Alert")</f>
        <v/>
      </c>
      <c r="M782" s="2">
        <f>IFERROR(XLOOKUP(A782,Raw_Alerts!$B:$B,Raw_Alerts!$C:$C),"")</f>
        <v/>
      </c>
      <c r="N782" s="2">
        <f>IFERROR(XLOOKUP(A782,Raw_Alerts!$B:$B,Raw_Alerts!$D:$D),"")</f>
        <v/>
      </c>
      <c r="O782" s="2">
        <f>IFERROR(XLOOKUP(A782,Raw_Alerts!$B:$B,Raw_Alerts!$F:$F),"")</f>
        <v/>
      </c>
      <c r="P782" s="2">
        <f>IF(H782="Not Found","CRITICAL: No Risk Profile",IF(I782="Missing","WARN: Missing KYC",IF(I782="Expired","WARN: KYC Expired",IF(I782="Pending","INFO: KYC Pending","OK"))))</f>
        <v/>
      </c>
    </row>
    <row r="783">
      <c r="A783" s="4">
        <f>Raw_Transactions!A783</f>
        <v/>
      </c>
      <c r="B783" s="4">
        <f>Raw_Transactions!B783</f>
        <v/>
      </c>
      <c r="C783" s="4">
        <f>Raw_Transactions!C783</f>
        <v/>
      </c>
      <c r="D783" s="5">
        <f>Raw_Transactions!D783</f>
        <v/>
      </c>
      <c r="E783" s="4">
        <f>Raw_Transactions!E783</f>
        <v/>
      </c>
      <c r="F783" s="4">
        <f>Raw_Transactions!F783</f>
        <v/>
      </c>
      <c r="G783" s="4">
        <f>Raw_Transactions!G783</f>
        <v/>
      </c>
      <c r="H783" s="4">
        <f>XLOOKUP(B783,Raw_Risk_Profiles!$A:$A,Raw_Risk_Profiles!$B:$B,"Not Found")</f>
        <v/>
      </c>
      <c r="I783" s="4">
        <f>XLOOKUP(B783,Raw_Risk_Profiles!$A:$A,Raw_Risk_Profiles!$C:$C,"Missing")</f>
        <v/>
      </c>
      <c r="J783" s="4">
        <f>XLOOKUP(B783,Raw_Risk_Profiles!$A:$A,Raw_Risk_Profiles!$D:$D,"")</f>
        <v/>
      </c>
      <c r="K783" s="4">
        <f>IFERROR(INDEX(Raw_Risk_Profiles!$E:$E,MATCH(B783,Raw_Risk_Profiles!$A:$A,0)),"Unknown")</f>
        <v/>
      </c>
      <c r="L783" s="4">
        <f>IFERROR(XLOOKUP(A783,Raw_Alerts!$B:$B,Raw_Alerts!$A:$A),"No Alert")</f>
        <v/>
      </c>
      <c r="M783" s="4">
        <f>IFERROR(XLOOKUP(A783,Raw_Alerts!$B:$B,Raw_Alerts!$C:$C),"")</f>
        <v/>
      </c>
      <c r="N783" s="4">
        <f>IFERROR(XLOOKUP(A783,Raw_Alerts!$B:$B,Raw_Alerts!$D:$D),"")</f>
        <v/>
      </c>
      <c r="O783" s="4">
        <f>IFERROR(XLOOKUP(A783,Raw_Alerts!$B:$B,Raw_Alerts!$F:$F),"")</f>
        <v/>
      </c>
      <c r="P783" s="4">
        <f>IF(H783="Not Found","CRITICAL: No Risk Profile",IF(I783="Missing","WARN: Missing KYC",IF(I783="Expired","WARN: KYC Expired",IF(I783="Pending","INFO: KYC Pending","OK"))))</f>
        <v/>
      </c>
    </row>
    <row r="784">
      <c r="A784" s="2">
        <f>Raw_Transactions!A784</f>
        <v/>
      </c>
      <c r="B784" s="2">
        <f>Raw_Transactions!B784</f>
        <v/>
      </c>
      <c r="C784" s="2">
        <f>Raw_Transactions!C784</f>
        <v/>
      </c>
      <c r="D784" s="3">
        <f>Raw_Transactions!D784</f>
        <v/>
      </c>
      <c r="E784" s="2">
        <f>Raw_Transactions!E784</f>
        <v/>
      </c>
      <c r="F784" s="2">
        <f>Raw_Transactions!F784</f>
        <v/>
      </c>
      <c r="G784" s="2">
        <f>Raw_Transactions!G784</f>
        <v/>
      </c>
      <c r="H784" s="2">
        <f>XLOOKUP(B784,Raw_Risk_Profiles!$A:$A,Raw_Risk_Profiles!$B:$B,"Not Found")</f>
        <v/>
      </c>
      <c r="I784" s="2">
        <f>XLOOKUP(B784,Raw_Risk_Profiles!$A:$A,Raw_Risk_Profiles!$C:$C,"Missing")</f>
        <v/>
      </c>
      <c r="J784" s="2">
        <f>XLOOKUP(B784,Raw_Risk_Profiles!$A:$A,Raw_Risk_Profiles!$D:$D,"")</f>
        <v/>
      </c>
      <c r="K784" s="2">
        <f>IFERROR(INDEX(Raw_Risk_Profiles!$E:$E,MATCH(B784,Raw_Risk_Profiles!$A:$A,0)),"Unknown")</f>
        <v/>
      </c>
      <c r="L784" s="2">
        <f>IFERROR(XLOOKUP(A784,Raw_Alerts!$B:$B,Raw_Alerts!$A:$A),"No Alert")</f>
        <v/>
      </c>
      <c r="M784" s="2">
        <f>IFERROR(XLOOKUP(A784,Raw_Alerts!$B:$B,Raw_Alerts!$C:$C),"")</f>
        <v/>
      </c>
      <c r="N784" s="2">
        <f>IFERROR(XLOOKUP(A784,Raw_Alerts!$B:$B,Raw_Alerts!$D:$D),"")</f>
        <v/>
      </c>
      <c r="O784" s="2">
        <f>IFERROR(XLOOKUP(A784,Raw_Alerts!$B:$B,Raw_Alerts!$F:$F),"")</f>
        <v/>
      </c>
      <c r="P784" s="2">
        <f>IF(H784="Not Found","CRITICAL: No Risk Profile",IF(I784="Missing","WARN: Missing KYC",IF(I784="Expired","WARN: KYC Expired",IF(I784="Pending","INFO: KYC Pending","OK"))))</f>
        <v/>
      </c>
    </row>
    <row r="785">
      <c r="A785" s="4">
        <f>Raw_Transactions!A785</f>
        <v/>
      </c>
      <c r="B785" s="4">
        <f>Raw_Transactions!B785</f>
        <v/>
      </c>
      <c r="C785" s="4">
        <f>Raw_Transactions!C785</f>
        <v/>
      </c>
      <c r="D785" s="5">
        <f>Raw_Transactions!D785</f>
        <v/>
      </c>
      <c r="E785" s="4">
        <f>Raw_Transactions!E785</f>
        <v/>
      </c>
      <c r="F785" s="4">
        <f>Raw_Transactions!F785</f>
        <v/>
      </c>
      <c r="G785" s="4">
        <f>Raw_Transactions!G785</f>
        <v/>
      </c>
      <c r="H785" s="4">
        <f>XLOOKUP(B785,Raw_Risk_Profiles!$A:$A,Raw_Risk_Profiles!$B:$B,"Not Found")</f>
        <v/>
      </c>
      <c r="I785" s="4">
        <f>XLOOKUP(B785,Raw_Risk_Profiles!$A:$A,Raw_Risk_Profiles!$C:$C,"Missing")</f>
        <v/>
      </c>
      <c r="J785" s="4">
        <f>XLOOKUP(B785,Raw_Risk_Profiles!$A:$A,Raw_Risk_Profiles!$D:$D,"")</f>
        <v/>
      </c>
      <c r="K785" s="4">
        <f>IFERROR(INDEX(Raw_Risk_Profiles!$E:$E,MATCH(B785,Raw_Risk_Profiles!$A:$A,0)),"Unknown")</f>
        <v/>
      </c>
      <c r="L785" s="4">
        <f>IFERROR(XLOOKUP(A785,Raw_Alerts!$B:$B,Raw_Alerts!$A:$A),"No Alert")</f>
        <v/>
      </c>
      <c r="M785" s="4">
        <f>IFERROR(XLOOKUP(A785,Raw_Alerts!$B:$B,Raw_Alerts!$C:$C),"")</f>
        <v/>
      </c>
      <c r="N785" s="4">
        <f>IFERROR(XLOOKUP(A785,Raw_Alerts!$B:$B,Raw_Alerts!$D:$D),"")</f>
        <v/>
      </c>
      <c r="O785" s="4">
        <f>IFERROR(XLOOKUP(A785,Raw_Alerts!$B:$B,Raw_Alerts!$F:$F),"")</f>
        <v/>
      </c>
      <c r="P785" s="4">
        <f>IF(H785="Not Found","CRITICAL: No Risk Profile",IF(I785="Missing","WARN: Missing KYC",IF(I785="Expired","WARN: KYC Expired",IF(I785="Pending","INFO: KYC Pending","OK"))))</f>
        <v/>
      </c>
    </row>
    <row r="786">
      <c r="A786" s="2">
        <f>Raw_Transactions!A786</f>
        <v/>
      </c>
      <c r="B786" s="2">
        <f>Raw_Transactions!B786</f>
        <v/>
      </c>
      <c r="C786" s="2">
        <f>Raw_Transactions!C786</f>
        <v/>
      </c>
      <c r="D786" s="3">
        <f>Raw_Transactions!D786</f>
        <v/>
      </c>
      <c r="E786" s="2">
        <f>Raw_Transactions!E786</f>
        <v/>
      </c>
      <c r="F786" s="2">
        <f>Raw_Transactions!F786</f>
        <v/>
      </c>
      <c r="G786" s="2">
        <f>Raw_Transactions!G786</f>
        <v/>
      </c>
      <c r="H786" s="2">
        <f>XLOOKUP(B786,Raw_Risk_Profiles!$A:$A,Raw_Risk_Profiles!$B:$B,"Not Found")</f>
        <v/>
      </c>
      <c r="I786" s="2">
        <f>XLOOKUP(B786,Raw_Risk_Profiles!$A:$A,Raw_Risk_Profiles!$C:$C,"Missing")</f>
        <v/>
      </c>
      <c r="J786" s="2">
        <f>XLOOKUP(B786,Raw_Risk_Profiles!$A:$A,Raw_Risk_Profiles!$D:$D,"")</f>
        <v/>
      </c>
      <c r="K786" s="2">
        <f>IFERROR(INDEX(Raw_Risk_Profiles!$E:$E,MATCH(B786,Raw_Risk_Profiles!$A:$A,0)),"Unknown")</f>
        <v/>
      </c>
      <c r="L786" s="2">
        <f>IFERROR(XLOOKUP(A786,Raw_Alerts!$B:$B,Raw_Alerts!$A:$A),"No Alert")</f>
        <v/>
      </c>
      <c r="M786" s="2">
        <f>IFERROR(XLOOKUP(A786,Raw_Alerts!$B:$B,Raw_Alerts!$C:$C),"")</f>
        <v/>
      </c>
      <c r="N786" s="2">
        <f>IFERROR(XLOOKUP(A786,Raw_Alerts!$B:$B,Raw_Alerts!$D:$D),"")</f>
        <v/>
      </c>
      <c r="O786" s="2">
        <f>IFERROR(XLOOKUP(A786,Raw_Alerts!$B:$B,Raw_Alerts!$F:$F),"")</f>
        <v/>
      </c>
      <c r="P786" s="2">
        <f>IF(H786="Not Found","CRITICAL: No Risk Profile",IF(I786="Missing","WARN: Missing KYC",IF(I786="Expired","WARN: KYC Expired",IF(I786="Pending","INFO: KYC Pending","OK"))))</f>
        <v/>
      </c>
    </row>
    <row r="787">
      <c r="A787" s="4">
        <f>Raw_Transactions!A787</f>
        <v/>
      </c>
      <c r="B787" s="4">
        <f>Raw_Transactions!B787</f>
        <v/>
      </c>
      <c r="C787" s="4">
        <f>Raw_Transactions!C787</f>
        <v/>
      </c>
      <c r="D787" s="5">
        <f>Raw_Transactions!D787</f>
        <v/>
      </c>
      <c r="E787" s="4">
        <f>Raw_Transactions!E787</f>
        <v/>
      </c>
      <c r="F787" s="4">
        <f>Raw_Transactions!F787</f>
        <v/>
      </c>
      <c r="G787" s="4">
        <f>Raw_Transactions!G787</f>
        <v/>
      </c>
      <c r="H787" s="4">
        <f>XLOOKUP(B787,Raw_Risk_Profiles!$A:$A,Raw_Risk_Profiles!$B:$B,"Not Found")</f>
        <v/>
      </c>
      <c r="I787" s="4">
        <f>XLOOKUP(B787,Raw_Risk_Profiles!$A:$A,Raw_Risk_Profiles!$C:$C,"Missing")</f>
        <v/>
      </c>
      <c r="J787" s="4">
        <f>XLOOKUP(B787,Raw_Risk_Profiles!$A:$A,Raw_Risk_Profiles!$D:$D,"")</f>
        <v/>
      </c>
      <c r="K787" s="4">
        <f>IFERROR(INDEX(Raw_Risk_Profiles!$E:$E,MATCH(B787,Raw_Risk_Profiles!$A:$A,0)),"Unknown")</f>
        <v/>
      </c>
      <c r="L787" s="4">
        <f>IFERROR(XLOOKUP(A787,Raw_Alerts!$B:$B,Raw_Alerts!$A:$A),"No Alert")</f>
        <v/>
      </c>
      <c r="M787" s="4">
        <f>IFERROR(XLOOKUP(A787,Raw_Alerts!$B:$B,Raw_Alerts!$C:$C),"")</f>
        <v/>
      </c>
      <c r="N787" s="4">
        <f>IFERROR(XLOOKUP(A787,Raw_Alerts!$B:$B,Raw_Alerts!$D:$D),"")</f>
        <v/>
      </c>
      <c r="O787" s="4">
        <f>IFERROR(XLOOKUP(A787,Raw_Alerts!$B:$B,Raw_Alerts!$F:$F),"")</f>
        <v/>
      </c>
      <c r="P787" s="4">
        <f>IF(H787="Not Found","CRITICAL: No Risk Profile",IF(I787="Missing","WARN: Missing KYC",IF(I787="Expired","WARN: KYC Expired",IF(I787="Pending","INFO: KYC Pending","OK"))))</f>
        <v/>
      </c>
    </row>
    <row r="788">
      <c r="A788" s="2">
        <f>Raw_Transactions!A788</f>
        <v/>
      </c>
      <c r="B788" s="2">
        <f>Raw_Transactions!B788</f>
        <v/>
      </c>
      <c r="C788" s="2">
        <f>Raw_Transactions!C788</f>
        <v/>
      </c>
      <c r="D788" s="3">
        <f>Raw_Transactions!D788</f>
        <v/>
      </c>
      <c r="E788" s="2">
        <f>Raw_Transactions!E788</f>
        <v/>
      </c>
      <c r="F788" s="2">
        <f>Raw_Transactions!F788</f>
        <v/>
      </c>
      <c r="G788" s="2">
        <f>Raw_Transactions!G788</f>
        <v/>
      </c>
      <c r="H788" s="2">
        <f>XLOOKUP(B788,Raw_Risk_Profiles!$A:$A,Raw_Risk_Profiles!$B:$B,"Not Found")</f>
        <v/>
      </c>
      <c r="I788" s="2">
        <f>XLOOKUP(B788,Raw_Risk_Profiles!$A:$A,Raw_Risk_Profiles!$C:$C,"Missing")</f>
        <v/>
      </c>
      <c r="J788" s="2">
        <f>XLOOKUP(B788,Raw_Risk_Profiles!$A:$A,Raw_Risk_Profiles!$D:$D,"")</f>
        <v/>
      </c>
      <c r="K788" s="2">
        <f>IFERROR(INDEX(Raw_Risk_Profiles!$E:$E,MATCH(B788,Raw_Risk_Profiles!$A:$A,0)),"Unknown")</f>
        <v/>
      </c>
      <c r="L788" s="2">
        <f>IFERROR(XLOOKUP(A788,Raw_Alerts!$B:$B,Raw_Alerts!$A:$A),"No Alert")</f>
        <v/>
      </c>
      <c r="M788" s="2">
        <f>IFERROR(XLOOKUP(A788,Raw_Alerts!$B:$B,Raw_Alerts!$C:$C),"")</f>
        <v/>
      </c>
      <c r="N788" s="2">
        <f>IFERROR(XLOOKUP(A788,Raw_Alerts!$B:$B,Raw_Alerts!$D:$D),"")</f>
        <v/>
      </c>
      <c r="O788" s="2">
        <f>IFERROR(XLOOKUP(A788,Raw_Alerts!$B:$B,Raw_Alerts!$F:$F),"")</f>
        <v/>
      </c>
      <c r="P788" s="2">
        <f>IF(H788="Not Found","CRITICAL: No Risk Profile",IF(I788="Missing","WARN: Missing KYC",IF(I788="Expired","WARN: KYC Expired",IF(I788="Pending","INFO: KYC Pending","OK"))))</f>
        <v/>
      </c>
    </row>
    <row r="789">
      <c r="A789" s="4">
        <f>Raw_Transactions!A789</f>
        <v/>
      </c>
      <c r="B789" s="4">
        <f>Raw_Transactions!B789</f>
        <v/>
      </c>
      <c r="C789" s="4">
        <f>Raw_Transactions!C789</f>
        <v/>
      </c>
      <c r="D789" s="5">
        <f>Raw_Transactions!D789</f>
        <v/>
      </c>
      <c r="E789" s="4">
        <f>Raw_Transactions!E789</f>
        <v/>
      </c>
      <c r="F789" s="4">
        <f>Raw_Transactions!F789</f>
        <v/>
      </c>
      <c r="G789" s="4">
        <f>Raw_Transactions!G789</f>
        <v/>
      </c>
      <c r="H789" s="4">
        <f>XLOOKUP(B789,Raw_Risk_Profiles!$A:$A,Raw_Risk_Profiles!$B:$B,"Not Found")</f>
        <v/>
      </c>
      <c r="I789" s="4">
        <f>XLOOKUP(B789,Raw_Risk_Profiles!$A:$A,Raw_Risk_Profiles!$C:$C,"Missing")</f>
        <v/>
      </c>
      <c r="J789" s="4">
        <f>XLOOKUP(B789,Raw_Risk_Profiles!$A:$A,Raw_Risk_Profiles!$D:$D,"")</f>
        <v/>
      </c>
      <c r="K789" s="4">
        <f>IFERROR(INDEX(Raw_Risk_Profiles!$E:$E,MATCH(B789,Raw_Risk_Profiles!$A:$A,0)),"Unknown")</f>
        <v/>
      </c>
      <c r="L789" s="4">
        <f>IFERROR(XLOOKUP(A789,Raw_Alerts!$B:$B,Raw_Alerts!$A:$A),"No Alert")</f>
        <v/>
      </c>
      <c r="M789" s="4">
        <f>IFERROR(XLOOKUP(A789,Raw_Alerts!$B:$B,Raw_Alerts!$C:$C),"")</f>
        <v/>
      </c>
      <c r="N789" s="4">
        <f>IFERROR(XLOOKUP(A789,Raw_Alerts!$B:$B,Raw_Alerts!$D:$D),"")</f>
        <v/>
      </c>
      <c r="O789" s="4">
        <f>IFERROR(XLOOKUP(A789,Raw_Alerts!$B:$B,Raw_Alerts!$F:$F),"")</f>
        <v/>
      </c>
      <c r="P789" s="4">
        <f>IF(H789="Not Found","CRITICAL: No Risk Profile",IF(I789="Missing","WARN: Missing KYC",IF(I789="Expired","WARN: KYC Expired",IF(I789="Pending","INFO: KYC Pending","OK"))))</f>
        <v/>
      </c>
    </row>
    <row r="790">
      <c r="A790" s="2">
        <f>Raw_Transactions!A790</f>
        <v/>
      </c>
      <c r="B790" s="2">
        <f>Raw_Transactions!B790</f>
        <v/>
      </c>
      <c r="C790" s="2">
        <f>Raw_Transactions!C790</f>
        <v/>
      </c>
      <c r="D790" s="3">
        <f>Raw_Transactions!D790</f>
        <v/>
      </c>
      <c r="E790" s="2">
        <f>Raw_Transactions!E790</f>
        <v/>
      </c>
      <c r="F790" s="2">
        <f>Raw_Transactions!F790</f>
        <v/>
      </c>
      <c r="G790" s="2">
        <f>Raw_Transactions!G790</f>
        <v/>
      </c>
      <c r="H790" s="2">
        <f>XLOOKUP(B790,Raw_Risk_Profiles!$A:$A,Raw_Risk_Profiles!$B:$B,"Not Found")</f>
        <v/>
      </c>
      <c r="I790" s="2">
        <f>XLOOKUP(B790,Raw_Risk_Profiles!$A:$A,Raw_Risk_Profiles!$C:$C,"Missing")</f>
        <v/>
      </c>
      <c r="J790" s="2">
        <f>XLOOKUP(B790,Raw_Risk_Profiles!$A:$A,Raw_Risk_Profiles!$D:$D,"")</f>
        <v/>
      </c>
      <c r="K790" s="2">
        <f>IFERROR(INDEX(Raw_Risk_Profiles!$E:$E,MATCH(B790,Raw_Risk_Profiles!$A:$A,0)),"Unknown")</f>
        <v/>
      </c>
      <c r="L790" s="2">
        <f>IFERROR(XLOOKUP(A790,Raw_Alerts!$B:$B,Raw_Alerts!$A:$A),"No Alert")</f>
        <v/>
      </c>
      <c r="M790" s="2">
        <f>IFERROR(XLOOKUP(A790,Raw_Alerts!$B:$B,Raw_Alerts!$C:$C),"")</f>
        <v/>
      </c>
      <c r="N790" s="2">
        <f>IFERROR(XLOOKUP(A790,Raw_Alerts!$B:$B,Raw_Alerts!$D:$D),"")</f>
        <v/>
      </c>
      <c r="O790" s="2">
        <f>IFERROR(XLOOKUP(A790,Raw_Alerts!$B:$B,Raw_Alerts!$F:$F),"")</f>
        <v/>
      </c>
      <c r="P790" s="2">
        <f>IF(H790="Not Found","CRITICAL: No Risk Profile",IF(I790="Missing","WARN: Missing KYC",IF(I790="Expired","WARN: KYC Expired",IF(I790="Pending","INFO: KYC Pending","OK"))))</f>
        <v/>
      </c>
    </row>
    <row r="791">
      <c r="A791" s="4">
        <f>Raw_Transactions!A791</f>
        <v/>
      </c>
      <c r="B791" s="4">
        <f>Raw_Transactions!B791</f>
        <v/>
      </c>
      <c r="C791" s="4">
        <f>Raw_Transactions!C791</f>
        <v/>
      </c>
      <c r="D791" s="5">
        <f>Raw_Transactions!D791</f>
        <v/>
      </c>
      <c r="E791" s="4">
        <f>Raw_Transactions!E791</f>
        <v/>
      </c>
      <c r="F791" s="4">
        <f>Raw_Transactions!F791</f>
        <v/>
      </c>
      <c r="G791" s="4">
        <f>Raw_Transactions!G791</f>
        <v/>
      </c>
      <c r="H791" s="4">
        <f>XLOOKUP(B791,Raw_Risk_Profiles!$A:$A,Raw_Risk_Profiles!$B:$B,"Not Found")</f>
        <v/>
      </c>
      <c r="I791" s="4">
        <f>XLOOKUP(B791,Raw_Risk_Profiles!$A:$A,Raw_Risk_Profiles!$C:$C,"Missing")</f>
        <v/>
      </c>
      <c r="J791" s="4">
        <f>XLOOKUP(B791,Raw_Risk_Profiles!$A:$A,Raw_Risk_Profiles!$D:$D,"")</f>
        <v/>
      </c>
      <c r="K791" s="4">
        <f>IFERROR(INDEX(Raw_Risk_Profiles!$E:$E,MATCH(B791,Raw_Risk_Profiles!$A:$A,0)),"Unknown")</f>
        <v/>
      </c>
      <c r="L791" s="4">
        <f>IFERROR(XLOOKUP(A791,Raw_Alerts!$B:$B,Raw_Alerts!$A:$A),"No Alert")</f>
        <v/>
      </c>
      <c r="M791" s="4">
        <f>IFERROR(XLOOKUP(A791,Raw_Alerts!$B:$B,Raw_Alerts!$C:$C),"")</f>
        <v/>
      </c>
      <c r="N791" s="4">
        <f>IFERROR(XLOOKUP(A791,Raw_Alerts!$B:$B,Raw_Alerts!$D:$D),"")</f>
        <v/>
      </c>
      <c r="O791" s="4">
        <f>IFERROR(XLOOKUP(A791,Raw_Alerts!$B:$B,Raw_Alerts!$F:$F),"")</f>
        <v/>
      </c>
      <c r="P791" s="4">
        <f>IF(H791="Not Found","CRITICAL: No Risk Profile",IF(I791="Missing","WARN: Missing KYC",IF(I791="Expired","WARN: KYC Expired",IF(I791="Pending","INFO: KYC Pending","OK"))))</f>
        <v/>
      </c>
    </row>
    <row r="792">
      <c r="A792" s="2">
        <f>Raw_Transactions!A792</f>
        <v/>
      </c>
      <c r="B792" s="2">
        <f>Raw_Transactions!B792</f>
        <v/>
      </c>
      <c r="C792" s="2">
        <f>Raw_Transactions!C792</f>
        <v/>
      </c>
      <c r="D792" s="3">
        <f>Raw_Transactions!D792</f>
        <v/>
      </c>
      <c r="E792" s="2">
        <f>Raw_Transactions!E792</f>
        <v/>
      </c>
      <c r="F792" s="2">
        <f>Raw_Transactions!F792</f>
        <v/>
      </c>
      <c r="G792" s="2">
        <f>Raw_Transactions!G792</f>
        <v/>
      </c>
      <c r="H792" s="2">
        <f>XLOOKUP(B792,Raw_Risk_Profiles!$A:$A,Raw_Risk_Profiles!$B:$B,"Not Found")</f>
        <v/>
      </c>
      <c r="I792" s="2">
        <f>XLOOKUP(B792,Raw_Risk_Profiles!$A:$A,Raw_Risk_Profiles!$C:$C,"Missing")</f>
        <v/>
      </c>
      <c r="J792" s="2">
        <f>XLOOKUP(B792,Raw_Risk_Profiles!$A:$A,Raw_Risk_Profiles!$D:$D,"")</f>
        <v/>
      </c>
      <c r="K792" s="2">
        <f>IFERROR(INDEX(Raw_Risk_Profiles!$E:$E,MATCH(B792,Raw_Risk_Profiles!$A:$A,0)),"Unknown")</f>
        <v/>
      </c>
      <c r="L792" s="2">
        <f>IFERROR(XLOOKUP(A792,Raw_Alerts!$B:$B,Raw_Alerts!$A:$A),"No Alert")</f>
        <v/>
      </c>
      <c r="M792" s="2">
        <f>IFERROR(XLOOKUP(A792,Raw_Alerts!$B:$B,Raw_Alerts!$C:$C),"")</f>
        <v/>
      </c>
      <c r="N792" s="2">
        <f>IFERROR(XLOOKUP(A792,Raw_Alerts!$B:$B,Raw_Alerts!$D:$D),"")</f>
        <v/>
      </c>
      <c r="O792" s="2">
        <f>IFERROR(XLOOKUP(A792,Raw_Alerts!$B:$B,Raw_Alerts!$F:$F),"")</f>
        <v/>
      </c>
      <c r="P792" s="2">
        <f>IF(H792="Not Found","CRITICAL: No Risk Profile",IF(I792="Missing","WARN: Missing KYC",IF(I792="Expired","WARN: KYC Expired",IF(I792="Pending","INFO: KYC Pending","OK"))))</f>
        <v/>
      </c>
    </row>
    <row r="793">
      <c r="A793" s="4">
        <f>Raw_Transactions!A793</f>
        <v/>
      </c>
      <c r="B793" s="4">
        <f>Raw_Transactions!B793</f>
        <v/>
      </c>
      <c r="C793" s="4">
        <f>Raw_Transactions!C793</f>
        <v/>
      </c>
      <c r="D793" s="5">
        <f>Raw_Transactions!D793</f>
        <v/>
      </c>
      <c r="E793" s="4">
        <f>Raw_Transactions!E793</f>
        <v/>
      </c>
      <c r="F793" s="4">
        <f>Raw_Transactions!F793</f>
        <v/>
      </c>
      <c r="G793" s="4">
        <f>Raw_Transactions!G793</f>
        <v/>
      </c>
      <c r="H793" s="4">
        <f>XLOOKUP(B793,Raw_Risk_Profiles!$A:$A,Raw_Risk_Profiles!$B:$B,"Not Found")</f>
        <v/>
      </c>
      <c r="I793" s="4">
        <f>XLOOKUP(B793,Raw_Risk_Profiles!$A:$A,Raw_Risk_Profiles!$C:$C,"Missing")</f>
        <v/>
      </c>
      <c r="J793" s="4">
        <f>XLOOKUP(B793,Raw_Risk_Profiles!$A:$A,Raw_Risk_Profiles!$D:$D,"")</f>
        <v/>
      </c>
      <c r="K793" s="4">
        <f>IFERROR(INDEX(Raw_Risk_Profiles!$E:$E,MATCH(B793,Raw_Risk_Profiles!$A:$A,0)),"Unknown")</f>
        <v/>
      </c>
      <c r="L793" s="4">
        <f>IFERROR(XLOOKUP(A793,Raw_Alerts!$B:$B,Raw_Alerts!$A:$A),"No Alert")</f>
        <v/>
      </c>
      <c r="M793" s="4">
        <f>IFERROR(XLOOKUP(A793,Raw_Alerts!$B:$B,Raw_Alerts!$C:$C),"")</f>
        <v/>
      </c>
      <c r="N793" s="4">
        <f>IFERROR(XLOOKUP(A793,Raw_Alerts!$B:$B,Raw_Alerts!$D:$D),"")</f>
        <v/>
      </c>
      <c r="O793" s="4">
        <f>IFERROR(XLOOKUP(A793,Raw_Alerts!$B:$B,Raw_Alerts!$F:$F),"")</f>
        <v/>
      </c>
      <c r="P793" s="4">
        <f>IF(H793="Not Found","CRITICAL: No Risk Profile",IF(I793="Missing","WARN: Missing KYC",IF(I793="Expired","WARN: KYC Expired",IF(I793="Pending","INFO: KYC Pending","OK"))))</f>
        <v/>
      </c>
    </row>
    <row r="794">
      <c r="A794" s="2">
        <f>Raw_Transactions!A794</f>
        <v/>
      </c>
      <c r="B794" s="2">
        <f>Raw_Transactions!B794</f>
        <v/>
      </c>
      <c r="C794" s="2">
        <f>Raw_Transactions!C794</f>
        <v/>
      </c>
      <c r="D794" s="3">
        <f>Raw_Transactions!D794</f>
        <v/>
      </c>
      <c r="E794" s="2">
        <f>Raw_Transactions!E794</f>
        <v/>
      </c>
      <c r="F794" s="2">
        <f>Raw_Transactions!F794</f>
        <v/>
      </c>
      <c r="G794" s="2">
        <f>Raw_Transactions!G794</f>
        <v/>
      </c>
      <c r="H794" s="2">
        <f>XLOOKUP(B794,Raw_Risk_Profiles!$A:$A,Raw_Risk_Profiles!$B:$B,"Not Found")</f>
        <v/>
      </c>
      <c r="I794" s="2">
        <f>XLOOKUP(B794,Raw_Risk_Profiles!$A:$A,Raw_Risk_Profiles!$C:$C,"Missing")</f>
        <v/>
      </c>
      <c r="J794" s="2">
        <f>XLOOKUP(B794,Raw_Risk_Profiles!$A:$A,Raw_Risk_Profiles!$D:$D,"")</f>
        <v/>
      </c>
      <c r="K794" s="2">
        <f>IFERROR(INDEX(Raw_Risk_Profiles!$E:$E,MATCH(B794,Raw_Risk_Profiles!$A:$A,0)),"Unknown")</f>
        <v/>
      </c>
      <c r="L794" s="2">
        <f>IFERROR(XLOOKUP(A794,Raw_Alerts!$B:$B,Raw_Alerts!$A:$A),"No Alert")</f>
        <v/>
      </c>
      <c r="M794" s="2">
        <f>IFERROR(XLOOKUP(A794,Raw_Alerts!$B:$B,Raw_Alerts!$C:$C),"")</f>
        <v/>
      </c>
      <c r="N794" s="2">
        <f>IFERROR(XLOOKUP(A794,Raw_Alerts!$B:$B,Raw_Alerts!$D:$D),"")</f>
        <v/>
      </c>
      <c r="O794" s="2">
        <f>IFERROR(XLOOKUP(A794,Raw_Alerts!$B:$B,Raw_Alerts!$F:$F),"")</f>
        <v/>
      </c>
      <c r="P794" s="2">
        <f>IF(H794="Not Found","CRITICAL: No Risk Profile",IF(I794="Missing","WARN: Missing KYC",IF(I794="Expired","WARN: KYC Expired",IF(I794="Pending","INFO: KYC Pending","OK"))))</f>
        <v/>
      </c>
    </row>
    <row r="795">
      <c r="A795" s="4">
        <f>Raw_Transactions!A795</f>
        <v/>
      </c>
      <c r="B795" s="4">
        <f>Raw_Transactions!B795</f>
        <v/>
      </c>
      <c r="C795" s="4">
        <f>Raw_Transactions!C795</f>
        <v/>
      </c>
      <c r="D795" s="5">
        <f>Raw_Transactions!D795</f>
        <v/>
      </c>
      <c r="E795" s="4">
        <f>Raw_Transactions!E795</f>
        <v/>
      </c>
      <c r="F795" s="4">
        <f>Raw_Transactions!F795</f>
        <v/>
      </c>
      <c r="G795" s="4">
        <f>Raw_Transactions!G795</f>
        <v/>
      </c>
      <c r="H795" s="4">
        <f>XLOOKUP(B795,Raw_Risk_Profiles!$A:$A,Raw_Risk_Profiles!$B:$B,"Not Found")</f>
        <v/>
      </c>
      <c r="I795" s="4">
        <f>XLOOKUP(B795,Raw_Risk_Profiles!$A:$A,Raw_Risk_Profiles!$C:$C,"Missing")</f>
        <v/>
      </c>
      <c r="J795" s="4">
        <f>XLOOKUP(B795,Raw_Risk_Profiles!$A:$A,Raw_Risk_Profiles!$D:$D,"")</f>
        <v/>
      </c>
      <c r="K795" s="4">
        <f>IFERROR(INDEX(Raw_Risk_Profiles!$E:$E,MATCH(B795,Raw_Risk_Profiles!$A:$A,0)),"Unknown")</f>
        <v/>
      </c>
      <c r="L795" s="4">
        <f>IFERROR(XLOOKUP(A795,Raw_Alerts!$B:$B,Raw_Alerts!$A:$A),"No Alert")</f>
        <v/>
      </c>
      <c r="M795" s="4">
        <f>IFERROR(XLOOKUP(A795,Raw_Alerts!$B:$B,Raw_Alerts!$C:$C),"")</f>
        <v/>
      </c>
      <c r="N795" s="4">
        <f>IFERROR(XLOOKUP(A795,Raw_Alerts!$B:$B,Raw_Alerts!$D:$D),"")</f>
        <v/>
      </c>
      <c r="O795" s="4">
        <f>IFERROR(XLOOKUP(A795,Raw_Alerts!$B:$B,Raw_Alerts!$F:$F),"")</f>
        <v/>
      </c>
      <c r="P795" s="4">
        <f>IF(H795="Not Found","CRITICAL: No Risk Profile",IF(I795="Missing","WARN: Missing KYC",IF(I795="Expired","WARN: KYC Expired",IF(I795="Pending","INFO: KYC Pending","OK"))))</f>
        <v/>
      </c>
    </row>
    <row r="796">
      <c r="A796" s="2">
        <f>Raw_Transactions!A796</f>
        <v/>
      </c>
      <c r="B796" s="2">
        <f>Raw_Transactions!B796</f>
        <v/>
      </c>
      <c r="C796" s="2">
        <f>Raw_Transactions!C796</f>
        <v/>
      </c>
      <c r="D796" s="3">
        <f>Raw_Transactions!D796</f>
        <v/>
      </c>
      <c r="E796" s="2">
        <f>Raw_Transactions!E796</f>
        <v/>
      </c>
      <c r="F796" s="2">
        <f>Raw_Transactions!F796</f>
        <v/>
      </c>
      <c r="G796" s="2">
        <f>Raw_Transactions!G796</f>
        <v/>
      </c>
      <c r="H796" s="2">
        <f>XLOOKUP(B796,Raw_Risk_Profiles!$A:$A,Raw_Risk_Profiles!$B:$B,"Not Found")</f>
        <v/>
      </c>
      <c r="I796" s="2">
        <f>XLOOKUP(B796,Raw_Risk_Profiles!$A:$A,Raw_Risk_Profiles!$C:$C,"Missing")</f>
        <v/>
      </c>
      <c r="J796" s="2">
        <f>XLOOKUP(B796,Raw_Risk_Profiles!$A:$A,Raw_Risk_Profiles!$D:$D,"")</f>
        <v/>
      </c>
      <c r="K796" s="2">
        <f>IFERROR(INDEX(Raw_Risk_Profiles!$E:$E,MATCH(B796,Raw_Risk_Profiles!$A:$A,0)),"Unknown")</f>
        <v/>
      </c>
      <c r="L796" s="2">
        <f>IFERROR(XLOOKUP(A796,Raw_Alerts!$B:$B,Raw_Alerts!$A:$A),"No Alert")</f>
        <v/>
      </c>
      <c r="M796" s="2">
        <f>IFERROR(XLOOKUP(A796,Raw_Alerts!$B:$B,Raw_Alerts!$C:$C),"")</f>
        <v/>
      </c>
      <c r="N796" s="2">
        <f>IFERROR(XLOOKUP(A796,Raw_Alerts!$B:$B,Raw_Alerts!$D:$D),"")</f>
        <v/>
      </c>
      <c r="O796" s="2">
        <f>IFERROR(XLOOKUP(A796,Raw_Alerts!$B:$B,Raw_Alerts!$F:$F),"")</f>
        <v/>
      </c>
      <c r="P796" s="2">
        <f>IF(H796="Not Found","CRITICAL: No Risk Profile",IF(I796="Missing","WARN: Missing KYC",IF(I796="Expired","WARN: KYC Expired",IF(I796="Pending","INFO: KYC Pending","OK"))))</f>
        <v/>
      </c>
    </row>
    <row r="797">
      <c r="A797" s="4">
        <f>Raw_Transactions!A797</f>
        <v/>
      </c>
      <c r="B797" s="4">
        <f>Raw_Transactions!B797</f>
        <v/>
      </c>
      <c r="C797" s="4">
        <f>Raw_Transactions!C797</f>
        <v/>
      </c>
      <c r="D797" s="5">
        <f>Raw_Transactions!D797</f>
        <v/>
      </c>
      <c r="E797" s="4">
        <f>Raw_Transactions!E797</f>
        <v/>
      </c>
      <c r="F797" s="4">
        <f>Raw_Transactions!F797</f>
        <v/>
      </c>
      <c r="G797" s="4">
        <f>Raw_Transactions!G797</f>
        <v/>
      </c>
      <c r="H797" s="4">
        <f>XLOOKUP(B797,Raw_Risk_Profiles!$A:$A,Raw_Risk_Profiles!$B:$B,"Not Found")</f>
        <v/>
      </c>
      <c r="I797" s="4">
        <f>XLOOKUP(B797,Raw_Risk_Profiles!$A:$A,Raw_Risk_Profiles!$C:$C,"Missing")</f>
        <v/>
      </c>
      <c r="J797" s="4">
        <f>XLOOKUP(B797,Raw_Risk_Profiles!$A:$A,Raw_Risk_Profiles!$D:$D,"")</f>
        <v/>
      </c>
      <c r="K797" s="4">
        <f>IFERROR(INDEX(Raw_Risk_Profiles!$E:$E,MATCH(B797,Raw_Risk_Profiles!$A:$A,0)),"Unknown")</f>
        <v/>
      </c>
      <c r="L797" s="4">
        <f>IFERROR(XLOOKUP(A797,Raw_Alerts!$B:$B,Raw_Alerts!$A:$A),"No Alert")</f>
        <v/>
      </c>
      <c r="M797" s="4">
        <f>IFERROR(XLOOKUP(A797,Raw_Alerts!$B:$B,Raw_Alerts!$C:$C),"")</f>
        <v/>
      </c>
      <c r="N797" s="4">
        <f>IFERROR(XLOOKUP(A797,Raw_Alerts!$B:$B,Raw_Alerts!$D:$D),"")</f>
        <v/>
      </c>
      <c r="O797" s="4">
        <f>IFERROR(XLOOKUP(A797,Raw_Alerts!$B:$B,Raw_Alerts!$F:$F),"")</f>
        <v/>
      </c>
      <c r="P797" s="4">
        <f>IF(H797="Not Found","CRITICAL: No Risk Profile",IF(I797="Missing","WARN: Missing KYC",IF(I797="Expired","WARN: KYC Expired",IF(I797="Pending","INFO: KYC Pending","OK"))))</f>
        <v/>
      </c>
    </row>
    <row r="798">
      <c r="A798" s="2">
        <f>Raw_Transactions!A798</f>
        <v/>
      </c>
      <c r="B798" s="2">
        <f>Raw_Transactions!B798</f>
        <v/>
      </c>
      <c r="C798" s="2">
        <f>Raw_Transactions!C798</f>
        <v/>
      </c>
      <c r="D798" s="3">
        <f>Raw_Transactions!D798</f>
        <v/>
      </c>
      <c r="E798" s="2">
        <f>Raw_Transactions!E798</f>
        <v/>
      </c>
      <c r="F798" s="2">
        <f>Raw_Transactions!F798</f>
        <v/>
      </c>
      <c r="G798" s="2">
        <f>Raw_Transactions!G798</f>
        <v/>
      </c>
      <c r="H798" s="2">
        <f>XLOOKUP(B798,Raw_Risk_Profiles!$A:$A,Raw_Risk_Profiles!$B:$B,"Not Found")</f>
        <v/>
      </c>
      <c r="I798" s="2">
        <f>XLOOKUP(B798,Raw_Risk_Profiles!$A:$A,Raw_Risk_Profiles!$C:$C,"Missing")</f>
        <v/>
      </c>
      <c r="J798" s="2">
        <f>XLOOKUP(B798,Raw_Risk_Profiles!$A:$A,Raw_Risk_Profiles!$D:$D,"")</f>
        <v/>
      </c>
      <c r="K798" s="2">
        <f>IFERROR(INDEX(Raw_Risk_Profiles!$E:$E,MATCH(B798,Raw_Risk_Profiles!$A:$A,0)),"Unknown")</f>
        <v/>
      </c>
      <c r="L798" s="2">
        <f>IFERROR(XLOOKUP(A798,Raw_Alerts!$B:$B,Raw_Alerts!$A:$A),"No Alert")</f>
        <v/>
      </c>
      <c r="M798" s="2">
        <f>IFERROR(XLOOKUP(A798,Raw_Alerts!$B:$B,Raw_Alerts!$C:$C),"")</f>
        <v/>
      </c>
      <c r="N798" s="2">
        <f>IFERROR(XLOOKUP(A798,Raw_Alerts!$B:$B,Raw_Alerts!$D:$D),"")</f>
        <v/>
      </c>
      <c r="O798" s="2">
        <f>IFERROR(XLOOKUP(A798,Raw_Alerts!$B:$B,Raw_Alerts!$F:$F),"")</f>
        <v/>
      </c>
      <c r="P798" s="2">
        <f>IF(H798="Not Found","CRITICAL: No Risk Profile",IF(I798="Missing","WARN: Missing KYC",IF(I798="Expired","WARN: KYC Expired",IF(I798="Pending","INFO: KYC Pending","OK"))))</f>
        <v/>
      </c>
    </row>
    <row r="799">
      <c r="A799" s="4">
        <f>Raw_Transactions!A799</f>
        <v/>
      </c>
      <c r="B799" s="4">
        <f>Raw_Transactions!B799</f>
        <v/>
      </c>
      <c r="C799" s="4">
        <f>Raw_Transactions!C799</f>
        <v/>
      </c>
      <c r="D799" s="5">
        <f>Raw_Transactions!D799</f>
        <v/>
      </c>
      <c r="E799" s="4">
        <f>Raw_Transactions!E799</f>
        <v/>
      </c>
      <c r="F799" s="4">
        <f>Raw_Transactions!F799</f>
        <v/>
      </c>
      <c r="G799" s="4">
        <f>Raw_Transactions!G799</f>
        <v/>
      </c>
      <c r="H799" s="4">
        <f>XLOOKUP(B799,Raw_Risk_Profiles!$A:$A,Raw_Risk_Profiles!$B:$B,"Not Found")</f>
        <v/>
      </c>
      <c r="I799" s="4">
        <f>XLOOKUP(B799,Raw_Risk_Profiles!$A:$A,Raw_Risk_Profiles!$C:$C,"Missing")</f>
        <v/>
      </c>
      <c r="J799" s="4">
        <f>XLOOKUP(B799,Raw_Risk_Profiles!$A:$A,Raw_Risk_Profiles!$D:$D,"")</f>
        <v/>
      </c>
      <c r="K799" s="4">
        <f>IFERROR(INDEX(Raw_Risk_Profiles!$E:$E,MATCH(B799,Raw_Risk_Profiles!$A:$A,0)),"Unknown")</f>
        <v/>
      </c>
      <c r="L799" s="4">
        <f>IFERROR(XLOOKUP(A799,Raw_Alerts!$B:$B,Raw_Alerts!$A:$A),"No Alert")</f>
        <v/>
      </c>
      <c r="M799" s="4">
        <f>IFERROR(XLOOKUP(A799,Raw_Alerts!$B:$B,Raw_Alerts!$C:$C),"")</f>
        <v/>
      </c>
      <c r="N799" s="4">
        <f>IFERROR(XLOOKUP(A799,Raw_Alerts!$B:$B,Raw_Alerts!$D:$D),"")</f>
        <v/>
      </c>
      <c r="O799" s="4">
        <f>IFERROR(XLOOKUP(A799,Raw_Alerts!$B:$B,Raw_Alerts!$F:$F),"")</f>
        <v/>
      </c>
      <c r="P799" s="4">
        <f>IF(H799="Not Found","CRITICAL: No Risk Profile",IF(I799="Missing","WARN: Missing KYC",IF(I799="Expired","WARN: KYC Expired",IF(I799="Pending","INFO: KYC Pending","OK"))))</f>
        <v/>
      </c>
    </row>
    <row r="800">
      <c r="A800" s="2">
        <f>Raw_Transactions!A800</f>
        <v/>
      </c>
      <c r="B800" s="2">
        <f>Raw_Transactions!B800</f>
        <v/>
      </c>
      <c r="C800" s="2">
        <f>Raw_Transactions!C800</f>
        <v/>
      </c>
      <c r="D800" s="3">
        <f>Raw_Transactions!D800</f>
        <v/>
      </c>
      <c r="E800" s="2">
        <f>Raw_Transactions!E800</f>
        <v/>
      </c>
      <c r="F800" s="2">
        <f>Raw_Transactions!F800</f>
        <v/>
      </c>
      <c r="G800" s="2">
        <f>Raw_Transactions!G800</f>
        <v/>
      </c>
      <c r="H800" s="2">
        <f>XLOOKUP(B800,Raw_Risk_Profiles!$A:$A,Raw_Risk_Profiles!$B:$B,"Not Found")</f>
        <v/>
      </c>
      <c r="I800" s="2">
        <f>XLOOKUP(B800,Raw_Risk_Profiles!$A:$A,Raw_Risk_Profiles!$C:$C,"Missing")</f>
        <v/>
      </c>
      <c r="J800" s="2">
        <f>XLOOKUP(B800,Raw_Risk_Profiles!$A:$A,Raw_Risk_Profiles!$D:$D,"")</f>
        <v/>
      </c>
      <c r="K800" s="2">
        <f>IFERROR(INDEX(Raw_Risk_Profiles!$E:$E,MATCH(B800,Raw_Risk_Profiles!$A:$A,0)),"Unknown")</f>
        <v/>
      </c>
      <c r="L800" s="2">
        <f>IFERROR(XLOOKUP(A800,Raw_Alerts!$B:$B,Raw_Alerts!$A:$A),"No Alert")</f>
        <v/>
      </c>
      <c r="M800" s="2">
        <f>IFERROR(XLOOKUP(A800,Raw_Alerts!$B:$B,Raw_Alerts!$C:$C),"")</f>
        <v/>
      </c>
      <c r="N800" s="2">
        <f>IFERROR(XLOOKUP(A800,Raw_Alerts!$B:$B,Raw_Alerts!$D:$D),"")</f>
        <v/>
      </c>
      <c r="O800" s="2">
        <f>IFERROR(XLOOKUP(A800,Raw_Alerts!$B:$B,Raw_Alerts!$F:$F),"")</f>
        <v/>
      </c>
      <c r="P800" s="2">
        <f>IF(H800="Not Found","CRITICAL: No Risk Profile",IF(I800="Missing","WARN: Missing KYC",IF(I800="Expired","WARN: KYC Expired",IF(I800="Pending","INFO: KYC Pending","OK"))))</f>
        <v/>
      </c>
    </row>
    <row r="801">
      <c r="A801" s="4">
        <f>Raw_Transactions!A801</f>
        <v/>
      </c>
      <c r="B801" s="4">
        <f>Raw_Transactions!B801</f>
        <v/>
      </c>
      <c r="C801" s="4">
        <f>Raw_Transactions!C801</f>
        <v/>
      </c>
      <c r="D801" s="5">
        <f>Raw_Transactions!D801</f>
        <v/>
      </c>
      <c r="E801" s="4">
        <f>Raw_Transactions!E801</f>
        <v/>
      </c>
      <c r="F801" s="4">
        <f>Raw_Transactions!F801</f>
        <v/>
      </c>
      <c r="G801" s="4">
        <f>Raw_Transactions!G801</f>
        <v/>
      </c>
      <c r="H801" s="4">
        <f>XLOOKUP(B801,Raw_Risk_Profiles!$A:$A,Raw_Risk_Profiles!$B:$B,"Not Found")</f>
        <v/>
      </c>
      <c r="I801" s="4">
        <f>XLOOKUP(B801,Raw_Risk_Profiles!$A:$A,Raw_Risk_Profiles!$C:$C,"Missing")</f>
        <v/>
      </c>
      <c r="J801" s="4">
        <f>XLOOKUP(B801,Raw_Risk_Profiles!$A:$A,Raw_Risk_Profiles!$D:$D,"")</f>
        <v/>
      </c>
      <c r="K801" s="4">
        <f>IFERROR(INDEX(Raw_Risk_Profiles!$E:$E,MATCH(B801,Raw_Risk_Profiles!$A:$A,0)),"Unknown")</f>
        <v/>
      </c>
      <c r="L801" s="4">
        <f>IFERROR(XLOOKUP(A801,Raw_Alerts!$B:$B,Raw_Alerts!$A:$A),"No Alert")</f>
        <v/>
      </c>
      <c r="M801" s="4">
        <f>IFERROR(XLOOKUP(A801,Raw_Alerts!$B:$B,Raw_Alerts!$C:$C),"")</f>
        <v/>
      </c>
      <c r="N801" s="4">
        <f>IFERROR(XLOOKUP(A801,Raw_Alerts!$B:$B,Raw_Alerts!$D:$D),"")</f>
        <v/>
      </c>
      <c r="O801" s="4">
        <f>IFERROR(XLOOKUP(A801,Raw_Alerts!$B:$B,Raw_Alerts!$F:$F),"")</f>
        <v/>
      </c>
      <c r="P801" s="4">
        <f>IF(H801="Not Found","CRITICAL: No Risk Profile",IF(I801="Missing","WARN: Missing KYC",IF(I801="Expired","WARN: KYC Expired",IF(I801="Pending","INFO: KYC Pending","OK"))))</f>
        <v/>
      </c>
    </row>
    <row r="802">
      <c r="A802" s="2">
        <f>Raw_Transactions!A802</f>
        <v/>
      </c>
      <c r="B802" s="2">
        <f>Raw_Transactions!B802</f>
        <v/>
      </c>
      <c r="C802" s="2">
        <f>Raw_Transactions!C802</f>
        <v/>
      </c>
      <c r="D802" s="3">
        <f>Raw_Transactions!D802</f>
        <v/>
      </c>
      <c r="E802" s="2">
        <f>Raw_Transactions!E802</f>
        <v/>
      </c>
      <c r="F802" s="2">
        <f>Raw_Transactions!F802</f>
        <v/>
      </c>
      <c r="G802" s="2">
        <f>Raw_Transactions!G802</f>
        <v/>
      </c>
      <c r="H802" s="2">
        <f>XLOOKUP(B802,Raw_Risk_Profiles!$A:$A,Raw_Risk_Profiles!$B:$B,"Not Found")</f>
        <v/>
      </c>
      <c r="I802" s="2">
        <f>XLOOKUP(B802,Raw_Risk_Profiles!$A:$A,Raw_Risk_Profiles!$C:$C,"Missing")</f>
        <v/>
      </c>
      <c r="J802" s="2">
        <f>XLOOKUP(B802,Raw_Risk_Profiles!$A:$A,Raw_Risk_Profiles!$D:$D,"")</f>
        <v/>
      </c>
      <c r="K802" s="2">
        <f>IFERROR(INDEX(Raw_Risk_Profiles!$E:$E,MATCH(B802,Raw_Risk_Profiles!$A:$A,0)),"Unknown")</f>
        <v/>
      </c>
      <c r="L802" s="2">
        <f>IFERROR(XLOOKUP(A802,Raw_Alerts!$B:$B,Raw_Alerts!$A:$A),"No Alert")</f>
        <v/>
      </c>
      <c r="M802" s="2">
        <f>IFERROR(XLOOKUP(A802,Raw_Alerts!$B:$B,Raw_Alerts!$C:$C),"")</f>
        <v/>
      </c>
      <c r="N802" s="2">
        <f>IFERROR(XLOOKUP(A802,Raw_Alerts!$B:$B,Raw_Alerts!$D:$D),"")</f>
        <v/>
      </c>
      <c r="O802" s="2">
        <f>IFERROR(XLOOKUP(A802,Raw_Alerts!$B:$B,Raw_Alerts!$F:$F),"")</f>
        <v/>
      </c>
      <c r="P802" s="2">
        <f>IF(H802="Not Found","CRITICAL: No Risk Profile",IF(I802="Missing","WARN: Missing KYC",IF(I802="Expired","WARN: KYC Expired",IF(I802="Pending","INFO: KYC Pending","OK"))))</f>
        <v/>
      </c>
    </row>
    <row r="803">
      <c r="A803" s="4">
        <f>Raw_Transactions!A803</f>
        <v/>
      </c>
      <c r="B803" s="4">
        <f>Raw_Transactions!B803</f>
        <v/>
      </c>
      <c r="C803" s="4">
        <f>Raw_Transactions!C803</f>
        <v/>
      </c>
      <c r="D803" s="5">
        <f>Raw_Transactions!D803</f>
        <v/>
      </c>
      <c r="E803" s="4">
        <f>Raw_Transactions!E803</f>
        <v/>
      </c>
      <c r="F803" s="4">
        <f>Raw_Transactions!F803</f>
        <v/>
      </c>
      <c r="G803" s="4">
        <f>Raw_Transactions!G803</f>
        <v/>
      </c>
      <c r="H803" s="4">
        <f>XLOOKUP(B803,Raw_Risk_Profiles!$A:$A,Raw_Risk_Profiles!$B:$B,"Not Found")</f>
        <v/>
      </c>
      <c r="I803" s="4">
        <f>XLOOKUP(B803,Raw_Risk_Profiles!$A:$A,Raw_Risk_Profiles!$C:$C,"Missing")</f>
        <v/>
      </c>
      <c r="J803" s="4">
        <f>XLOOKUP(B803,Raw_Risk_Profiles!$A:$A,Raw_Risk_Profiles!$D:$D,"")</f>
        <v/>
      </c>
      <c r="K803" s="4">
        <f>IFERROR(INDEX(Raw_Risk_Profiles!$E:$E,MATCH(B803,Raw_Risk_Profiles!$A:$A,0)),"Unknown")</f>
        <v/>
      </c>
      <c r="L803" s="4">
        <f>IFERROR(XLOOKUP(A803,Raw_Alerts!$B:$B,Raw_Alerts!$A:$A),"No Alert")</f>
        <v/>
      </c>
      <c r="M803" s="4">
        <f>IFERROR(XLOOKUP(A803,Raw_Alerts!$B:$B,Raw_Alerts!$C:$C),"")</f>
        <v/>
      </c>
      <c r="N803" s="4">
        <f>IFERROR(XLOOKUP(A803,Raw_Alerts!$B:$B,Raw_Alerts!$D:$D),"")</f>
        <v/>
      </c>
      <c r="O803" s="4">
        <f>IFERROR(XLOOKUP(A803,Raw_Alerts!$B:$B,Raw_Alerts!$F:$F),"")</f>
        <v/>
      </c>
      <c r="P803" s="4">
        <f>IF(H803="Not Found","CRITICAL: No Risk Profile",IF(I803="Missing","WARN: Missing KYC",IF(I803="Expired","WARN: KYC Expired",IF(I803="Pending","INFO: KYC Pending","OK"))))</f>
        <v/>
      </c>
    </row>
    <row r="804">
      <c r="A804" s="2">
        <f>Raw_Transactions!A804</f>
        <v/>
      </c>
      <c r="B804" s="2">
        <f>Raw_Transactions!B804</f>
        <v/>
      </c>
      <c r="C804" s="2">
        <f>Raw_Transactions!C804</f>
        <v/>
      </c>
      <c r="D804" s="3">
        <f>Raw_Transactions!D804</f>
        <v/>
      </c>
      <c r="E804" s="2">
        <f>Raw_Transactions!E804</f>
        <v/>
      </c>
      <c r="F804" s="2">
        <f>Raw_Transactions!F804</f>
        <v/>
      </c>
      <c r="G804" s="2">
        <f>Raw_Transactions!G804</f>
        <v/>
      </c>
      <c r="H804" s="2">
        <f>XLOOKUP(B804,Raw_Risk_Profiles!$A:$A,Raw_Risk_Profiles!$B:$B,"Not Found")</f>
        <v/>
      </c>
      <c r="I804" s="2">
        <f>XLOOKUP(B804,Raw_Risk_Profiles!$A:$A,Raw_Risk_Profiles!$C:$C,"Missing")</f>
        <v/>
      </c>
      <c r="J804" s="2">
        <f>XLOOKUP(B804,Raw_Risk_Profiles!$A:$A,Raw_Risk_Profiles!$D:$D,"")</f>
        <v/>
      </c>
      <c r="K804" s="2">
        <f>IFERROR(INDEX(Raw_Risk_Profiles!$E:$E,MATCH(B804,Raw_Risk_Profiles!$A:$A,0)),"Unknown")</f>
        <v/>
      </c>
      <c r="L804" s="2">
        <f>IFERROR(XLOOKUP(A804,Raw_Alerts!$B:$B,Raw_Alerts!$A:$A),"No Alert")</f>
        <v/>
      </c>
      <c r="M804" s="2">
        <f>IFERROR(XLOOKUP(A804,Raw_Alerts!$B:$B,Raw_Alerts!$C:$C),"")</f>
        <v/>
      </c>
      <c r="N804" s="2">
        <f>IFERROR(XLOOKUP(A804,Raw_Alerts!$B:$B,Raw_Alerts!$D:$D),"")</f>
        <v/>
      </c>
      <c r="O804" s="2">
        <f>IFERROR(XLOOKUP(A804,Raw_Alerts!$B:$B,Raw_Alerts!$F:$F),"")</f>
        <v/>
      </c>
      <c r="P804" s="2">
        <f>IF(H804="Not Found","CRITICAL: No Risk Profile",IF(I804="Missing","WARN: Missing KYC",IF(I804="Expired","WARN: KYC Expired",IF(I804="Pending","INFO: KYC Pending","OK"))))</f>
        <v/>
      </c>
    </row>
    <row r="805">
      <c r="A805" s="4">
        <f>Raw_Transactions!A805</f>
        <v/>
      </c>
      <c r="B805" s="4">
        <f>Raw_Transactions!B805</f>
        <v/>
      </c>
      <c r="C805" s="4">
        <f>Raw_Transactions!C805</f>
        <v/>
      </c>
      <c r="D805" s="5">
        <f>Raw_Transactions!D805</f>
        <v/>
      </c>
      <c r="E805" s="4">
        <f>Raw_Transactions!E805</f>
        <v/>
      </c>
      <c r="F805" s="4">
        <f>Raw_Transactions!F805</f>
        <v/>
      </c>
      <c r="G805" s="4">
        <f>Raw_Transactions!G805</f>
        <v/>
      </c>
      <c r="H805" s="4">
        <f>XLOOKUP(B805,Raw_Risk_Profiles!$A:$A,Raw_Risk_Profiles!$B:$B,"Not Found")</f>
        <v/>
      </c>
      <c r="I805" s="4">
        <f>XLOOKUP(B805,Raw_Risk_Profiles!$A:$A,Raw_Risk_Profiles!$C:$C,"Missing")</f>
        <v/>
      </c>
      <c r="J805" s="4">
        <f>XLOOKUP(B805,Raw_Risk_Profiles!$A:$A,Raw_Risk_Profiles!$D:$D,"")</f>
        <v/>
      </c>
      <c r="K805" s="4">
        <f>IFERROR(INDEX(Raw_Risk_Profiles!$E:$E,MATCH(B805,Raw_Risk_Profiles!$A:$A,0)),"Unknown")</f>
        <v/>
      </c>
      <c r="L805" s="4">
        <f>IFERROR(XLOOKUP(A805,Raw_Alerts!$B:$B,Raw_Alerts!$A:$A),"No Alert")</f>
        <v/>
      </c>
      <c r="M805" s="4">
        <f>IFERROR(XLOOKUP(A805,Raw_Alerts!$B:$B,Raw_Alerts!$C:$C),"")</f>
        <v/>
      </c>
      <c r="N805" s="4">
        <f>IFERROR(XLOOKUP(A805,Raw_Alerts!$B:$B,Raw_Alerts!$D:$D),"")</f>
        <v/>
      </c>
      <c r="O805" s="4">
        <f>IFERROR(XLOOKUP(A805,Raw_Alerts!$B:$B,Raw_Alerts!$F:$F),"")</f>
        <v/>
      </c>
      <c r="P805" s="4">
        <f>IF(H805="Not Found","CRITICAL: No Risk Profile",IF(I805="Missing","WARN: Missing KYC",IF(I805="Expired","WARN: KYC Expired",IF(I805="Pending","INFO: KYC Pending","OK"))))</f>
        <v/>
      </c>
    </row>
    <row r="806">
      <c r="A806" s="2">
        <f>Raw_Transactions!A806</f>
        <v/>
      </c>
      <c r="B806" s="2">
        <f>Raw_Transactions!B806</f>
        <v/>
      </c>
      <c r="C806" s="2">
        <f>Raw_Transactions!C806</f>
        <v/>
      </c>
      <c r="D806" s="3">
        <f>Raw_Transactions!D806</f>
        <v/>
      </c>
      <c r="E806" s="2">
        <f>Raw_Transactions!E806</f>
        <v/>
      </c>
      <c r="F806" s="2">
        <f>Raw_Transactions!F806</f>
        <v/>
      </c>
      <c r="G806" s="2">
        <f>Raw_Transactions!G806</f>
        <v/>
      </c>
      <c r="H806" s="2">
        <f>XLOOKUP(B806,Raw_Risk_Profiles!$A:$A,Raw_Risk_Profiles!$B:$B,"Not Found")</f>
        <v/>
      </c>
      <c r="I806" s="2">
        <f>XLOOKUP(B806,Raw_Risk_Profiles!$A:$A,Raw_Risk_Profiles!$C:$C,"Missing")</f>
        <v/>
      </c>
      <c r="J806" s="2">
        <f>XLOOKUP(B806,Raw_Risk_Profiles!$A:$A,Raw_Risk_Profiles!$D:$D,"")</f>
        <v/>
      </c>
      <c r="K806" s="2">
        <f>IFERROR(INDEX(Raw_Risk_Profiles!$E:$E,MATCH(B806,Raw_Risk_Profiles!$A:$A,0)),"Unknown")</f>
        <v/>
      </c>
      <c r="L806" s="2">
        <f>IFERROR(XLOOKUP(A806,Raw_Alerts!$B:$B,Raw_Alerts!$A:$A),"No Alert")</f>
        <v/>
      </c>
      <c r="M806" s="2">
        <f>IFERROR(XLOOKUP(A806,Raw_Alerts!$B:$B,Raw_Alerts!$C:$C),"")</f>
        <v/>
      </c>
      <c r="N806" s="2">
        <f>IFERROR(XLOOKUP(A806,Raw_Alerts!$B:$B,Raw_Alerts!$D:$D),"")</f>
        <v/>
      </c>
      <c r="O806" s="2">
        <f>IFERROR(XLOOKUP(A806,Raw_Alerts!$B:$B,Raw_Alerts!$F:$F),"")</f>
        <v/>
      </c>
      <c r="P806" s="2">
        <f>IF(H806="Not Found","CRITICAL: No Risk Profile",IF(I806="Missing","WARN: Missing KYC",IF(I806="Expired","WARN: KYC Expired",IF(I806="Pending","INFO: KYC Pending","OK"))))</f>
        <v/>
      </c>
    </row>
    <row r="807">
      <c r="A807" s="4">
        <f>Raw_Transactions!A807</f>
        <v/>
      </c>
      <c r="B807" s="4">
        <f>Raw_Transactions!B807</f>
        <v/>
      </c>
      <c r="C807" s="4">
        <f>Raw_Transactions!C807</f>
        <v/>
      </c>
      <c r="D807" s="5">
        <f>Raw_Transactions!D807</f>
        <v/>
      </c>
      <c r="E807" s="4">
        <f>Raw_Transactions!E807</f>
        <v/>
      </c>
      <c r="F807" s="4">
        <f>Raw_Transactions!F807</f>
        <v/>
      </c>
      <c r="G807" s="4">
        <f>Raw_Transactions!G807</f>
        <v/>
      </c>
      <c r="H807" s="4">
        <f>XLOOKUP(B807,Raw_Risk_Profiles!$A:$A,Raw_Risk_Profiles!$B:$B,"Not Found")</f>
        <v/>
      </c>
      <c r="I807" s="4">
        <f>XLOOKUP(B807,Raw_Risk_Profiles!$A:$A,Raw_Risk_Profiles!$C:$C,"Missing")</f>
        <v/>
      </c>
      <c r="J807" s="4">
        <f>XLOOKUP(B807,Raw_Risk_Profiles!$A:$A,Raw_Risk_Profiles!$D:$D,"")</f>
        <v/>
      </c>
      <c r="K807" s="4">
        <f>IFERROR(INDEX(Raw_Risk_Profiles!$E:$E,MATCH(B807,Raw_Risk_Profiles!$A:$A,0)),"Unknown")</f>
        <v/>
      </c>
      <c r="L807" s="4">
        <f>IFERROR(XLOOKUP(A807,Raw_Alerts!$B:$B,Raw_Alerts!$A:$A),"No Alert")</f>
        <v/>
      </c>
      <c r="M807" s="4">
        <f>IFERROR(XLOOKUP(A807,Raw_Alerts!$B:$B,Raw_Alerts!$C:$C),"")</f>
        <v/>
      </c>
      <c r="N807" s="4">
        <f>IFERROR(XLOOKUP(A807,Raw_Alerts!$B:$B,Raw_Alerts!$D:$D),"")</f>
        <v/>
      </c>
      <c r="O807" s="4">
        <f>IFERROR(XLOOKUP(A807,Raw_Alerts!$B:$B,Raw_Alerts!$F:$F),"")</f>
        <v/>
      </c>
      <c r="P807" s="4">
        <f>IF(H807="Not Found","CRITICAL: No Risk Profile",IF(I807="Missing","WARN: Missing KYC",IF(I807="Expired","WARN: KYC Expired",IF(I807="Pending","INFO: KYC Pending","OK"))))</f>
        <v/>
      </c>
    </row>
    <row r="808">
      <c r="A808" s="2">
        <f>Raw_Transactions!A808</f>
        <v/>
      </c>
      <c r="B808" s="2">
        <f>Raw_Transactions!B808</f>
        <v/>
      </c>
      <c r="C808" s="2">
        <f>Raw_Transactions!C808</f>
        <v/>
      </c>
      <c r="D808" s="3">
        <f>Raw_Transactions!D808</f>
        <v/>
      </c>
      <c r="E808" s="2">
        <f>Raw_Transactions!E808</f>
        <v/>
      </c>
      <c r="F808" s="2">
        <f>Raw_Transactions!F808</f>
        <v/>
      </c>
      <c r="G808" s="2">
        <f>Raw_Transactions!G808</f>
        <v/>
      </c>
      <c r="H808" s="2">
        <f>XLOOKUP(B808,Raw_Risk_Profiles!$A:$A,Raw_Risk_Profiles!$B:$B,"Not Found")</f>
        <v/>
      </c>
      <c r="I808" s="2">
        <f>XLOOKUP(B808,Raw_Risk_Profiles!$A:$A,Raw_Risk_Profiles!$C:$C,"Missing")</f>
        <v/>
      </c>
      <c r="J808" s="2">
        <f>XLOOKUP(B808,Raw_Risk_Profiles!$A:$A,Raw_Risk_Profiles!$D:$D,"")</f>
        <v/>
      </c>
      <c r="K808" s="2">
        <f>IFERROR(INDEX(Raw_Risk_Profiles!$E:$E,MATCH(B808,Raw_Risk_Profiles!$A:$A,0)),"Unknown")</f>
        <v/>
      </c>
      <c r="L808" s="2">
        <f>IFERROR(XLOOKUP(A808,Raw_Alerts!$B:$B,Raw_Alerts!$A:$A),"No Alert")</f>
        <v/>
      </c>
      <c r="M808" s="2">
        <f>IFERROR(XLOOKUP(A808,Raw_Alerts!$B:$B,Raw_Alerts!$C:$C),"")</f>
        <v/>
      </c>
      <c r="N808" s="2">
        <f>IFERROR(XLOOKUP(A808,Raw_Alerts!$B:$B,Raw_Alerts!$D:$D),"")</f>
        <v/>
      </c>
      <c r="O808" s="2">
        <f>IFERROR(XLOOKUP(A808,Raw_Alerts!$B:$B,Raw_Alerts!$F:$F),"")</f>
        <v/>
      </c>
      <c r="P808" s="2">
        <f>IF(H808="Not Found","CRITICAL: No Risk Profile",IF(I808="Missing","WARN: Missing KYC",IF(I808="Expired","WARN: KYC Expired",IF(I808="Pending","INFO: KYC Pending","OK"))))</f>
        <v/>
      </c>
    </row>
    <row r="809">
      <c r="A809" s="4">
        <f>Raw_Transactions!A809</f>
        <v/>
      </c>
      <c r="B809" s="4">
        <f>Raw_Transactions!B809</f>
        <v/>
      </c>
      <c r="C809" s="4">
        <f>Raw_Transactions!C809</f>
        <v/>
      </c>
      <c r="D809" s="5">
        <f>Raw_Transactions!D809</f>
        <v/>
      </c>
      <c r="E809" s="4">
        <f>Raw_Transactions!E809</f>
        <v/>
      </c>
      <c r="F809" s="4">
        <f>Raw_Transactions!F809</f>
        <v/>
      </c>
      <c r="G809" s="4">
        <f>Raw_Transactions!G809</f>
        <v/>
      </c>
      <c r="H809" s="4">
        <f>XLOOKUP(B809,Raw_Risk_Profiles!$A:$A,Raw_Risk_Profiles!$B:$B,"Not Found")</f>
        <v/>
      </c>
      <c r="I809" s="4">
        <f>XLOOKUP(B809,Raw_Risk_Profiles!$A:$A,Raw_Risk_Profiles!$C:$C,"Missing")</f>
        <v/>
      </c>
      <c r="J809" s="4">
        <f>XLOOKUP(B809,Raw_Risk_Profiles!$A:$A,Raw_Risk_Profiles!$D:$D,"")</f>
        <v/>
      </c>
      <c r="K809" s="4">
        <f>IFERROR(INDEX(Raw_Risk_Profiles!$E:$E,MATCH(B809,Raw_Risk_Profiles!$A:$A,0)),"Unknown")</f>
        <v/>
      </c>
      <c r="L809" s="4">
        <f>IFERROR(XLOOKUP(A809,Raw_Alerts!$B:$B,Raw_Alerts!$A:$A),"No Alert")</f>
        <v/>
      </c>
      <c r="M809" s="4">
        <f>IFERROR(XLOOKUP(A809,Raw_Alerts!$B:$B,Raw_Alerts!$C:$C),"")</f>
        <v/>
      </c>
      <c r="N809" s="4">
        <f>IFERROR(XLOOKUP(A809,Raw_Alerts!$B:$B,Raw_Alerts!$D:$D),"")</f>
        <v/>
      </c>
      <c r="O809" s="4">
        <f>IFERROR(XLOOKUP(A809,Raw_Alerts!$B:$B,Raw_Alerts!$F:$F),"")</f>
        <v/>
      </c>
      <c r="P809" s="4">
        <f>IF(H809="Not Found","CRITICAL: No Risk Profile",IF(I809="Missing","WARN: Missing KYC",IF(I809="Expired","WARN: KYC Expired",IF(I809="Pending","INFO: KYC Pending","OK"))))</f>
        <v/>
      </c>
    </row>
    <row r="810">
      <c r="A810" s="2">
        <f>Raw_Transactions!A810</f>
        <v/>
      </c>
      <c r="B810" s="2">
        <f>Raw_Transactions!B810</f>
        <v/>
      </c>
      <c r="C810" s="2">
        <f>Raw_Transactions!C810</f>
        <v/>
      </c>
      <c r="D810" s="3">
        <f>Raw_Transactions!D810</f>
        <v/>
      </c>
      <c r="E810" s="2">
        <f>Raw_Transactions!E810</f>
        <v/>
      </c>
      <c r="F810" s="2">
        <f>Raw_Transactions!F810</f>
        <v/>
      </c>
      <c r="G810" s="2">
        <f>Raw_Transactions!G810</f>
        <v/>
      </c>
      <c r="H810" s="2">
        <f>XLOOKUP(B810,Raw_Risk_Profiles!$A:$A,Raw_Risk_Profiles!$B:$B,"Not Found")</f>
        <v/>
      </c>
      <c r="I810" s="2">
        <f>XLOOKUP(B810,Raw_Risk_Profiles!$A:$A,Raw_Risk_Profiles!$C:$C,"Missing")</f>
        <v/>
      </c>
      <c r="J810" s="2">
        <f>XLOOKUP(B810,Raw_Risk_Profiles!$A:$A,Raw_Risk_Profiles!$D:$D,"")</f>
        <v/>
      </c>
      <c r="K810" s="2">
        <f>IFERROR(INDEX(Raw_Risk_Profiles!$E:$E,MATCH(B810,Raw_Risk_Profiles!$A:$A,0)),"Unknown")</f>
        <v/>
      </c>
      <c r="L810" s="2">
        <f>IFERROR(XLOOKUP(A810,Raw_Alerts!$B:$B,Raw_Alerts!$A:$A),"No Alert")</f>
        <v/>
      </c>
      <c r="M810" s="2">
        <f>IFERROR(XLOOKUP(A810,Raw_Alerts!$B:$B,Raw_Alerts!$C:$C),"")</f>
        <v/>
      </c>
      <c r="N810" s="2">
        <f>IFERROR(XLOOKUP(A810,Raw_Alerts!$B:$B,Raw_Alerts!$D:$D),"")</f>
        <v/>
      </c>
      <c r="O810" s="2">
        <f>IFERROR(XLOOKUP(A810,Raw_Alerts!$B:$B,Raw_Alerts!$F:$F),"")</f>
        <v/>
      </c>
      <c r="P810" s="2">
        <f>IF(H810="Not Found","CRITICAL: No Risk Profile",IF(I810="Missing","WARN: Missing KYC",IF(I810="Expired","WARN: KYC Expired",IF(I810="Pending","INFO: KYC Pending","OK"))))</f>
        <v/>
      </c>
    </row>
    <row r="811">
      <c r="A811" s="4">
        <f>Raw_Transactions!A811</f>
        <v/>
      </c>
      <c r="B811" s="4">
        <f>Raw_Transactions!B811</f>
        <v/>
      </c>
      <c r="C811" s="4">
        <f>Raw_Transactions!C811</f>
        <v/>
      </c>
      <c r="D811" s="5">
        <f>Raw_Transactions!D811</f>
        <v/>
      </c>
      <c r="E811" s="4">
        <f>Raw_Transactions!E811</f>
        <v/>
      </c>
      <c r="F811" s="4">
        <f>Raw_Transactions!F811</f>
        <v/>
      </c>
      <c r="G811" s="4">
        <f>Raw_Transactions!G811</f>
        <v/>
      </c>
      <c r="H811" s="4">
        <f>XLOOKUP(B811,Raw_Risk_Profiles!$A:$A,Raw_Risk_Profiles!$B:$B,"Not Found")</f>
        <v/>
      </c>
      <c r="I811" s="4">
        <f>XLOOKUP(B811,Raw_Risk_Profiles!$A:$A,Raw_Risk_Profiles!$C:$C,"Missing")</f>
        <v/>
      </c>
      <c r="J811" s="4">
        <f>XLOOKUP(B811,Raw_Risk_Profiles!$A:$A,Raw_Risk_Profiles!$D:$D,"")</f>
        <v/>
      </c>
      <c r="K811" s="4">
        <f>IFERROR(INDEX(Raw_Risk_Profiles!$E:$E,MATCH(B811,Raw_Risk_Profiles!$A:$A,0)),"Unknown")</f>
        <v/>
      </c>
      <c r="L811" s="4">
        <f>IFERROR(XLOOKUP(A811,Raw_Alerts!$B:$B,Raw_Alerts!$A:$A),"No Alert")</f>
        <v/>
      </c>
      <c r="M811" s="4">
        <f>IFERROR(XLOOKUP(A811,Raw_Alerts!$B:$B,Raw_Alerts!$C:$C),"")</f>
        <v/>
      </c>
      <c r="N811" s="4">
        <f>IFERROR(XLOOKUP(A811,Raw_Alerts!$B:$B,Raw_Alerts!$D:$D),"")</f>
        <v/>
      </c>
      <c r="O811" s="4">
        <f>IFERROR(XLOOKUP(A811,Raw_Alerts!$B:$B,Raw_Alerts!$F:$F),"")</f>
        <v/>
      </c>
      <c r="P811" s="4">
        <f>IF(H811="Not Found","CRITICAL: No Risk Profile",IF(I811="Missing","WARN: Missing KYC",IF(I811="Expired","WARN: KYC Expired",IF(I811="Pending","INFO: KYC Pending","OK"))))</f>
        <v/>
      </c>
    </row>
    <row r="812">
      <c r="A812" s="2">
        <f>Raw_Transactions!A812</f>
        <v/>
      </c>
      <c r="B812" s="2">
        <f>Raw_Transactions!B812</f>
        <v/>
      </c>
      <c r="C812" s="2">
        <f>Raw_Transactions!C812</f>
        <v/>
      </c>
      <c r="D812" s="3">
        <f>Raw_Transactions!D812</f>
        <v/>
      </c>
      <c r="E812" s="2">
        <f>Raw_Transactions!E812</f>
        <v/>
      </c>
      <c r="F812" s="2">
        <f>Raw_Transactions!F812</f>
        <v/>
      </c>
      <c r="G812" s="2">
        <f>Raw_Transactions!G812</f>
        <v/>
      </c>
      <c r="H812" s="2">
        <f>XLOOKUP(B812,Raw_Risk_Profiles!$A:$A,Raw_Risk_Profiles!$B:$B,"Not Found")</f>
        <v/>
      </c>
      <c r="I812" s="2">
        <f>XLOOKUP(B812,Raw_Risk_Profiles!$A:$A,Raw_Risk_Profiles!$C:$C,"Missing")</f>
        <v/>
      </c>
      <c r="J812" s="2">
        <f>XLOOKUP(B812,Raw_Risk_Profiles!$A:$A,Raw_Risk_Profiles!$D:$D,"")</f>
        <v/>
      </c>
      <c r="K812" s="2">
        <f>IFERROR(INDEX(Raw_Risk_Profiles!$E:$E,MATCH(B812,Raw_Risk_Profiles!$A:$A,0)),"Unknown")</f>
        <v/>
      </c>
      <c r="L812" s="2">
        <f>IFERROR(XLOOKUP(A812,Raw_Alerts!$B:$B,Raw_Alerts!$A:$A),"No Alert")</f>
        <v/>
      </c>
      <c r="M812" s="2">
        <f>IFERROR(XLOOKUP(A812,Raw_Alerts!$B:$B,Raw_Alerts!$C:$C),"")</f>
        <v/>
      </c>
      <c r="N812" s="2">
        <f>IFERROR(XLOOKUP(A812,Raw_Alerts!$B:$B,Raw_Alerts!$D:$D),"")</f>
        <v/>
      </c>
      <c r="O812" s="2">
        <f>IFERROR(XLOOKUP(A812,Raw_Alerts!$B:$B,Raw_Alerts!$F:$F),"")</f>
        <v/>
      </c>
      <c r="P812" s="2">
        <f>IF(H812="Not Found","CRITICAL: No Risk Profile",IF(I812="Missing","WARN: Missing KYC",IF(I812="Expired","WARN: KYC Expired",IF(I812="Pending","INFO: KYC Pending","OK"))))</f>
        <v/>
      </c>
    </row>
    <row r="813">
      <c r="A813" s="4">
        <f>Raw_Transactions!A813</f>
        <v/>
      </c>
      <c r="B813" s="4">
        <f>Raw_Transactions!B813</f>
        <v/>
      </c>
      <c r="C813" s="4">
        <f>Raw_Transactions!C813</f>
        <v/>
      </c>
      <c r="D813" s="5">
        <f>Raw_Transactions!D813</f>
        <v/>
      </c>
      <c r="E813" s="4">
        <f>Raw_Transactions!E813</f>
        <v/>
      </c>
      <c r="F813" s="4">
        <f>Raw_Transactions!F813</f>
        <v/>
      </c>
      <c r="G813" s="4">
        <f>Raw_Transactions!G813</f>
        <v/>
      </c>
      <c r="H813" s="4">
        <f>XLOOKUP(B813,Raw_Risk_Profiles!$A:$A,Raw_Risk_Profiles!$B:$B,"Not Found")</f>
        <v/>
      </c>
      <c r="I813" s="4">
        <f>XLOOKUP(B813,Raw_Risk_Profiles!$A:$A,Raw_Risk_Profiles!$C:$C,"Missing")</f>
        <v/>
      </c>
      <c r="J813" s="4">
        <f>XLOOKUP(B813,Raw_Risk_Profiles!$A:$A,Raw_Risk_Profiles!$D:$D,"")</f>
        <v/>
      </c>
      <c r="K813" s="4">
        <f>IFERROR(INDEX(Raw_Risk_Profiles!$E:$E,MATCH(B813,Raw_Risk_Profiles!$A:$A,0)),"Unknown")</f>
        <v/>
      </c>
      <c r="L813" s="4">
        <f>IFERROR(XLOOKUP(A813,Raw_Alerts!$B:$B,Raw_Alerts!$A:$A),"No Alert")</f>
        <v/>
      </c>
      <c r="M813" s="4">
        <f>IFERROR(XLOOKUP(A813,Raw_Alerts!$B:$B,Raw_Alerts!$C:$C),"")</f>
        <v/>
      </c>
      <c r="N813" s="4">
        <f>IFERROR(XLOOKUP(A813,Raw_Alerts!$B:$B,Raw_Alerts!$D:$D),"")</f>
        <v/>
      </c>
      <c r="O813" s="4">
        <f>IFERROR(XLOOKUP(A813,Raw_Alerts!$B:$B,Raw_Alerts!$F:$F),"")</f>
        <v/>
      </c>
      <c r="P813" s="4">
        <f>IF(H813="Not Found","CRITICAL: No Risk Profile",IF(I813="Missing","WARN: Missing KYC",IF(I813="Expired","WARN: KYC Expired",IF(I813="Pending","INFO: KYC Pending","OK"))))</f>
        <v/>
      </c>
    </row>
    <row r="814">
      <c r="A814" s="2">
        <f>Raw_Transactions!A814</f>
        <v/>
      </c>
      <c r="B814" s="2">
        <f>Raw_Transactions!B814</f>
        <v/>
      </c>
      <c r="C814" s="2">
        <f>Raw_Transactions!C814</f>
        <v/>
      </c>
      <c r="D814" s="3">
        <f>Raw_Transactions!D814</f>
        <v/>
      </c>
      <c r="E814" s="2">
        <f>Raw_Transactions!E814</f>
        <v/>
      </c>
      <c r="F814" s="2">
        <f>Raw_Transactions!F814</f>
        <v/>
      </c>
      <c r="G814" s="2">
        <f>Raw_Transactions!G814</f>
        <v/>
      </c>
      <c r="H814" s="2">
        <f>XLOOKUP(B814,Raw_Risk_Profiles!$A:$A,Raw_Risk_Profiles!$B:$B,"Not Found")</f>
        <v/>
      </c>
      <c r="I814" s="2">
        <f>XLOOKUP(B814,Raw_Risk_Profiles!$A:$A,Raw_Risk_Profiles!$C:$C,"Missing")</f>
        <v/>
      </c>
      <c r="J814" s="2">
        <f>XLOOKUP(B814,Raw_Risk_Profiles!$A:$A,Raw_Risk_Profiles!$D:$D,"")</f>
        <v/>
      </c>
      <c r="K814" s="2">
        <f>IFERROR(INDEX(Raw_Risk_Profiles!$E:$E,MATCH(B814,Raw_Risk_Profiles!$A:$A,0)),"Unknown")</f>
        <v/>
      </c>
      <c r="L814" s="2">
        <f>IFERROR(XLOOKUP(A814,Raw_Alerts!$B:$B,Raw_Alerts!$A:$A),"No Alert")</f>
        <v/>
      </c>
      <c r="M814" s="2">
        <f>IFERROR(XLOOKUP(A814,Raw_Alerts!$B:$B,Raw_Alerts!$C:$C),"")</f>
        <v/>
      </c>
      <c r="N814" s="2">
        <f>IFERROR(XLOOKUP(A814,Raw_Alerts!$B:$B,Raw_Alerts!$D:$D),"")</f>
        <v/>
      </c>
      <c r="O814" s="2">
        <f>IFERROR(XLOOKUP(A814,Raw_Alerts!$B:$B,Raw_Alerts!$F:$F),"")</f>
        <v/>
      </c>
      <c r="P814" s="2">
        <f>IF(H814="Not Found","CRITICAL: No Risk Profile",IF(I814="Missing","WARN: Missing KYC",IF(I814="Expired","WARN: KYC Expired",IF(I814="Pending","INFO: KYC Pending","OK"))))</f>
        <v/>
      </c>
    </row>
    <row r="815">
      <c r="A815" s="4">
        <f>Raw_Transactions!A815</f>
        <v/>
      </c>
      <c r="B815" s="4">
        <f>Raw_Transactions!B815</f>
        <v/>
      </c>
      <c r="C815" s="4">
        <f>Raw_Transactions!C815</f>
        <v/>
      </c>
      <c r="D815" s="5">
        <f>Raw_Transactions!D815</f>
        <v/>
      </c>
      <c r="E815" s="4">
        <f>Raw_Transactions!E815</f>
        <v/>
      </c>
      <c r="F815" s="4">
        <f>Raw_Transactions!F815</f>
        <v/>
      </c>
      <c r="G815" s="4">
        <f>Raw_Transactions!G815</f>
        <v/>
      </c>
      <c r="H815" s="4">
        <f>XLOOKUP(B815,Raw_Risk_Profiles!$A:$A,Raw_Risk_Profiles!$B:$B,"Not Found")</f>
        <v/>
      </c>
      <c r="I815" s="4">
        <f>XLOOKUP(B815,Raw_Risk_Profiles!$A:$A,Raw_Risk_Profiles!$C:$C,"Missing")</f>
        <v/>
      </c>
      <c r="J815" s="4">
        <f>XLOOKUP(B815,Raw_Risk_Profiles!$A:$A,Raw_Risk_Profiles!$D:$D,"")</f>
        <v/>
      </c>
      <c r="K815" s="4">
        <f>IFERROR(INDEX(Raw_Risk_Profiles!$E:$E,MATCH(B815,Raw_Risk_Profiles!$A:$A,0)),"Unknown")</f>
        <v/>
      </c>
      <c r="L815" s="4">
        <f>IFERROR(XLOOKUP(A815,Raw_Alerts!$B:$B,Raw_Alerts!$A:$A),"No Alert")</f>
        <v/>
      </c>
      <c r="M815" s="4">
        <f>IFERROR(XLOOKUP(A815,Raw_Alerts!$B:$B,Raw_Alerts!$C:$C),"")</f>
        <v/>
      </c>
      <c r="N815" s="4">
        <f>IFERROR(XLOOKUP(A815,Raw_Alerts!$B:$B,Raw_Alerts!$D:$D),"")</f>
        <v/>
      </c>
      <c r="O815" s="4">
        <f>IFERROR(XLOOKUP(A815,Raw_Alerts!$B:$B,Raw_Alerts!$F:$F),"")</f>
        <v/>
      </c>
      <c r="P815" s="4">
        <f>IF(H815="Not Found","CRITICAL: No Risk Profile",IF(I815="Missing","WARN: Missing KYC",IF(I815="Expired","WARN: KYC Expired",IF(I815="Pending","INFO: KYC Pending","OK"))))</f>
        <v/>
      </c>
    </row>
    <row r="816">
      <c r="A816" s="2">
        <f>Raw_Transactions!A816</f>
        <v/>
      </c>
      <c r="B816" s="2">
        <f>Raw_Transactions!B816</f>
        <v/>
      </c>
      <c r="C816" s="2">
        <f>Raw_Transactions!C816</f>
        <v/>
      </c>
      <c r="D816" s="3">
        <f>Raw_Transactions!D816</f>
        <v/>
      </c>
      <c r="E816" s="2">
        <f>Raw_Transactions!E816</f>
        <v/>
      </c>
      <c r="F816" s="2">
        <f>Raw_Transactions!F816</f>
        <v/>
      </c>
      <c r="G816" s="2">
        <f>Raw_Transactions!G816</f>
        <v/>
      </c>
      <c r="H816" s="2">
        <f>XLOOKUP(B816,Raw_Risk_Profiles!$A:$A,Raw_Risk_Profiles!$B:$B,"Not Found")</f>
        <v/>
      </c>
      <c r="I816" s="2">
        <f>XLOOKUP(B816,Raw_Risk_Profiles!$A:$A,Raw_Risk_Profiles!$C:$C,"Missing")</f>
        <v/>
      </c>
      <c r="J816" s="2">
        <f>XLOOKUP(B816,Raw_Risk_Profiles!$A:$A,Raw_Risk_Profiles!$D:$D,"")</f>
        <v/>
      </c>
      <c r="K816" s="2">
        <f>IFERROR(INDEX(Raw_Risk_Profiles!$E:$E,MATCH(B816,Raw_Risk_Profiles!$A:$A,0)),"Unknown")</f>
        <v/>
      </c>
      <c r="L816" s="2">
        <f>IFERROR(XLOOKUP(A816,Raw_Alerts!$B:$B,Raw_Alerts!$A:$A),"No Alert")</f>
        <v/>
      </c>
      <c r="M816" s="2">
        <f>IFERROR(XLOOKUP(A816,Raw_Alerts!$B:$B,Raw_Alerts!$C:$C),"")</f>
        <v/>
      </c>
      <c r="N816" s="2">
        <f>IFERROR(XLOOKUP(A816,Raw_Alerts!$B:$B,Raw_Alerts!$D:$D),"")</f>
        <v/>
      </c>
      <c r="O816" s="2">
        <f>IFERROR(XLOOKUP(A816,Raw_Alerts!$B:$B,Raw_Alerts!$F:$F),"")</f>
        <v/>
      </c>
      <c r="P816" s="2">
        <f>IF(H816="Not Found","CRITICAL: No Risk Profile",IF(I816="Missing","WARN: Missing KYC",IF(I816="Expired","WARN: KYC Expired",IF(I816="Pending","INFO: KYC Pending","OK"))))</f>
        <v/>
      </c>
    </row>
    <row r="817">
      <c r="A817" s="4">
        <f>Raw_Transactions!A817</f>
        <v/>
      </c>
      <c r="B817" s="4">
        <f>Raw_Transactions!B817</f>
        <v/>
      </c>
      <c r="C817" s="4">
        <f>Raw_Transactions!C817</f>
        <v/>
      </c>
      <c r="D817" s="5">
        <f>Raw_Transactions!D817</f>
        <v/>
      </c>
      <c r="E817" s="4">
        <f>Raw_Transactions!E817</f>
        <v/>
      </c>
      <c r="F817" s="4">
        <f>Raw_Transactions!F817</f>
        <v/>
      </c>
      <c r="G817" s="4">
        <f>Raw_Transactions!G817</f>
        <v/>
      </c>
      <c r="H817" s="4">
        <f>XLOOKUP(B817,Raw_Risk_Profiles!$A:$A,Raw_Risk_Profiles!$B:$B,"Not Found")</f>
        <v/>
      </c>
      <c r="I817" s="4">
        <f>XLOOKUP(B817,Raw_Risk_Profiles!$A:$A,Raw_Risk_Profiles!$C:$C,"Missing")</f>
        <v/>
      </c>
      <c r="J817" s="4">
        <f>XLOOKUP(B817,Raw_Risk_Profiles!$A:$A,Raw_Risk_Profiles!$D:$D,"")</f>
        <v/>
      </c>
      <c r="K817" s="4">
        <f>IFERROR(INDEX(Raw_Risk_Profiles!$E:$E,MATCH(B817,Raw_Risk_Profiles!$A:$A,0)),"Unknown")</f>
        <v/>
      </c>
      <c r="L817" s="4">
        <f>IFERROR(XLOOKUP(A817,Raw_Alerts!$B:$B,Raw_Alerts!$A:$A),"No Alert")</f>
        <v/>
      </c>
      <c r="M817" s="4">
        <f>IFERROR(XLOOKUP(A817,Raw_Alerts!$B:$B,Raw_Alerts!$C:$C),"")</f>
        <v/>
      </c>
      <c r="N817" s="4">
        <f>IFERROR(XLOOKUP(A817,Raw_Alerts!$B:$B,Raw_Alerts!$D:$D),"")</f>
        <v/>
      </c>
      <c r="O817" s="4">
        <f>IFERROR(XLOOKUP(A817,Raw_Alerts!$B:$B,Raw_Alerts!$F:$F),"")</f>
        <v/>
      </c>
      <c r="P817" s="4">
        <f>IF(H817="Not Found","CRITICAL: No Risk Profile",IF(I817="Missing","WARN: Missing KYC",IF(I817="Expired","WARN: KYC Expired",IF(I817="Pending","INFO: KYC Pending","OK"))))</f>
        <v/>
      </c>
    </row>
    <row r="818">
      <c r="A818" s="2">
        <f>Raw_Transactions!A818</f>
        <v/>
      </c>
      <c r="B818" s="2">
        <f>Raw_Transactions!B818</f>
        <v/>
      </c>
      <c r="C818" s="2">
        <f>Raw_Transactions!C818</f>
        <v/>
      </c>
      <c r="D818" s="3">
        <f>Raw_Transactions!D818</f>
        <v/>
      </c>
      <c r="E818" s="2">
        <f>Raw_Transactions!E818</f>
        <v/>
      </c>
      <c r="F818" s="2">
        <f>Raw_Transactions!F818</f>
        <v/>
      </c>
      <c r="G818" s="2">
        <f>Raw_Transactions!G818</f>
        <v/>
      </c>
      <c r="H818" s="2">
        <f>XLOOKUP(B818,Raw_Risk_Profiles!$A:$A,Raw_Risk_Profiles!$B:$B,"Not Found")</f>
        <v/>
      </c>
      <c r="I818" s="2">
        <f>XLOOKUP(B818,Raw_Risk_Profiles!$A:$A,Raw_Risk_Profiles!$C:$C,"Missing")</f>
        <v/>
      </c>
      <c r="J818" s="2">
        <f>XLOOKUP(B818,Raw_Risk_Profiles!$A:$A,Raw_Risk_Profiles!$D:$D,"")</f>
        <v/>
      </c>
      <c r="K818" s="2">
        <f>IFERROR(INDEX(Raw_Risk_Profiles!$E:$E,MATCH(B818,Raw_Risk_Profiles!$A:$A,0)),"Unknown")</f>
        <v/>
      </c>
      <c r="L818" s="2">
        <f>IFERROR(XLOOKUP(A818,Raw_Alerts!$B:$B,Raw_Alerts!$A:$A),"No Alert")</f>
        <v/>
      </c>
      <c r="M818" s="2">
        <f>IFERROR(XLOOKUP(A818,Raw_Alerts!$B:$B,Raw_Alerts!$C:$C),"")</f>
        <v/>
      </c>
      <c r="N818" s="2">
        <f>IFERROR(XLOOKUP(A818,Raw_Alerts!$B:$B,Raw_Alerts!$D:$D),"")</f>
        <v/>
      </c>
      <c r="O818" s="2">
        <f>IFERROR(XLOOKUP(A818,Raw_Alerts!$B:$B,Raw_Alerts!$F:$F),"")</f>
        <v/>
      </c>
      <c r="P818" s="2">
        <f>IF(H818="Not Found","CRITICAL: No Risk Profile",IF(I818="Missing","WARN: Missing KYC",IF(I818="Expired","WARN: KYC Expired",IF(I818="Pending","INFO: KYC Pending","OK"))))</f>
        <v/>
      </c>
    </row>
    <row r="819">
      <c r="A819" s="4">
        <f>Raw_Transactions!A819</f>
        <v/>
      </c>
      <c r="B819" s="4">
        <f>Raw_Transactions!B819</f>
        <v/>
      </c>
      <c r="C819" s="4">
        <f>Raw_Transactions!C819</f>
        <v/>
      </c>
      <c r="D819" s="5">
        <f>Raw_Transactions!D819</f>
        <v/>
      </c>
      <c r="E819" s="4">
        <f>Raw_Transactions!E819</f>
        <v/>
      </c>
      <c r="F819" s="4">
        <f>Raw_Transactions!F819</f>
        <v/>
      </c>
      <c r="G819" s="4">
        <f>Raw_Transactions!G819</f>
        <v/>
      </c>
      <c r="H819" s="4">
        <f>XLOOKUP(B819,Raw_Risk_Profiles!$A:$A,Raw_Risk_Profiles!$B:$B,"Not Found")</f>
        <v/>
      </c>
      <c r="I819" s="4">
        <f>XLOOKUP(B819,Raw_Risk_Profiles!$A:$A,Raw_Risk_Profiles!$C:$C,"Missing")</f>
        <v/>
      </c>
      <c r="J819" s="4">
        <f>XLOOKUP(B819,Raw_Risk_Profiles!$A:$A,Raw_Risk_Profiles!$D:$D,"")</f>
        <v/>
      </c>
      <c r="K819" s="4">
        <f>IFERROR(INDEX(Raw_Risk_Profiles!$E:$E,MATCH(B819,Raw_Risk_Profiles!$A:$A,0)),"Unknown")</f>
        <v/>
      </c>
      <c r="L819" s="4">
        <f>IFERROR(XLOOKUP(A819,Raw_Alerts!$B:$B,Raw_Alerts!$A:$A),"No Alert")</f>
        <v/>
      </c>
      <c r="M819" s="4">
        <f>IFERROR(XLOOKUP(A819,Raw_Alerts!$B:$B,Raw_Alerts!$C:$C),"")</f>
        <v/>
      </c>
      <c r="N819" s="4">
        <f>IFERROR(XLOOKUP(A819,Raw_Alerts!$B:$B,Raw_Alerts!$D:$D),"")</f>
        <v/>
      </c>
      <c r="O819" s="4">
        <f>IFERROR(XLOOKUP(A819,Raw_Alerts!$B:$B,Raw_Alerts!$F:$F),"")</f>
        <v/>
      </c>
      <c r="P819" s="4">
        <f>IF(H819="Not Found","CRITICAL: No Risk Profile",IF(I819="Missing","WARN: Missing KYC",IF(I819="Expired","WARN: KYC Expired",IF(I819="Pending","INFO: KYC Pending","OK"))))</f>
        <v/>
      </c>
    </row>
    <row r="820">
      <c r="A820" s="2">
        <f>Raw_Transactions!A820</f>
        <v/>
      </c>
      <c r="B820" s="2">
        <f>Raw_Transactions!B820</f>
        <v/>
      </c>
      <c r="C820" s="2">
        <f>Raw_Transactions!C820</f>
        <v/>
      </c>
      <c r="D820" s="3">
        <f>Raw_Transactions!D820</f>
        <v/>
      </c>
      <c r="E820" s="2">
        <f>Raw_Transactions!E820</f>
        <v/>
      </c>
      <c r="F820" s="2">
        <f>Raw_Transactions!F820</f>
        <v/>
      </c>
      <c r="G820" s="2">
        <f>Raw_Transactions!G820</f>
        <v/>
      </c>
      <c r="H820" s="2">
        <f>XLOOKUP(B820,Raw_Risk_Profiles!$A:$A,Raw_Risk_Profiles!$B:$B,"Not Found")</f>
        <v/>
      </c>
      <c r="I820" s="2">
        <f>XLOOKUP(B820,Raw_Risk_Profiles!$A:$A,Raw_Risk_Profiles!$C:$C,"Missing")</f>
        <v/>
      </c>
      <c r="J820" s="2">
        <f>XLOOKUP(B820,Raw_Risk_Profiles!$A:$A,Raw_Risk_Profiles!$D:$D,"")</f>
        <v/>
      </c>
      <c r="K820" s="2">
        <f>IFERROR(INDEX(Raw_Risk_Profiles!$E:$E,MATCH(B820,Raw_Risk_Profiles!$A:$A,0)),"Unknown")</f>
        <v/>
      </c>
      <c r="L820" s="2">
        <f>IFERROR(XLOOKUP(A820,Raw_Alerts!$B:$B,Raw_Alerts!$A:$A),"No Alert")</f>
        <v/>
      </c>
      <c r="M820" s="2">
        <f>IFERROR(XLOOKUP(A820,Raw_Alerts!$B:$B,Raw_Alerts!$C:$C),"")</f>
        <v/>
      </c>
      <c r="N820" s="2">
        <f>IFERROR(XLOOKUP(A820,Raw_Alerts!$B:$B,Raw_Alerts!$D:$D),"")</f>
        <v/>
      </c>
      <c r="O820" s="2">
        <f>IFERROR(XLOOKUP(A820,Raw_Alerts!$B:$B,Raw_Alerts!$F:$F),"")</f>
        <v/>
      </c>
      <c r="P820" s="2">
        <f>IF(H820="Not Found","CRITICAL: No Risk Profile",IF(I820="Missing","WARN: Missing KYC",IF(I820="Expired","WARN: KYC Expired",IF(I820="Pending","INFO: KYC Pending","OK"))))</f>
        <v/>
      </c>
    </row>
    <row r="821">
      <c r="A821" s="4">
        <f>Raw_Transactions!A821</f>
        <v/>
      </c>
      <c r="B821" s="4">
        <f>Raw_Transactions!B821</f>
        <v/>
      </c>
      <c r="C821" s="4">
        <f>Raw_Transactions!C821</f>
        <v/>
      </c>
      <c r="D821" s="5">
        <f>Raw_Transactions!D821</f>
        <v/>
      </c>
      <c r="E821" s="4">
        <f>Raw_Transactions!E821</f>
        <v/>
      </c>
      <c r="F821" s="4">
        <f>Raw_Transactions!F821</f>
        <v/>
      </c>
      <c r="G821" s="4">
        <f>Raw_Transactions!G821</f>
        <v/>
      </c>
      <c r="H821" s="4">
        <f>XLOOKUP(B821,Raw_Risk_Profiles!$A:$A,Raw_Risk_Profiles!$B:$B,"Not Found")</f>
        <v/>
      </c>
      <c r="I821" s="4">
        <f>XLOOKUP(B821,Raw_Risk_Profiles!$A:$A,Raw_Risk_Profiles!$C:$C,"Missing")</f>
        <v/>
      </c>
      <c r="J821" s="4">
        <f>XLOOKUP(B821,Raw_Risk_Profiles!$A:$A,Raw_Risk_Profiles!$D:$D,"")</f>
        <v/>
      </c>
      <c r="K821" s="4">
        <f>IFERROR(INDEX(Raw_Risk_Profiles!$E:$E,MATCH(B821,Raw_Risk_Profiles!$A:$A,0)),"Unknown")</f>
        <v/>
      </c>
      <c r="L821" s="4">
        <f>IFERROR(XLOOKUP(A821,Raw_Alerts!$B:$B,Raw_Alerts!$A:$A),"No Alert")</f>
        <v/>
      </c>
      <c r="M821" s="4">
        <f>IFERROR(XLOOKUP(A821,Raw_Alerts!$B:$B,Raw_Alerts!$C:$C),"")</f>
        <v/>
      </c>
      <c r="N821" s="4">
        <f>IFERROR(XLOOKUP(A821,Raw_Alerts!$B:$B,Raw_Alerts!$D:$D),"")</f>
        <v/>
      </c>
      <c r="O821" s="4">
        <f>IFERROR(XLOOKUP(A821,Raw_Alerts!$B:$B,Raw_Alerts!$F:$F),"")</f>
        <v/>
      </c>
      <c r="P821" s="4">
        <f>IF(H821="Not Found","CRITICAL: No Risk Profile",IF(I821="Missing","WARN: Missing KYC",IF(I821="Expired","WARN: KYC Expired",IF(I821="Pending","INFO: KYC Pending","OK"))))</f>
        <v/>
      </c>
    </row>
    <row r="822">
      <c r="A822" s="2">
        <f>Raw_Transactions!A822</f>
        <v/>
      </c>
      <c r="B822" s="2">
        <f>Raw_Transactions!B822</f>
        <v/>
      </c>
      <c r="C822" s="2">
        <f>Raw_Transactions!C822</f>
        <v/>
      </c>
      <c r="D822" s="3">
        <f>Raw_Transactions!D822</f>
        <v/>
      </c>
      <c r="E822" s="2">
        <f>Raw_Transactions!E822</f>
        <v/>
      </c>
      <c r="F822" s="2">
        <f>Raw_Transactions!F822</f>
        <v/>
      </c>
      <c r="G822" s="2">
        <f>Raw_Transactions!G822</f>
        <v/>
      </c>
      <c r="H822" s="2">
        <f>XLOOKUP(B822,Raw_Risk_Profiles!$A:$A,Raw_Risk_Profiles!$B:$B,"Not Found")</f>
        <v/>
      </c>
      <c r="I822" s="2">
        <f>XLOOKUP(B822,Raw_Risk_Profiles!$A:$A,Raw_Risk_Profiles!$C:$C,"Missing")</f>
        <v/>
      </c>
      <c r="J822" s="2">
        <f>XLOOKUP(B822,Raw_Risk_Profiles!$A:$A,Raw_Risk_Profiles!$D:$D,"")</f>
        <v/>
      </c>
      <c r="K822" s="2">
        <f>IFERROR(INDEX(Raw_Risk_Profiles!$E:$E,MATCH(B822,Raw_Risk_Profiles!$A:$A,0)),"Unknown")</f>
        <v/>
      </c>
      <c r="L822" s="2">
        <f>IFERROR(XLOOKUP(A822,Raw_Alerts!$B:$B,Raw_Alerts!$A:$A),"No Alert")</f>
        <v/>
      </c>
      <c r="M822" s="2">
        <f>IFERROR(XLOOKUP(A822,Raw_Alerts!$B:$B,Raw_Alerts!$C:$C),"")</f>
        <v/>
      </c>
      <c r="N822" s="2">
        <f>IFERROR(XLOOKUP(A822,Raw_Alerts!$B:$B,Raw_Alerts!$D:$D),"")</f>
        <v/>
      </c>
      <c r="O822" s="2">
        <f>IFERROR(XLOOKUP(A822,Raw_Alerts!$B:$B,Raw_Alerts!$F:$F),"")</f>
        <v/>
      </c>
      <c r="P822" s="2">
        <f>IF(H822="Not Found","CRITICAL: No Risk Profile",IF(I822="Missing","WARN: Missing KYC",IF(I822="Expired","WARN: KYC Expired",IF(I822="Pending","INFO: KYC Pending","OK"))))</f>
        <v/>
      </c>
    </row>
    <row r="823">
      <c r="A823" s="4">
        <f>Raw_Transactions!A823</f>
        <v/>
      </c>
      <c r="B823" s="4">
        <f>Raw_Transactions!B823</f>
        <v/>
      </c>
      <c r="C823" s="4">
        <f>Raw_Transactions!C823</f>
        <v/>
      </c>
      <c r="D823" s="5">
        <f>Raw_Transactions!D823</f>
        <v/>
      </c>
      <c r="E823" s="4">
        <f>Raw_Transactions!E823</f>
        <v/>
      </c>
      <c r="F823" s="4">
        <f>Raw_Transactions!F823</f>
        <v/>
      </c>
      <c r="G823" s="4">
        <f>Raw_Transactions!G823</f>
        <v/>
      </c>
      <c r="H823" s="4">
        <f>XLOOKUP(B823,Raw_Risk_Profiles!$A:$A,Raw_Risk_Profiles!$B:$B,"Not Found")</f>
        <v/>
      </c>
      <c r="I823" s="4">
        <f>XLOOKUP(B823,Raw_Risk_Profiles!$A:$A,Raw_Risk_Profiles!$C:$C,"Missing")</f>
        <v/>
      </c>
      <c r="J823" s="4">
        <f>XLOOKUP(B823,Raw_Risk_Profiles!$A:$A,Raw_Risk_Profiles!$D:$D,"")</f>
        <v/>
      </c>
      <c r="K823" s="4">
        <f>IFERROR(INDEX(Raw_Risk_Profiles!$E:$E,MATCH(B823,Raw_Risk_Profiles!$A:$A,0)),"Unknown")</f>
        <v/>
      </c>
      <c r="L823" s="4">
        <f>IFERROR(XLOOKUP(A823,Raw_Alerts!$B:$B,Raw_Alerts!$A:$A),"No Alert")</f>
        <v/>
      </c>
      <c r="M823" s="4">
        <f>IFERROR(XLOOKUP(A823,Raw_Alerts!$B:$B,Raw_Alerts!$C:$C),"")</f>
        <v/>
      </c>
      <c r="N823" s="4">
        <f>IFERROR(XLOOKUP(A823,Raw_Alerts!$B:$B,Raw_Alerts!$D:$D),"")</f>
        <v/>
      </c>
      <c r="O823" s="4">
        <f>IFERROR(XLOOKUP(A823,Raw_Alerts!$B:$B,Raw_Alerts!$F:$F),"")</f>
        <v/>
      </c>
      <c r="P823" s="4">
        <f>IF(H823="Not Found","CRITICAL: No Risk Profile",IF(I823="Missing","WARN: Missing KYC",IF(I823="Expired","WARN: KYC Expired",IF(I823="Pending","INFO: KYC Pending","OK"))))</f>
        <v/>
      </c>
    </row>
    <row r="824">
      <c r="A824" s="2">
        <f>Raw_Transactions!A824</f>
        <v/>
      </c>
      <c r="B824" s="2">
        <f>Raw_Transactions!B824</f>
        <v/>
      </c>
      <c r="C824" s="2">
        <f>Raw_Transactions!C824</f>
        <v/>
      </c>
      <c r="D824" s="3">
        <f>Raw_Transactions!D824</f>
        <v/>
      </c>
      <c r="E824" s="2">
        <f>Raw_Transactions!E824</f>
        <v/>
      </c>
      <c r="F824" s="2">
        <f>Raw_Transactions!F824</f>
        <v/>
      </c>
      <c r="G824" s="2">
        <f>Raw_Transactions!G824</f>
        <v/>
      </c>
      <c r="H824" s="2">
        <f>XLOOKUP(B824,Raw_Risk_Profiles!$A:$A,Raw_Risk_Profiles!$B:$B,"Not Found")</f>
        <v/>
      </c>
      <c r="I824" s="2">
        <f>XLOOKUP(B824,Raw_Risk_Profiles!$A:$A,Raw_Risk_Profiles!$C:$C,"Missing")</f>
        <v/>
      </c>
      <c r="J824" s="2">
        <f>XLOOKUP(B824,Raw_Risk_Profiles!$A:$A,Raw_Risk_Profiles!$D:$D,"")</f>
        <v/>
      </c>
      <c r="K824" s="2">
        <f>IFERROR(INDEX(Raw_Risk_Profiles!$E:$E,MATCH(B824,Raw_Risk_Profiles!$A:$A,0)),"Unknown")</f>
        <v/>
      </c>
      <c r="L824" s="2">
        <f>IFERROR(XLOOKUP(A824,Raw_Alerts!$B:$B,Raw_Alerts!$A:$A),"No Alert")</f>
        <v/>
      </c>
      <c r="M824" s="2">
        <f>IFERROR(XLOOKUP(A824,Raw_Alerts!$B:$B,Raw_Alerts!$C:$C),"")</f>
        <v/>
      </c>
      <c r="N824" s="2">
        <f>IFERROR(XLOOKUP(A824,Raw_Alerts!$B:$B,Raw_Alerts!$D:$D),"")</f>
        <v/>
      </c>
      <c r="O824" s="2">
        <f>IFERROR(XLOOKUP(A824,Raw_Alerts!$B:$B,Raw_Alerts!$F:$F),"")</f>
        <v/>
      </c>
      <c r="P824" s="2">
        <f>IF(H824="Not Found","CRITICAL: No Risk Profile",IF(I824="Missing","WARN: Missing KYC",IF(I824="Expired","WARN: KYC Expired",IF(I824="Pending","INFO: KYC Pending","OK"))))</f>
        <v/>
      </c>
    </row>
    <row r="825">
      <c r="A825" s="4">
        <f>Raw_Transactions!A825</f>
        <v/>
      </c>
      <c r="B825" s="4">
        <f>Raw_Transactions!B825</f>
        <v/>
      </c>
      <c r="C825" s="4">
        <f>Raw_Transactions!C825</f>
        <v/>
      </c>
      <c r="D825" s="5">
        <f>Raw_Transactions!D825</f>
        <v/>
      </c>
      <c r="E825" s="4">
        <f>Raw_Transactions!E825</f>
        <v/>
      </c>
      <c r="F825" s="4">
        <f>Raw_Transactions!F825</f>
        <v/>
      </c>
      <c r="G825" s="4">
        <f>Raw_Transactions!G825</f>
        <v/>
      </c>
      <c r="H825" s="4">
        <f>XLOOKUP(B825,Raw_Risk_Profiles!$A:$A,Raw_Risk_Profiles!$B:$B,"Not Found")</f>
        <v/>
      </c>
      <c r="I825" s="4">
        <f>XLOOKUP(B825,Raw_Risk_Profiles!$A:$A,Raw_Risk_Profiles!$C:$C,"Missing")</f>
        <v/>
      </c>
      <c r="J825" s="4">
        <f>XLOOKUP(B825,Raw_Risk_Profiles!$A:$A,Raw_Risk_Profiles!$D:$D,"")</f>
        <v/>
      </c>
      <c r="K825" s="4">
        <f>IFERROR(INDEX(Raw_Risk_Profiles!$E:$E,MATCH(B825,Raw_Risk_Profiles!$A:$A,0)),"Unknown")</f>
        <v/>
      </c>
      <c r="L825" s="4">
        <f>IFERROR(XLOOKUP(A825,Raw_Alerts!$B:$B,Raw_Alerts!$A:$A),"No Alert")</f>
        <v/>
      </c>
      <c r="M825" s="4">
        <f>IFERROR(XLOOKUP(A825,Raw_Alerts!$B:$B,Raw_Alerts!$C:$C),"")</f>
        <v/>
      </c>
      <c r="N825" s="4">
        <f>IFERROR(XLOOKUP(A825,Raw_Alerts!$B:$B,Raw_Alerts!$D:$D),"")</f>
        <v/>
      </c>
      <c r="O825" s="4">
        <f>IFERROR(XLOOKUP(A825,Raw_Alerts!$B:$B,Raw_Alerts!$F:$F),"")</f>
        <v/>
      </c>
      <c r="P825" s="4">
        <f>IF(H825="Not Found","CRITICAL: No Risk Profile",IF(I825="Missing","WARN: Missing KYC",IF(I825="Expired","WARN: KYC Expired",IF(I825="Pending","INFO: KYC Pending","OK"))))</f>
        <v/>
      </c>
    </row>
    <row r="826">
      <c r="A826" s="2">
        <f>Raw_Transactions!A826</f>
        <v/>
      </c>
      <c r="B826" s="2">
        <f>Raw_Transactions!B826</f>
        <v/>
      </c>
      <c r="C826" s="2">
        <f>Raw_Transactions!C826</f>
        <v/>
      </c>
      <c r="D826" s="3">
        <f>Raw_Transactions!D826</f>
        <v/>
      </c>
      <c r="E826" s="2">
        <f>Raw_Transactions!E826</f>
        <v/>
      </c>
      <c r="F826" s="2">
        <f>Raw_Transactions!F826</f>
        <v/>
      </c>
      <c r="G826" s="2">
        <f>Raw_Transactions!G826</f>
        <v/>
      </c>
      <c r="H826" s="2">
        <f>XLOOKUP(B826,Raw_Risk_Profiles!$A:$A,Raw_Risk_Profiles!$B:$B,"Not Found")</f>
        <v/>
      </c>
      <c r="I826" s="2">
        <f>XLOOKUP(B826,Raw_Risk_Profiles!$A:$A,Raw_Risk_Profiles!$C:$C,"Missing")</f>
        <v/>
      </c>
      <c r="J826" s="2">
        <f>XLOOKUP(B826,Raw_Risk_Profiles!$A:$A,Raw_Risk_Profiles!$D:$D,"")</f>
        <v/>
      </c>
      <c r="K826" s="2">
        <f>IFERROR(INDEX(Raw_Risk_Profiles!$E:$E,MATCH(B826,Raw_Risk_Profiles!$A:$A,0)),"Unknown")</f>
        <v/>
      </c>
      <c r="L826" s="2">
        <f>IFERROR(XLOOKUP(A826,Raw_Alerts!$B:$B,Raw_Alerts!$A:$A),"No Alert")</f>
        <v/>
      </c>
      <c r="M826" s="2">
        <f>IFERROR(XLOOKUP(A826,Raw_Alerts!$B:$B,Raw_Alerts!$C:$C),"")</f>
        <v/>
      </c>
      <c r="N826" s="2">
        <f>IFERROR(XLOOKUP(A826,Raw_Alerts!$B:$B,Raw_Alerts!$D:$D),"")</f>
        <v/>
      </c>
      <c r="O826" s="2">
        <f>IFERROR(XLOOKUP(A826,Raw_Alerts!$B:$B,Raw_Alerts!$F:$F),"")</f>
        <v/>
      </c>
      <c r="P826" s="2">
        <f>IF(H826="Not Found","CRITICAL: No Risk Profile",IF(I826="Missing","WARN: Missing KYC",IF(I826="Expired","WARN: KYC Expired",IF(I826="Pending","INFO: KYC Pending","OK"))))</f>
        <v/>
      </c>
    </row>
    <row r="827">
      <c r="A827" s="4">
        <f>Raw_Transactions!A827</f>
        <v/>
      </c>
      <c r="B827" s="4">
        <f>Raw_Transactions!B827</f>
        <v/>
      </c>
      <c r="C827" s="4">
        <f>Raw_Transactions!C827</f>
        <v/>
      </c>
      <c r="D827" s="5">
        <f>Raw_Transactions!D827</f>
        <v/>
      </c>
      <c r="E827" s="4">
        <f>Raw_Transactions!E827</f>
        <v/>
      </c>
      <c r="F827" s="4">
        <f>Raw_Transactions!F827</f>
        <v/>
      </c>
      <c r="G827" s="4">
        <f>Raw_Transactions!G827</f>
        <v/>
      </c>
      <c r="H827" s="4">
        <f>XLOOKUP(B827,Raw_Risk_Profiles!$A:$A,Raw_Risk_Profiles!$B:$B,"Not Found")</f>
        <v/>
      </c>
      <c r="I827" s="4">
        <f>XLOOKUP(B827,Raw_Risk_Profiles!$A:$A,Raw_Risk_Profiles!$C:$C,"Missing")</f>
        <v/>
      </c>
      <c r="J827" s="4">
        <f>XLOOKUP(B827,Raw_Risk_Profiles!$A:$A,Raw_Risk_Profiles!$D:$D,"")</f>
        <v/>
      </c>
      <c r="K827" s="4">
        <f>IFERROR(INDEX(Raw_Risk_Profiles!$E:$E,MATCH(B827,Raw_Risk_Profiles!$A:$A,0)),"Unknown")</f>
        <v/>
      </c>
      <c r="L827" s="4">
        <f>IFERROR(XLOOKUP(A827,Raw_Alerts!$B:$B,Raw_Alerts!$A:$A),"No Alert")</f>
        <v/>
      </c>
      <c r="M827" s="4">
        <f>IFERROR(XLOOKUP(A827,Raw_Alerts!$B:$B,Raw_Alerts!$C:$C),"")</f>
        <v/>
      </c>
      <c r="N827" s="4">
        <f>IFERROR(XLOOKUP(A827,Raw_Alerts!$B:$B,Raw_Alerts!$D:$D),"")</f>
        <v/>
      </c>
      <c r="O827" s="4">
        <f>IFERROR(XLOOKUP(A827,Raw_Alerts!$B:$B,Raw_Alerts!$F:$F),"")</f>
        <v/>
      </c>
      <c r="P827" s="4">
        <f>IF(H827="Not Found","CRITICAL: No Risk Profile",IF(I827="Missing","WARN: Missing KYC",IF(I827="Expired","WARN: KYC Expired",IF(I827="Pending","INFO: KYC Pending","OK"))))</f>
        <v/>
      </c>
    </row>
    <row r="828">
      <c r="A828" s="2">
        <f>Raw_Transactions!A828</f>
        <v/>
      </c>
      <c r="B828" s="2">
        <f>Raw_Transactions!B828</f>
        <v/>
      </c>
      <c r="C828" s="2">
        <f>Raw_Transactions!C828</f>
        <v/>
      </c>
      <c r="D828" s="3">
        <f>Raw_Transactions!D828</f>
        <v/>
      </c>
      <c r="E828" s="2">
        <f>Raw_Transactions!E828</f>
        <v/>
      </c>
      <c r="F828" s="2">
        <f>Raw_Transactions!F828</f>
        <v/>
      </c>
      <c r="G828" s="2">
        <f>Raw_Transactions!G828</f>
        <v/>
      </c>
      <c r="H828" s="2">
        <f>XLOOKUP(B828,Raw_Risk_Profiles!$A:$A,Raw_Risk_Profiles!$B:$B,"Not Found")</f>
        <v/>
      </c>
      <c r="I828" s="2">
        <f>XLOOKUP(B828,Raw_Risk_Profiles!$A:$A,Raw_Risk_Profiles!$C:$C,"Missing")</f>
        <v/>
      </c>
      <c r="J828" s="2">
        <f>XLOOKUP(B828,Raw_Risk_Profiles!$A:$A,Raw_Risk_Profiles!$D:$D,"")</f>
        <v/>
      </c>
      <c r="K828" s="2">
        <f>IFERROR(INDEX(Raw_Risk_Profiles!$E:$E,MATCH(B828,Raw_Risk_Profiles!$A:$A,0)),"Unknown")</f>
        <v/>
      </c>
      <c r="L828" s="2">
        <f>IFERROR(XLOOKUP(A828,Raw_Alerts!$B:$B,Raw_Alerts!$A:$A),"No Alert")</f>
        <v/>
      </c>
      <c r="M828" s="2">
        <f>IFERROR(XLOOKUP(A828,Raw_Alerts!$B:$B,Raw_Alerts!$C:$C),"")</f>
        <v/>
      </c>
      <c r="N828" s="2">
        <f>IFERROR(XLOOKUP(A828,Raw_Alerts!$B:$B,Raw_Alerts!$D:$D),"")</f>
        <v/>
      </c>
      <c r="O828" s="2">
        <f>IFERROR(XLOOKUP(A828,Raw_Alerts!$B:$B,Raw_Alerts!$F:$F),"")</f>
        <v/>
      </c>
      <c r="P828" s="2">
        <f>IF(H828="Not Found","CRITICAL: No Risk Profile",IF(I828="Missing","WARN: Missing KYC",IF(I828="Expired","WARN: KYC Expired",IF(I828="Pending","INFO: KYC Pending","OK"))))</f>
        <v/>
      </c>
    </row>
    <row r="829">
      <c r="A829" s="4">
        <f>Raw_Transactions!A829</f>
        <v/>
      </c>
      <c r="B829" s="4">
        <f>Raw_Transactions!B829</f>
        <v/>
      </c>
      <c r="C829" s="4">
        <f>Raw_Transactions!C829</f>
        <v/>
      </c>
      <c r="D829" s="5">
        <f>Raw_Transactions!D829</f>
        <v/>
      </c>
      <c r="E829" s="4">
        <f>Raw_Transactions!E829</f>
        <v/>
      </c>
      <c r="F829" s="4">
        <f>Raw_Transactions!F829</f>
        <v/>
      </c>
      <c r="G829" s="4">
        <f>Raw_Transactions!G829</f>
        <v/>
      </c>
      <c r="H829" s="4">
        <f>XLOOKUP(B829,Raw_Risk_Profiles!$A:$A,Raw_Risk_Profiles!$B:$B,"Not Found")</f>
        <v/>
      </c>
      <c r="I829" s="4">
        <f>XLOOKUP(B829,Raw_Risk_Profiles!$A:$A,Raw_Risk_Profiles!$C:$C,"Missing")</f>
        <v/>
      </c>
      <c r="J829" s="4">
        <f>XLOOKUP(B829,Raw_Risk_Profiles!$A:$A,Raw_Risk_Profiles!$D:$D,"")</f>
        <v/>
      </c>
      <c r="K829" s="4">
        <f>IFERROR(INDEX(Raw_Risk_Profiles!$E:$E,MATCH(B829,Raw_Risk_Profiles!$A:$A,0)),"Unknown")</f>
        <v/>
      </c>
      <c r="L829" s="4">
        <f>IFERROR(XLOOKUP(A829,Raw_Alerts!$B:$B,Raw_Alerts!$A:$A),"No Alert")</f>
        <v/>
      </c>
      <c r="M829" s="4">
        <f>IFERROR(XLOOKUP(A829,Raw_Alerts!$B:$B,Raw_Alerts!$C:$C),"")</f>
        <v/>
      </c>
      <c r="N829" s="4">
        <f>IFERROR(XLOOKUP(A829,Raw_Alerts!$B:$B,Raw_Alerts!$D:$D),"")</f>
        <v/>
      </c>
      <c r="O829" s="4">
        <f>IFERROR(XLOOKUP(A829,Raw_Alerts!$B:$B,Raw_Alerts!$F:$F),"")</f>
        <v/>
      </c>
      <c r="P829" s="4">
        <f>IF(H829="Not Found","CRITICAL: No Risk Profile",IF(I829="Missing","WARN: Missing KYC",IF(I829="Expired","WARN: KYC Expired",IF(I829="Pending","INFO: KYC Pending","OK"))))</f>
        <v/>
      </c>
    </row>
    <row r="830">
      <c r="A830" s="2">
        <f>Raw_Transactions!A830</f>
        <v/>
      </c>
      <c r="B830" s="2">
        <f>Raw_Transactions!B830</f>
        <v/>
      </c>
      <c r="C830" s="2">
        <f>Raw_Transactions!C830</f>
        <v/>
      </c>
      <c r="D830" s="3">
        <f>Raw_Transactions!D830</f>
        <v/>
      </c>
      <c r="E830" s="2">
        <f>Raw_Transactions!E830</f>
        <v/>
      </c>
      <c r="F830" s="2">
        <f>Raw_Transactions!F830</f>
        <v/>
      </c>
      <c r="G830" s="2">
        <f>Raw_Transactions!G830</f>
        <v/>
      </c>
      <c r="H830" s="2">
        <f>XLOOKUP(B830,Raw_Risk_Profiles!$A:$A,Raw_Risk_Profiles!$B:$B,"Not Found")</f>
        <v/>
      </c>
      <c r="I830" s="2">
        <f>XLOOKUP(B830,Raw_Risk_Profiles!$A:$A,Raw_Risk_Profiles!$C:$C,"Missing")</f>
        <v/>
      </c>
      <c r="J830" s="2">
        <f>XLOOKUP(B830,Raw_Risk_Profiles!$A:$A,Raw_Risk_Profiles!$D:$D,"")</f>
        <v/>
      </c>
      <c r="K830" s="2">
        <f>IFERROR(INDEX(Raw_Risk_Profiles!$E:$E,MATCH(B830,Raw_Risk_Profiles!$A:$A,0)),"Unknown")</f>
        <v/>
      </c>
      <c r="L830" s="2">
        <f>IFERROR(XLOOKUP(A830,Raw_Alerts!$B:$B,Raw_Alerts!$A:$A),"No Alert")</f>
        <v/>
      </c>
      <c r="M830" s="2">
        <f>IFERROR(XLOOKUP(A830,Raw_Alerts!$B:$B,Raw_Alerts!$C:$C),"")</f>
        <v/>
      </c>
      <c r="N830" s="2">
        <f>IFERROR(XLOOKUP(A830,Raw_Alerts!$B:$B,Raw_Alerts!$D:$D),"")</f>
        <v/>
      </c>
      <c r="O830" s="2">
        <f>IFERROR(XLOOKUP(A830,Raw_Alerts!$B:$B,Raw_Alerts!$F:$F),"")</f>
        <v/>
      </c>
      <c r="P830" s="2">
        <f>IF(H830="Not Found","CRITICAL: No Risk Profile",IF(I830="Missing","WARN: Missing KYC",IF(I830="Expired","WARN: KYC Expired",IF(I830="Pending","INFO: KYC Pending","OK"))))</f>
        <v/>
      </c>
    </row>
    <row r="831">
      <c r="A831" s="4">
        <f>Raw_Transactions!A831</f>
        <v/>
      </c>
      <c r="B831" s="4">
        <f>Raw_Transactions!B831</f>
        <v/>
      </c>
      <c r="C831" s="4">
        <f>Raw_Transactions!C831</f>
        <v/>
      </c>
      <c r="D831" s="5">
        <f>Raw_Transactions!D831</f>
        <v/>
      </c>
      <c r="E831" s="4">
        <f>Raw_Transactions!E831</f>
        <v/>
      </c>
      <c r="F831" s="4">
        <f>Raw_Transactions!F831</f>
        <v/>
      </c>
      <c r="G831" s="4">
        <f>Raw_Transactions!G831</f>
        <v/>
      </c>
      <c r="H831" s="4">
        <f>XLOOKUP(B831,Raw_Risk_Profiles!$A:$A,Raw_Risk_Profiles!$B:$B,"Not Found")</f>
        <v/>
      </c>
      <c r="I831" s="4">
        <f>XLOOKUP(B831,Raw_Risk_Profiles!$A:$A,Raw_Risk_Profiles!$C:$C,"Missing")</f>
        <v/>
      </c>
      <c r="J831" s="4">
        <f>XLOOKUP(B831,Raw_Risk_Profiles!$A:$A,Raw_Risk_Profiles!$D:$D,"")</f>
        <v/>
      </c>
      <c r="K831" s="4">
        <f>IFERROR(INDEX(Raw_Risk_Profiles!$E:$E,MATCH(B831,Raw_Risk_Profiles!$A:$A,0)),"Unknown")</f>
        <v/>
      </c>
      <c r="L831" s="4">
        <f>IFERROR(XLOOKUP(A831,Raw_Alerts!$B:$B,Raw_Alerts!$A:$A),"No Alert")</f>
        <v/>
      </c>
      <c r="M831" s="4">
        <f>IFERROR(XLOOKUP(A831,Raw_Alerts!$B:$B,Raw_Alerts!$C:$C),"")</f>
        <v/>
      </c>
      <c r="N831" s="4">
        <f>IFERROR(XLOOKUP(A831,Raw_Alerts!$B:$B,Raw_Alerts!$D:$D),"")</f>
        <v/>
      </c>
      <c r="O831" s="4">
        <f>IFERROR(XLOOKUP(A831,Raw_Alerts!$B:$B,Raw_Alerts!$F:$F),"")</f>
        <v/>
      </c>
      <c r="P831" s="4">
        <f>IF(H831="Not Found","CRITICAL: No Risk Profile",IF(I831="Missing","WARN: Missing KYC",IF(I831="Expired","WARN: KYC Expired",IF(I831="Pending","INFO: KYC Pending","OK"))))</f>
        <v/>
      </c>
    </row>
    <row r="832">
      <c r="A832" s="2">
        <f>Raw_Transactions!A832</f>
        <v/>
      </c>
      <c r="B832" s="2">
        <f>Raw_Transactions!B832</f>
        <v/>
      </c>
      <c r="C832" s="2">
        <f>Raw_Transactions!C832</f>
        <v/>
      </c>
      <c r="D832" s="3">
        <f>Raw_Transactions!D832</f>
        <v/>
      </c>
      <c r="E832" s="2">
        <f>Raw_Transactions!E832</f>
        <v/>
      </c>
      <c r="F832" s="2">
        <f>Raw_Transactions!F832</f>
        <v/>
      </c>
      <c r="G832" s="2">
        <f>Raw_Transactions!G832</f>
        <v/>
      </c>
      <c r="H832" s="2">
        <f>XLOOKUP(B832,Raw_Risk_Profiles!$A:$A,Raw_Risk_Profiles!$B:$B,"Not Found")</f>
        <v/>
      </c>
      <c r="I832" s="2">
        <f>XLOOKUP(B832,Raw_Risk_Profiles!$A:$A,Raw_Risk_Profiles!$C:$C,"Missing")</f>
        <v/>
      </c>
      <c r="J832" s="2">
        <f>XLOOKUP(B832,Raw_Risk_Profiles!$A:$A,Raw_Risk_Profiles!$D:$D,"")</f>
        <v/>
      </c>
      <c r="K832" s="2">
        <f>IFERROR(INDEX(Raw_Risk_Profiles!$E:$E,MATCH(B832,Raw_Risk_Profiles!$A:$A,0)),"Unknown")</f>
        <v/>
      </c>
      <c r="L832" s="2">
        <f>IFERROR(XLOOKUP(A832,Raw_Alerts!$B:$B,Raw_Alerts!$A:$A),"No Alert")</f>
        <v/>
      </c>
      <c r="M832" s="2">
        <f>IFERROR(XLOOKUP(A832,Raw_Alerts!$B:$B,Raw_Alerts!$C:$C),"")</f>
        <v/>
      </c>
      <c r="N832" s="2">
        <f>IFERROR(XLOOKUP(A832,Raw_Alerts!$B:$B,Raw_Alerts!$D:$D),"")</f>
        <v/>
      </c>
      <c r="O832" s="2">
        <f>IFERROR(XLOOKUP(A832,Raw_Alerts!$B:$B,Raw_Alerts!$F:$F),"")</f>
        <v/>
      </c>
      <c r="P832" s="2">
        <f>IF(H832="Not Found","CRITICAL: No Risk Profile",IF(I832="Missing","WARN: Missing KYC",IF(I832="Expired","WARN: KYC Expired",IF(I832="Pending","INFO: KYC Pending","OK"))))</f>
        <v/>
      </c>
    </row>
    <row r="833">
      <c r="A833" s="4">
        <f>Raw_Transactions!A833</f>
        <v/>
      </c>
      <c r="B833" s="4">
        <f>Raw_Transactions!B833</f>
        <v/>
      </c>
      <c r="C833" s="4">
        <f>Raw_Transactions!C833</f>
        <v/>
      </c>
      <c r="D833" s="5">
        <f>Raw_Transactions!D833</f>
        <v/>
      </c>
      <c r="E833" s="4">
        <f>Raw_Transactions!E833</f>
        <v/>
      </c>
      <c r="F833" s="4">
        <f>Raw_Transactions!F833</f>
        <v/>
      </c>
      <c r="G833" s="4">
        <f>Raw_Transactions!G833</f>
        <v/>
      </c>
      <c r="H833" s="4">
        <f>XLOOKUP(B833,Raw_Risk_Profiles!$A:$A,Raw_Risk_Profiles!$B:$B,"Not Found")</f>
        <v/>
      </c>
      <c r="I833" s="4">
        <f>XLOOKUP(B833,Raw_Risk_Profiles!$A:$A,Raw_Risk_Profiles!$C:$C,"Missing")</f>
        <v/>
      </c>
      <c r="J833" s="4">
        <f>XLOOKUP(B833,Raw_Risk_Profiles!$A:$A,Raw_Risk_Profiles!$D:$D,"")</f>
        <v/>
      </c>
      <c r="K833" s="4">
        <f>IFERROR(INDEX(Raw_Risk_Profiles!$E:$E,MATCH(B833,Raw_Risk_Profiles!$A:$A,0)),"Unknown")</f>
        <v/>
      </c>
      <c r="L833" s="4">
        <f>IFERROR(XLOOKUP(A833,Raw_Alerts!$B:$B,Raw_Alerts!$A:$A),"No Alert")</f>
        <v/>
      </c>
      <c r="M833" s="4">
        <f>IFERROR(XLOOKUP(A833,Raw_Alerts!$B:$B,Raw_Alerts!$C:$C),"")</f>
        <v/>
      </c>
      <c r="N833" s="4">
        <f>IFERROR(XLOOKUP(A833,Raw_Alerts!$B:$B,Raw_Alerts!$D:$D),"")</f>
        <v/>
      </c>
      <c r="O833" s="4">
        <f>IFERROR(XLOOKUP(A833,Raw_Alerts!$B:$B,Raw_Alerts!$F:$F),"")</f>
        <v/>
      </c>
      <c r="P833" s="4">
        <f>IF(H833="Not Found","CRITICAL: No Risk Profile",IF(I833="Missing","WARN: Missing KYC",IF(I833="Expired","WARN: KYC Expired",IF(I833="Pending","INFO: KYC Pending","OK"))))</f>
        <v/>
      </c>
    </row>
    <row r="834">
      <c r="A834" s="2">
        <f>Raw_Transactions!A834</f>
        <v/>
      </c>
      <c r="B834" s="2">
        <f>Raw_Transactions!B834</f>
        <v/>
      </c>
      <c r="C834" s="2">
        <f>Raw_Transactions!C834</f>
        <v/>
      </c>
      <c r="D834" s="3">
        <f>Raw_Transactions!D834</f>
        <v/>
      </c>
      <c r="E834" s="2">
        <f>Raw_Transactions!E834</f>
        <v/>
      </c>
      <c r="F834" s="2">
        <f>Raw_Transactions!F834</f>
        <v/>
      </c>
      <c r="G834" s="2">
        <f>Raw_Transactions!G834</f>
        <v/>
      </c>
      <c r="H834" s="2">
        <f>XLOOKUP(B834,Raw_Risk_Profiles!$A:$A,Raw_Risk_Profiles!$B:$B,"Not Found")</f>
        <v/>
      </c>
      <c r="I834" s="2">
        <f>XLOOKUP(B834,Raw_Risk_Profiles!$A:$A,Raw_Risk_Profiles!$C:$C,"Missing")</f>
        <v/>
      </c>
      <c r="J834" s="2">
        <f>XLOOKUP(B834,Raw_Risk_Profiles!$A:$A,Raw_Risk_Profiles!$D:$D,"")</f>
        <v/>
      </c>
      <c r="K834" s="2">
        <f>IFERROR(INDEX(Raw_Risk_Profiles!$E:$E,MATCH(B834,Raw_Risk_Profiles!$A:$A,0)),"Unknown")</f>
        <v/>
      </c>
      <c r="L834" s="2">
        <f>IFERROR(XLOOKUP(A834,Raw_Alerts!$B:$B,Raw_Alerts!$A:$A),"No Alert")</f>
        <v/>
      </c>
      <c r="M834" s="2">
        <f>IFERROR(XLOOKUP(A834,Raw_Alerts!$B:$B,Raw_Alerts!$C:$C),"")</f>
        <v/>
      </c>
      <c r="N834" s="2">
        <f>IFERROR(XLOOKUP(A834,Raw_Alerts!$B:$B,Raw_Alerts!$D:$D),"")</f>
        <v/>
      </c>
      <c r="O834" s="2">
        <f>IFERROR(XLOOKUP(A834,Raw_Alerts!$B:$B,Raw_Alerts!$F:$F),"")</f>
        <v/>
      </c>
      <c r="P834" s="2">
        <f>IF(H834="Not Found","CRITICAL: No Risk Profile",IF(I834="Missing","WARN: Missing KYC",IF(I834="Expired","WARN: KYC Expired",IF(I834="Pending","INFO: KYC Pending","OK"))))</f>
        <v/>
      </c>
    </row>
    <row r="835">
      <c r="A835" s="4">
        <f>Raw_Transactions!A835</f>
        <v/>
      </c>
      <c r="B835" s="4">
        <f>Raw_Transactions!B835</f>
        <v/>
      </c>
      <c r="C835" s="4">
        <f>Raw_Transactions!C835</f>
        <v/>
      </c>
      <c r="D835" s="5">
        <f>Raw_Transactions!D835</f>
        <v/>
      </c>
      <c r="E835" s="4">
        <f>Raw_Transactions!E835</f>
        <v/>
      </c>
      <c r="F835" s="4">
        <f>Raw_Transactions!F835</f>
        <v/>
      </c>
      <c r="G835" s="4">
        <f>Raw_Transactions!G835</f>
        <v/>
      </c>
      <c r="H835" s="4">
        <f>XLOOKUP(B835,Raw_Risk_Profiles!$A:$A,Raw_Risk_Profiles!$B:$B,"Not Found")</f>
        <v/>
      </c>
      <c r="I835" s="4">
        <f>XLOOKUP(B835,Raw_Risk_Profiles!$A:$A,Raw_Risk_Profiles!$C:$C,"Missing")</f>
        <v/>
      </c>
      <c r="J835" s="4">
        <f>XLOOKUP(B835,Raw_Risk_Profiles!$A:$A,Raw_Risk_Profiles!$D:$D,"")</f>
        <v/>
      </c>
      <c r="K835" s="4">
        <f>IFERROR(INDEX(Raw_Risk_Profiles!$E:$E,MATCH(B835,Raw_Risk_Profiles!$A:$A,0)),"Unknown")</f>
        <v/>
      </c>
      <c r="L835" s="4">
        <f>IFERROR(XLOOKUP(A835,Raw_Alerts!$B:$B,Raw_Alerts!$A:$A),"No Alert")</f>
        <v/>
      </c>
      <c r="M835" s="4">
        <f>IFERROR(XLOOKUP(A835,Raw_Alerts!$B:$B,Raw_Alerts!$C:$C),"")</f>
        <v/>
      </c>
      <c r="N835" s="4">
        <f>IFERROR(XLOOKUP(A835,Raw_Alerts!$B:$B,Raw_Alerts!$D:$D),"")</f>
        <v/>
      </c>
      <c r="O835" s="4">
        <f>IFERROR(XLOOKUP(A835,Raw_Alerts!$B:$B,Raw_Alerts!$F:$F),"")</f>
        <v/>
      </c>
      <c r="P835" s="4">
        <f>IF(H835="Not Found","CRITICAL: No Risk Profile",IF(I835="Missing","WARN: Missing KYC",IF(I835="Expired","WARN: KYC Expired",IF(I835="Pending","INFO: KYC Pending","OK"))))</f>
        <v/>
      </c>
    </row>
    <row r="836">
      <c r="A836" s="2">
        <f>Raw_Transactions!A836</f>
        <v/>
      </c>
      <c r="B836" s="2">
        <f>Raw_Transactions!B836</f>
        <v/>
      </c>
      <c r="C836" s="2">
        <f>Raw_Transactions!C836</f>
        <v/>
      </c>
      <c r="D836" s="3">
        <f>Raw_Transactions!D836</f>
        <v/>
      </c>
      <c r="E836" s="2">
        <f>Raw_Transactions!E836</f>
        <v/>
      </c>
      <c r="F836" s="2">
        <f>Raw_Transactions!F836</f>
        <v/>
      </c>
      <c r="G836" s="2">
        <f>Raw_Transactions!G836</f>
        <v/>
      </c>
      <c r="H836" s="2">
        <f>XLOOKUP(B836,Raw_Risk_Profiles!$A:$A,Raw_Risk_Profiles!$B:$B,"Not Found")</f>
        <v/>
      </c>
      <c r="I836" s="2">
        <f>XLOOKUP(B836,Raw_Risk_Profiles!$A:$A,Raw_Risk_Profiles!$C:$C,"Missing")</f>
        <v/>
      </c>
      <c r="J836" s="2">
        <f>XLOOKUP(B836,Raw_Risk_Profiles!$A:$A,Raw_Risk_Profiles!$D:$D,"")</f>
        <v/>
      </c>
      <c r="K836" s="2">
        <f>IFERROR(INDEX(Raw_Risk_Profiles!$E:$E,MATCH(B836,Raw_Risk_Profiles!$A:$A,0)),"Unknown")</f>
        <v/>
      </c>
      <c r="L836" s="2">
        <f>IFERROR(XLOOKUP(A836,Raw_Alerts!$B:$B,Raw_Alerts!$A:$A),"No Alert")</f>
        <v/>
      </c>
      <c r="M836" s="2">
        <f>IFERROR(XLOOKUP(A836,Raw_Alerts!$B:$B,Raw_Alerts!$C:$C),"")</f>
        <v/>
      </c>
      <c r="N836" s="2">
        <f>IFERROR(XLOOKUP(A836,Raw_Alerts!$B:$B,Raw_Alerts!$D:$D),"")</f>
        <v/>
      </c>
      <c r="O836" s="2">
        <f>IFERROR(XLOOKUP(A836,Raw_Alerts!$B:$B,Raw_Alerts!$F:$F),"")</f>
        <v/>
      </c>
      <c r="P836" s="2">
        <f>IF(H836="Not Found","CRITICAL: No Risk Profile",IF(I836="Missing","WARN: Missing KYC",IF(I836="Expired","WARN: KYC Expired",IF(I836="Pending","INFO: KYC Pending","OK"))))</f>
        <v/>
      </c>
    </row>
    <row r="837">
      <c r="A837" s="4">
        <f>Raw_Transactions!A837</f>
        <v/>
      </c>
      <c r="B837" s="4">
        <f>Raw_Transactions!B837</f>
        <v/>
      </c>
      <c r="C837" s="4">
        <f>Raw_Transactions!C837</f>
        <v/>
      </c>
      <c r="D837" s="5">
        <f>Raw_Transactions!D837</f>
        <v/>
      </c>
      <c r="E837" s="4">
        <f>Raw_Transactions!E837</f>
        <v/>
      </c>
      <c r="F837" s="4">
        <f>Raw_Transactions!F837</f>
        <v/>
      </c>
      <c r="G837" s="4">
        <f>Raw_Transactions!G837</f>
        <v/>
      </c>
      <c r="H837" s="4">
        <f>XLOOKUP(B837,Raw_Risk_Profiles!$A:$A,Raw_Risk_Profiles!$B:$B,"Not Found")</f>
        <v/>
      </c>
      <c r="I837" s="4">
        <f>XLOOKUP(B837,Raw_Risk_Profiles!$A:$A,Raw_Risk_Profiles!$C:$C,"Missing")</f>
        <v/>
      </c>
      <c r="J837" s="4">
        <f>XLOOKUP(B837,Raw_Risk_Profiles!$A:$A,Raw_Risk_Profiles!$D:$D,"")</f>
        <v/>
      </c>
      <c r="K837" s="4">
        <f>IFERROR(INDEX(Raw_Risk_Profiles!$E:$E,MATCH(B837,Raw_Risk_Profiles!$A:$A,0)),"Unknown")</f>
        <v/>
      </c>
      <c r="L837" s="4">
        <f>IFERROR(XLOOKUP(A837,Raw_Alerts!$B:$B,Raw_Alerts!$A:$A),"No Alert")</f>
        <v/>
      </c>
      <c r="M837" s="4">
        <f>IFERROR(XLOOKUP(A837,Raw_Alerts!$B:$B,Raw_Alerts!$C:$C),"")</f>
        <v/>
      </c>
      <c r="N837" s="4">
        <f>IFERROR(XLOOKUP(A837,Raw_Alerts!$B:$B,Raw_Alerts!$D:$D),"")</f>
        <v/>
      </c>
      <c r="O837" s="4">
        <f>IFERROR(XLOOKUP(A837,Raw_Alerts!$B:$B,Raw_Alerts!$F:$F),"")</f>
        <v/>
      </c>
      <c r="P837" s="4">
        <f>IF(H837="Not Found","CRITICAL: No Risk Profile",IF(I837="Missing","WARN: Missing KYC",IF(I837="Expired","WARN: KYC Expired",IF(I837="Pending","INFO: KYC Pending","OK"))))</f>
        <v/>
      </c>
    </row>
    <row r="838">
      <c r="A838" s="2">
        <f>Raw_Transactions!A838</f>
        <v/>
      </c>
      <c r="B838" s="2">
        <f>Raw_Transactions!B838</f>
        <v/>
      </c>
      <c r="C838" s="2">
        <f>Raw_Transactions!C838</f>
        <v/>
      </c>
      <c r="D838" s="3">
        <f>Raw_Transactions!D838</f>
        <v/>
      </c>
      <c r="E838" s="2">
        <f>Raw_Transactions!E838</f>
        <v/>
      </c>
      <c r="F838" s="2">
        <f>Raw_Transactions!F838</f>
        <v/>
      </c>
      <c r="G838" s="2">
        <f>Raw_Transactions!G838</f>
        <v/>
      </c>
      <c r="H838" s="2">
        <f>XLOOKUP(B838,Raw_Risk_Profiles!$A:$A,Raw_Risk_Profiles!$B:$B,"Not Found")</f>
        <v/>
      </c>
      <c r="I838" s="2">
        <f>XLOOKUP(B838,Raw_Risk_Profiles!$A:$A,Raw_Risk_Profiles!$C:$C,"Missing")</f>
        <v/>
      </c>
      <c r="J838" s="2">
        <f>XLOOKUP(B838,Raw_Risk_Profiles!$A:$A,Raw_Risk_Profiles!$D:$D,"")</f>
        <v/>
      </c>
      <c r="K838" s="2">
        <f>IFERROR(INDEX(Raw_Risk_Profiles!$E:$E,MATCH(B838,Raw_Risk_Profiles!$A:$A,0)),"Unknown")</f>
        <v/>
      </c>
      <c r="L838" s="2">
        <f>IFERROR(XLOOKUP(A838,Raw_Alerts!$B:$B,Raw_Alerts!$A:$A),"No Alert")</f>
        <v/>
      </c>
      <c r="M838" s="2">
        <f>IFERROR(XLOOKUP(A838,Raw_Alerts!$B:$B,Raw_Alerts!$C:$C),"")</f>
        <v/>
      </c>
      <c r="N838" s="2">
        <f>IFERROR(XLOOKUP(A838,Raw_Alerts!$B:$B,Raw_Alerts!$D:$D),"")</f>
        <v/>
      </c>
      <c r="O838" s="2">
        <f>IFERROR(XLOOKUP(A838,Raw_Alerts!$B:$B,Raw_Alerts!$F:$F),"")</f>
        <v/>
      </c>
      <c r="P838" s="2">
        <f>IF(H838="Not Found","CRITICAL: No Risk Profile",IF(I838="Missing","WARN: Missing KYC",IF(I838="Expired","WARN: KYC Expired",IF(I838="Pending","INFO: KYC Pending","OK"))))</f>
        <v/>
      </c>
    </row>
    <row r="839">
      <c r="A839" s="4">
        <f>Raw_Transactions!A839</f>
        <v/>
      </c>
      <c r="B839" s="4">
        <f>Raw_Transactions!B839</f>
        <v/>
      </c>
      <c r="C839" s="4">
        <f>Raw_Transactions!C839</f>
        <v/>
      </c>
      <c r="D839" s="5">
        <f>Raw_Transactions!D839</f>
        <v/>
      </c>
      <c r="E839" s="4">
        <f>Raw_Transactions!E839</f>
        <v/>
      </c>
      <c r="F839" s="4">
        <f>Raw_Transactions!F839</f>
        <v/>
      </c>
      <c r="G839" s="4">
        <f>Raw_Transactions!G839</f>
        <v/>
      </c>
      <c r="H839" s="4">
        <f>XLOOKUP(B839,Raw_Risk_Profiles!$A:$A,Raw_Risk_Profiles!$B:$B,"Not Found")</f>
        <v/>
      </c>
      <c r="I839" s="4">
        <f>XLOOKUP(B839,Raw_Risk_Profiles!$A:$A,Raw_Risk_Profiles!$C:$C,"Missing")</f>
        <v/>
      </c>
      <c r="J839" s="4">
        <f>XLOOKUP(B839,Raw_Risk_Profiles!$A:$A,Raw_Risk_Profiles!$D:$D,"")</f>
        <v/>
      </c>
      <c r="K839" s="4">
        <f>IFERROR(INDEX(Raw_Risk_Profiles!$E:$E,MATCH(B839,Raw_Risk_Profiles!$A:$A,0)),"Unknown")</f>
        <v/>
      </c>
      <c r="L839" s="4">
        <f>IFERROR(XLOOKUP(A839,Raw_Alerts!$B:$B,Raw_Alerts!$A:$A),"No Alert")</f>
        <v/>
      </c>
      <c r="M839" s="4">
        <f>IFERROR(XLOOKUP(A839,Raw_Alerts!$B:$B,Raw_Alerts!$C:$C),"")</f>
        <v/>
      </c>
      <c r="N839" s="4">
        <f>IFERROR(XLOOKUP(A839,Raw_Alerts!$B:$B,Raw_Alerts!$D:$D),"")</f>
        <v/>
      </c>
      <c r="O839" s="4">
        <f>IFERROR(XLOOKUP(A839,Raw_Alerts!$B:$B,Raw_Alerts!$F:$F),"")</f>
        <v/>
      </c>
      <c r="P839" s="4">
        <f>IF(H839="Not Found","CRITICAL: No Risk Profile",IF(I839="Missing","WARN: Missing KYC",IF(I839="Expired","WARN: KYC Expired",IF(I839="Pending","INFO: KYC Pending","OK"))))</f>
        <v/>
      </c>
    </row>
    <row r="840">
      <c r="A840" s="2">
        <f>Raw_Transactions!A840</f>
        <v/>
      </c>
      <c r="B840" s="2">
        <f>Raw_Transactions!B840</f>
        <v/>
      </c>
      <c r="C840" s="2">
        <f>Raw_Transactions!C840</f>
        <v/>
      </c>
      <c r="D840" s="3">
        <f>Raw_Transactions!D840</f>
        <v/>
      </c>
      <c r="E840" s="2">
        <f>Raw_Transactions!E840</f>
        <v/>
      </c>
      <c r="F840" s="2">
        <f>Raw_Transactions!F840</f>
        <v/>
      </c>
      <c r="G840" s="2">
        <f>Raw_Transactions!G840</f>
        <v/>
      </c>
      <c r="H840" s="2">
        <f>XLOOKUP(B840,Raw_Risk_Profiles!$A:$A,Raw_Risk_Profiles!$B:$B,"Not Found")</f>
        <v/>
      </c>
      <c r="I840" s="2">
        <f>XLOOKUP(B840,Raw_Risk_Profiles!$A:$A,Raw_Risk_Profiles!$C:$C,"Missing")</f>
        <v/>
      </c>
      <c r="J840" s="2">
        <f>XLOOKUP(B840,Raw_Risk_Profiles!$A:$A,Raw_Risk_Profiles!$D:$D,"")</f>
        <v/>
      </c>
      <c r="K840" s="2">
        <f>IFERROR(INDEX(Raw_Risk_Profiles!$E:$E,MATCH(B840,Raw_Risk_Profiles!$A:$A,0)),"Unknown")</f>
        <v/>
      </c>
      <c r="L840" s="2">
        <f>IFERROR(XLOOKUP(A840,Raw_Alerts!$B:$B,Raw_Alerts!$A:$A),"No Alert")</f>
        <v/>
      </c>
      <c r="M840" s="2">
        <f>IFERROR(XLOOKUP(A840,Raw_Alerts!$B:$B,Raw_Alerts!$C:$C),"")</f>
        <v/>
      </c>
      <c r="N840" s="2">
        <f>IFERROR(XLOOKUP(A840,Raw_Alerts!$B:$B,Raw_Alerts!$D:$D),"")</f>
        <v/>
      </c>
      <c r="O840" s="2">
        <f>IFERROR(XLOOKUP(A840,Raw_Alerts!$B:$B,Raw_Alerts!$F:$F),"")</f>
        <v/>
      </c>
      <c r="P840" s="2">
        <f>IF(H840="Not Found","CRITICAL: No Risk Profile",IF(I840="Missing","WARN: Missing KYC",IF(I840="Expired","WARN: KYC Expired",IF(I840="Pending","INFO: KYC Pending","OK"))))</f>
        <v/>
      </c>
    </row>
    <row r="841">
      <c r="A841" s="4">
        <f>Raw_Transactions!A841</f>
        <v/>
      </c>
      <c r="B841" s="4">
        <f>Raw_Transactions!B841</f>
        <v/>
      </c>
      <c r="C841" s="4">
        <f>Raw_Transactions!C841</f>
        <v/>
      </c>
      <c r="D841" s="5">
        <f>Raw_Transactions!D841</f>
        <v/>
      </c>
      <c r="E841" s="4">
        <f>Raw_Transactions!E841</f>
        <v/>
      </c>
      <c r="F841" s="4">
        <f>Raw_Transactions!F841</f>
        <v/>
      </c>
      <c r="G841" s="4">
        <f>Raw_Transactions!G841</f>
        <v/>
      </c>
      <c r="H841" s="4">
        <f>XLOOKUP(B841,Raw_Risk_Profiles!$A:$A,Raw_Risk_Profiles!$B:$B,"Not Found")</f>
        <v/>
      </c>
      <c r="I841" s="4">
        <f>XLOOKUP(B841,Raw_Risk_Profiles!$A:$A,Raw_Risk_Profiles!$C:$C,"Missing")</f>
        <v/>
      </c>
      <c r="J841" s="4">
        <f>XLOOKUP(B841,Raw_Risk_Profiles!$A:$A,Raw_Risk_Profiles!$D:$D,"")</f>
        <v/>
      </c>
      <c r="K841" s="4">
        <f>IFERROR(INDEX(Raw_Risk_Profiles!$E:$E,MATCH(B841,Raw_Risk_Profiles!$A:$A,0)),"Unknown")</f>
        <v/>
      </c>
      <c r="L841" s="4">
        <f>IFERROR(XLOOKUP(A841,Raw_Alerts!$B:$B,Raw_Alerts!$A:$A),"No Alert")</f>
        <v/>
      </c>
      <c r="M841" s="4">
        <f>IFERROR(XLOOKUP(A841,Raw_Alerts!$B:$B,Raw_Alerts!$C:$C),"")</f>
        <v/>
      </c>
      <c r="N841" s="4">
        <f>IFERROR(XLOOKUP(A841,Raw_Alerts!$B:$B,Raw_Alerts!$D:$D),"")</f>
        <v/>
      </c>
      <c r="O841" s="4">
        <f>IFERROR(XLOOKUP(A841,Raw_Alerts!$B:$B,Raw_Alerts!$F:$F),"")</f>
        <v/>
      </c>
      <c r="P841" s="4">
        <f>IF(H841="Not Found","CRITICAL: No Risk Profile",IF(I841="Missing","WARN: Missing KYC",IF(I841="Expired","WARN: KYC Expired",IF(I841="Pending","INFO: KYC Pending","OK"))))</f>
        <v/>
      </c>
    </row>
    <row r="842">
      <c r="A842" s="2">
        <f>Raw_Transactions!A842</f>
        <v/>
      </c>
      <c r="B842" s="2">
        <f>Raw_Transactions!B842</f>
        <v/>
      </c>
      <c r="C842" s="2">
        <f>Raw_Transactions!C842</f>
        <v/>
      </c>
      <c r="D842" s="3">
        <f>Raw_Transactions!D842</f>
        <v/>
      </c>
      <c r="E842" s="2">
        <f>Raw_Transactions!E842</f>
        <v/>
      </c>
      <c r="F842" s="2">
        <f>Raw_Transactions!F842</f>
        <v/>
      </c>
      <c r="G842" s="2">
        <f>Raw_Transactions!G842</f>
        <v/>
      </c>
      <c r="H842" s="2">
        <f>XLOOKUP(B842,Raw_Risk_Profiles!$A:$A,Raw_Risk_Profiles!$B:$B,"Not Found")</f>
        <v/>
      </c>
      <c r="I842" s="2">
        <f>XLOOKUP(B842,Raw_Risk_Profiles!$A:$A,Raw_Risk_Profiles!$C:$C,"Missing")</f>
        <v/>
      </c>
      <c r="J842" s="2">
        <f>XLOOKUP(B842,Raw_Risk_Profiles!$A:$A,Raw_Risk_Profiles!$D:$D,"")</f>
        <v/>
      </c>
      <c r="K842" s="2">
        <f>IFERROR(INDEX(Raw_Risk_Profiles!$E:$E,MATCH(B842,Raw_Risk_Profiles!$A:$A,0)),"Unknown")</f>
        <v/>
      </c>
      <c r="L842" s="2">
        <f>IFERROR(XLOOKUP(A842,Raw_Alerts!$B:$B,Raw_Alerts!$A:$A),"No Alert")</f>
        <v/>
      </c>
      <c r="M842" s="2">
        <f>IFERROR(XLOOKUP(A842,Raw_Alerts!$B:$B,Raw_Alerts!$C:$C),"")</f>
        <v/>
      </c>
      <c r="N842" s="2">
        <f>IFERROR(XLOOKUP(A842,Raw_Alerts!$B:$B,Raw_Alerts!$D:$D),"")</f>
        <v/>
      </c>
      <c r="O842" s="2">
        <f>IFERROR(XLOOKUP(A842,Raw_Alerts!$B:$B,Raw_Alerts!$F:$F),"")</f>
        <v/>
      </c>
      <c r="P842" s="2">
        <f>IF(H842="Not Found","CRITICAL: No Risk Profile",IF(I842="Missing","WARN: Missing KYC",IF(I842="Expired","WARN: KYC Expired",IF(I842="Pending","INFO: KYC Pending","OK"))))</f>
        <v/>
      </c>
    </row>
    <row r="843">
      <c r="A843" s="4">
        <f>Raw_Transactions!A843</f>
        <v/>
      </c>
      <c r="B843" s="4">
        <f>Raw_Transactions!B843</f>
        <v/>
      </c>
      <c r="C843" s="4">
        <f>Raw_Transactions!C843</f>
        <v/>
      </c>
      <c r="D843" s="5">
        <f>Raw_Transactions!D843</f>
        <v/>
      </c>
      <c r="E843" s="4">
        <f>Raw_Transactions!E843</f>
        <v/>
      </c>
      <c r="F843" s="4">
        <f>Raw_Transactions!F843</f>
        <v/>
      </c>
      <c r="G843" s="4">
        <f>Raw_Transactions!G843</f>
        <v/>
      </c>
      <c r="H843" s="4">
        <f>XLOOKUP(B843,Raw_Risk_Profiles!$A:$A,Raw_Risk_Profiles!$B:$B,"Not Found")</f>
        <v/>
      </c>
      <c r="I843" s="4">
        <f>XLOOKUP(B843,Raw_Risk_Profiles!$A:$A,Raw_Risk_Profiles!$C:$C,"Missing")</f>
        <v/>
      </c>
      <c r="J843" s="4">
        <f>XLOOKUP(B843,Raw_Risk_Profiles!$A:$A,Raw_Risk_Profiles!$D:$D,"")</f>
        <v/>
      </c>
      <c r="K843" s="4">
        <f>IFERROR(INDEX(Raw_Risk_Profiles!$E:$E,MATCH(B843,Raw_Risk_Profiles!$A:$A,0)),"Unknown")</f>
        <v/>
      </c>
      <c r="L843" s="4">
        <f>IFERROR(XLOOKUP(A843,Raw_Alerts!$B:$B,Raw_Alerts!$A:$A),"No Alert")</f>
        <v/>
      </c>
      <c r="M843" s="4">
        <f>IFERROR(XLOOKUP(A843,Raw_Alerts!$B:$B,Raw_Alerts!$C:$C),"")</f>
        <v/>
      </c>
      <c r="N843" s="4">
        <f>IFERROR(XLOOKUP(A843,Raw_Alerts!$B:$B,Raw_Alerts!$D:$D),"")</f>
        <v/>
      </c>
      <c r="O843" s="4">
        <f>IFERROR(XLOOKUP(A843,Raw_Alerts!$B:$B,Raw_Alerts!$F:$F),"")</f>
        <v/>
      </c>
      <c r="P843" s="4">
        <f>IF(H843="Not Found","CRITICAL: No Risk Profile",IF(I843="Missing","WARN: Missing KYC",IF(I843="Expired","WARN: KYC Expired",IF(I843="Pending","INFO: KYC Pending","OK"))))</f>
        <v/>
      </c>
    </row>
    <row r="844">
      <c r="A844" s="2">
        <f>Raw_Transactions!A844</f>
        <v/>
      </c>
      <c r="B844" s="2">
        <f>Raw_Transactions!B844</f>
        <v/>
      </c>
      <c r="C844" s="2">
        <f>Raw_Transactions!C844</f>
        <v/>
      </c>
      <c r="D844" s="3">
        <f>Raw_Transactions!D844</f>
        <v/>
      </c>
      <c r="E844" s="2">
        <f>Raw_Transactions!E844</f>
        <v/>
      </c>
      <c r="F844" s="2">
        <f>Raw_Transactions!F844</f>
        <v/>
      </c>
      <c r="G844" s="2">
        <f>Raw_Transactions!G844</f>
        <v/>
      </c>
      <c r="H844" s="2">
        <f>XLOOKUP(B844,Raw_Risk_Profiles!$A:$A,Raw_Risk_Profiles!$B:$B,"Not Found")</f>
        <v/>
      </c>
      <c r="I844" s="2">
        <f>XLOOKUP(B844,Raw_Risk_Profiles!$A:$A,Raw_Risk_Profiles!$C:$C,"Missing")</f>
        <v/>
      </c>
      <c r="J844" s="2">
        <f>XLOOKUP(B844,Raw_Risk_Profiles!$A:$A,Raw_Risk_Profiles!$D:$D,"")</f>
        <v/>
      </c>
      <c r="K844" s="2">
        <f>IFERROR(INDEX(Raw_Risk_Profiles!$E:$E,MATCH(B844,Raw_Risk_Profiles!$A:$A,0)),"Unknown")</f>
        <v/>
      </c>
      <c r="L844" s="2">
        <f>IFERROR(XLOOKUP(A844,Raw_Alerts!$B:$B,Raw_Alerts!$A:$A),"No Alert")</f>
        <v/>
      </c>
      <c r="M844" s="2">
        <f>IFERROR(XLOOKUP(A844,Raw_Alerts!$B:$B,Raw_Alerts!$C:$C),"")</f>
        <v/>
      </c>
      <c r="N844" s="2">
        <f>IFERROR(XLOOKUP(A844,Raw_Alerts!$B:$B,Raw_Alerts!$D:$D),"")</f>
        <v/>
      </c>
      <c r="O844" s="2">
        <f>IFERROR(XLOOKUP(A844,Raw_Alerts!$B:$B,Raw_Alerts!$F:$F),"")</f>
        <v/>
      </c>
      <c r="P844" s="2">
        <f>IF(H844="Not Found","CRITICAL: No Risk Profile",IF(I844="Missing","WARN: Missing KYC",IF(I844="Expired","WARN: KYC Expired",IF(I844="Pending","INFO: KYC Pending","OK"))))</f>
        <v/>
      </c>
    </row>
    <row r="845">
      <c r="A845" s="4">
        <f>Raw_Transactions!A845</f>
        <v/>
      </c>
      <c r="B845" s="4">
        <f>Raw_Transactions!B845</f>
        <v/>
      </c>
      <c r="C845" s="4">
        <f>Raw_Transactions!C845</f>
        <v/>
      </c>
      <c r="D845" s="5">
        <f>Raw_Transactions!D845</f>
        <v/>
      </c>
      <c r="E845" s="4">
        <f>Raw_Transactions!E845</f>
        <v/>
      </c>
      <c r="F845" s="4">
        <f>Raw_Transactions!F845</f>
        <v/>
      </c>
      <c r="G845" s="4">
        <f>Raw_Transactions!G845</f>
        <v/>
      </c>
      <c r="H845" s="4">
        <f>XLOOKUP(B845,Raw_Risk_Profiles!$A:$A,Raw_Risk_Profiles!$B:$B,"Not Found")</f>
        <v/>
      </c>
      <c r="I845" s="4">
        <f>XLOOKUP(B845,Raw_Risk_Profiles!$A:$A,Raw_Risk_Profiles!$C:$C,"Missing")</f>
        <v/>
      </c>
      <c r="J845" s="4">
        <f>XLOOKUP(B845,Raw_Risk_Profiles!$A:$A,Raw_Risk_Profiles!$D:$D,"")</f>
        <v/>
      </c>
      <c r="K845" s="4">
        <f>IFERROR(INDEX(Raw_Risk_Profiles!$E:$E,MATCH(B845,Raw_Risk_Profiles!$A:$A,0)),"Unknown")</f>
        <v/>
      </c>
      <c r="L845" s="4">
        <f>IFERROR(XLOOKUP(A845,Raw_Alerts!$B:$B,Raw_Alerts!$A:$A),"No Alert")</f>
        <v/>
      </c>
      <c r="M845" s="4">
        <f>IFERROR(XLOOKUP(A845,Raw_Alerts!$B:$B,Raw_Alerts!$C:$C),"")</f>
        <v/>
      </c>
      <c r="N845" s="4">
        <f>IFERROR(XLOOKUP(A845,Raw_Alerts!$B:$B,Raw_Alerts!$D:$D),"")</f>
        <v/>
      </c>
      <c r="O845" s="4">
        <f>IFERROR(XLOOKUP(A845,Raw_Alerts!$B:$B,Raw_Alerts!$F:$F),"")</f>
        <v/>
      </c>
      <c r="P845" s="4">
        <f>IF(H845="Not Found","CRITICAL: No Risk Profile",IF(I845="Missing","WARN: Missing KYC",IF(I845="Expired","WARN: KYC Expired",IF(I845="Pending","INFO: KYC Pending","OK"))))</f>
        <v/>
      </c>
    </row>
    <row r="846">
      <c r="A846" s="2">
        <f>Raw_Transactions!A846</f>
        <v/>
      </c>
      <c r="B846" s="2">
        <f>Raw_Transactions!B846</f>
        <v/>
      </c>
      <c r="C846" s="2">
        <f>Raw_Transactions!C846</f>
        <v/>
      </c>
      <c r="D846" s="3">
        <f>Raw_Transactions!D846</f>
        <v/>
      </c>
      <c r="E846" s="2">
        <f>Raw_Transactions!E846</f>
        <v/>
      </c>
      <c r="F846" s="2">
        <f>Raw_Transactions!F846</f>
        <v/>
      </c>
      <c r="G846" s="2">
        <f>Raw_Transactions!G846</f>
        <v/>
      </c>
      <c r="H846" s="2">
        <f>XLOOKUP(B846,Raw_Risk_Profiles!$A:$A,Raw_Risk_Profiles!$B:$B,"Not Found")</f>
        <v/>
      </c>
      <c r="I846" s="2">
        <f>XLOOKUP(B846,Raw_Risk_Profiles!$A:$A,Raw_Risk_Profiles!$C:$C,"Missing")</f>
        <v/>
      </c>
      <c r="J846" s="2">
        <f>XLOOKUP(B846,Raw_Risk_Profiles!$A:$A,Raw_Risk_Profiles!$D:$D,"")</f>
        <v/>
      </c>
      <c r="K846" s="2">
        <f>IFERROR(INDEX(Raw_Risk_Profiles!$E:$E,MATCH(B846,Raw_Risk_Profiles!$A:$A,0)),"Unknown")</f>
        <v/>
      </c>
      <c r="L846" s="2">
        <f>IFERROR(XLOOKUP(A846,Raw_Alerts!$B:$B,Raw_Alerts!$A:$A),"No Alert")</f>
        <v/>
      </c>
      <c r="M846" s="2">
        <f>IFERROR(XLOOKUP(A846,Raw_Alerts!$B:$B,Raw_Alerts!$C:$C),"")</f>
        <v/>
      </c>
      <c r="N846" s="2">
        <f>IFERROR(XLOOKUP(A846,Raw_Alerts!$B:$B,Raw_Alerts!$D:$D),"")</f>
        <v/>
      </c>
      <c r="O846" s="2">
        <f>IFERROR(XLOOKUP(A846,Raw_Alerts!$B:$B,Raw_Alerts!$F:$F),"")</f>
        <v/>
      </c>
      <c r="P846" s="2">
        <f>IF(H846="Not Found","CRITICAL: No Risk Profile",IF(I846="Missing","WARN: Missing KYC",IF(I846="Expired","WARN: KYC Expired",IF(I846="Pending","INFO: KYC Pending","OK"))))</f>
        <v/>
      </c>
    </row>
    <row r="847">
      <c r="A847" s="4">
        <f>Raw_Transactions!A847</f>
        <v/>
      </c>
      <c r="B847" s="4">
        <f>Raw_Transactions!B847</f>
        <v/>
      </c>
      <c r="C847" s="4">
        <f>Raw_Transactions!C847</f>
        <v/>
      </c>
      <c r="D847" s="5">
        <f>Raw_Transactions!D847</f>
        <v/>
      </c>
      <c r="E847" s="4">
        <f>Raw_Transactions!E847</f>
        <v/>
      </c>
      <c r="F847" s="4">
        <f>Raw_Transactions!F847</f>
        <v/>
      </c>
      <c r="G847" s="4">
        <f>Raw_Transactions!G847</f>
        <v/>
      </c>
      <c r="H847" s="4">
        <f>XLOOKUP(B847,Raw_Risk_Profiles!$A:$A,Raw_Risk_Profiles!$B:$B,"Not Found")</f>
        <v/>
      </c>
      <c r="I847" s="4">
        <f>XLOOKUP(B847,Raw_Risk_Profiles!$A:$A,Raw_Risk_Profiles!$C:$C,"Missing")</f>
        <v/>
      </c>
      <c r="J847" s="4">
        <f>XLOOKUP(B847,Raw_Risk_Profiles!$A:$A,Raw_Risk_Profiles!$D:$D,"")</f>
        <v/>
      </c>
      <c r="K847" s="4">
        <f>IFERROR(INDEX(Raw_Risk_Profiles!$E:$E,MATCH(B847,Raw_Risk_Profiles!$A:$A,0)),"Unknown")</f>
        <v/>
      </c>
      <c r="L847" s="4">
        <f>IFERROR(XLOOKUP(A847,Raw_Alerts!$B:$B,Raw_Alerts!$A:$A),"No Alert")</f>
        <v/>
      </c>
      <c r="M847" s="4">
        <f>IFERROR(XLOOKUP(A847,Raw_Alerts!$B:$B,Raw_Alerts!$C:$C),"")</f>
        <v/>
      </c>
      <c r="N847" s="4">
        <f>IFERROR(XLOOKUP(A847,Raw_Alerts!$B:$B,Raw_Alerts!$D:$D),"")</f>
        <v/>
      </c>
      <c r="O847" s="4">
        <f>IFERROR(XLOOKUP(A847,Raw_Alerts!$B:$B,Raw_Alerts!$F:$F),"")</f>
        <v/>
      </c>
      <c r="P847" s="4">
        <f>IF(H847="Not Found","CRITICAL: No Risk Profile",IF(I847="Missing","WARN: Missing KYC",IF(I847="Expired","WARN: KYC Expired",IF(I847="Pending","INFO: KYC Pending","OK"))))</f>
        <v/>
      </c>
    </row>
    <row r="848">
      <c r="A848" s="2">
        <f>Raw_Transactions!A848</f>
        <v/>
      </c>
      <c r="B848" s="2">
        <f>Raw_Transactions!B848</f>
        <v/>
      </c>
      <c r="C848" s="2">
        <f>Raw_Transactions!C848</f>
        <v/>
      </c>
      <c r="D848" s="3">
        <f>Raw_Transactions!D848</f>
        <v/>
      </c>
      <c r="E848" s="2">
        <f>Raw_Transactions!E848</f>
        <v/>
      </c>
      <c r="F848" s="2">
        <f>Raw_Transactions!F848</f>
        <v/>
      </c>
      <c r="G848" s="2">
        <f>Raw_Transactions!G848</f>
        <v/>
      </c>
      <c r="H848" s="2">
        <f>XLOOKUP(B848,Raw_Risk_Profiles!$A:$A,Raw_Risk_Profiles!$B:$B,"Not Found")</f>
        <v/>
      </c>
      <c r="I848" s="2">
        <f>XLOOKUP(B848,Raw_Risk_Profiles!$A:$A,Raw_Risk_Profiles!$C:$C,"Missing")</f>
        <v/>
      </c>
      <c r="J848" s="2">
        <f>XLOOKUP(B848,Raw_Risk_Profiles!$A:$A,Raw_Risk_Profiles!$D:$D,"")</f>
        <v/>
      </c>
      <c r="K848" s="2">
        <f>IFERROR(INDEX(Raw_Risk_Profiles!$E:$E,MATCH(B848,Raw_Risk_Profiles!$A:$A,0)),"Unknown")</f>
        <v/>
      </c>
      <c r="L848" s="2">
        <f>IFERROR(XLOOKUP(A848,Raw_Alerts!$B:$B,Raw_Alerts!$A:$A),"No Alert")</f>
        <v/>
      </c>
      <c r="M848" s="2">
        <f>IFERROR(XLOOKUP(A848,Raw_Alerts!$B:$B,Raw_Alerts!$C:$C),"")</f>
        <v/>
      </c>
      <c r="N848" s="2">
        <f>IFERROR(XLOOKUP(A848,Raw_Alerts!$B:$B,Raw_Alerts!$D:$D),"")</f>
        <v/>
      </c>
      <c r="O848" s="2">
        <f>IFERROR(XLOOKUP(A848,Raw_Alerts!$B:$B,Raw_Alerts!$F:$F),"")</f>
        <v/>
      </c>
      <c r="P848" s="2">
        <f>IF(H848="Not Found","CRITICAL: No Risk Profile",IF(I848="Missing","WARN: Missing KYC",IF(I848="Expired","WARN: KYC Expired",IF(I848="Pending","INFO: KYC Pending","OK"))))</f>
        <v/>
      </c>
    </row>
    <row r="849">
      <c r="A849" s="4">
        <f>Raw_Transactions!A849</f>
        <v/>
      </c>
      <c r="B849" s="4">
        <f>Raw_Transactions!B849</f>
        <v/>
      </c>
      <c r="C849" s="4">
        <f>Raw_Transactions!C849</f>
        <v/>
      </c>
      <c r="D849" s="5">
        <f>Raw_Transactions!D849</f>
        <v/>
      </c>
      <c r="E849" s="4">
        <f>Raw_Transactions!E849</f>
        <v/>
      </c>
      <c r="F849" s="4">
        <f>Raw_Transactions!F849</f>
        <v/>
      </c>
      <c r="G849" s="4">
        <f>Raw_Transactions!G849</f>
        <v/>
      </c>
      <c r="H849" s="4">
        <f>XLOOKUP(B849,Raw_Risk_Profiles!$A:$A,Raw_Risk_Profiles!$B:$B,"Not Found")</f>
        <v/>
      </c>
      <c r="I849" s="4">
        <f>XLOOKUP(B849,Raw_Risk_Profiles!$A:$A,Raw_Risk_Profiles!$C:$C,"Missing")</f>
        <v/>
      </c>
      <c r="J849" s="4">
        <f>XLOOKUP(B849,Raw_Risk_Profiles!$A:$A,Raw_Risk_Profiles!$D:$D,"")</f>
        <v/>
      </c>
      <c r="K849" s="4">
        <f>IFERROR(INDEX(Raw_Risk_Profiles!$E:$E,MATCH(B849,Raw_Risk_Profiles!$A:$A,0)),"Unknown")</f>
        <v/>
      </c>
      <c r="L849" s="4">
        <f>IFERROR(XLOOKUP(A849,Raw_Alerts!$B:$B,Raw_Alerts!$A:$A),"No Alert")</f>
        <v/>
      </c>
      <c r="M849" s="4">
        <f>IFERROR(XLOOKUP(A849,Raw_Alerts!$B:$B,Raw_Alerts!$C:$C),"")</f>
        <v/>
      </c>
      <c r="N849" s="4">
        <f>IFERROR(XLOOKUP(A849,Raw_Alerts!$B:$B,Raw_Alerts!$D:$D),"")</f>
        <v/>
      </c>
      <c r="O849" s="4">
        <f>IFERROR(XLOOKUP(A849,Raw_Alerts!$B:$B,Raw_Alerts!$F:$F),"")</f>
        <v/>
      </c>
      <c r="P849" s="4">
        <f>IF(H849="Not Found","CRITICAL: No Risk Profile",IF(I849="Missing","WARN: Missing KYC",IF(I849="Expired","WARN: KYC Expired",IF(I849="Pending","INFO: KYC Pending","OK"))))</f>
        <v/>
      </c>
    </row>
    <row r="850">
      <c r="A850" s="2">
        <f>Raw_Transactions!A850</f>
        <v/>
      </c>
      <c r="B850" s="2">
        <f>Raw_Transactions!B850</f>
        <v/>
      </c>
      <c r="C850" s="2">
        <f>Raw_Transactions!C850</f>
        <v/>
      </c>
      <c r="D850" s="3">
        <f>Raw_Transactions!D850</f>
        <v/>
      </c>
      <c r="E850" s="2">
        <f>Raw_Transactions!E850</f>
        <v/>
      </c>
      <c r="F850" s="2">
        <f>Raw_Transactions!F850</f>
        <v/>
      </c>
      <c r="G850" s="2">
        <f>Raw_Transactions!G850</f>
        <v/>
      </c>
      <c r="H850" s="2">
        <f>XLOOKUP(B850,Raw_Risk_Profiles!$A:$A,Raw_Risk_Profiles!$B:$B,"Not Found")</f>
        <v/>
      </c>
      <c r="I850" s="2">
        <f>XLOOKUP(B850,Raw_Risk_Profiles!$A:$A,Raw_Risk_Profiles!$C:$C,"Missing")</f>
        <v/>
      </c>
      <c r="J850" s="2">
        <f>XLOOKUP(B850,Raw_Risk_Profiles!$A:$A,Raw_Risk_Profiles!$D:$D,"")</f>
        <v/>
      </c>
      <c r="K850" s="2">
        <f>IFERROR(INDEX(Raw_Risk_Profiles!$E:$E,MATCH(B850,Raw_Risk_Profiles!$A:$A,0)),"Unknown")</f>
        <v/>
      </c>
      <c r="L850" s="2">
        <f>IFERROR(XLOOKUP(A850,Raw_Alerts!$B:$B,Raw_Alerts!$A:$A),"No Alert")</f>
        <v/>
      </c>
      <c r="M850" s="2">
        <f>IFERROR(XLOOKUP(A850,Raw_Alerts!$B:$B,Raw_Alerts!$C:$C),"")</f>
        <v/>
      </c>
      <c r="N850" s="2">
        <f>IFERROR(XLOOKUP(A850,Raw_Alerts!$B:$B,Raw_Alerts!$D:$D),"")</f>
        <v/>
      </c>
      <c r="O850" s="2">
        <f>IFERROR(XLOOKUP(A850,Raw_Alerts!$B:$B,Raw_Alerts!$F:$F),"")</f>
        <v/>
      </c>
      <c r="P850" s="2">
        <f>IF(H850="Not Found","CRITICAL: No Risk Profile",IF(I850="Missing","WARN: Missing KYC",IF(I850="Expired","WARN: KYC Expired",IF(I850="Pending","INFO: KYC Pending","OK"))))</f>
        <v/>
      </c>
    </row>
    <row r="851">
      <c r="A851" s="4">
        <f>Raw_Transactions!A851</f>
        <v/>
      </c>
      <c r="B851" s="4">
        <f>Raw_Transactions!B851</f>
        <v/>
      </c>
      <c r="C851" s="4">
        <f>Raw_Transactions!C851</f>
        <v/>
      </c>
      <c r="D851" s="5">
        <f>Raw_Transactions!D851</f>
        <v/>
      </c>
      <c r="E851" s="4">
        <f>Raw_Transactions!E851</f>
        <v/>
      </c>
      <c r="F851" s="4">
        <f>Raw_Transactions!F851</f>
        <v/>
      </c>
      <c r="G851" s="4">
        <f>Raw_Transactions!G851</f>
        <v/>
      </c>
      <c r="H851" s="4">
        <f>XLOOKUP(B851,Raw_Risk_Profiles!$A:$A,Raw_Risk_Profiles!$B:$B,"Not Found")</f>
        <v/>
      </c>
      <c r="I851" s="4">
        <f>XLOOKUP(B851,Raw_Risk_Profiles!$A:$A,Raw_Risk_Profiles!$C:$C,"Missing")</f>
        <v/>
      </c>
      <c r="J851" s="4">
        <f>XLOOKUP(B851,Raw_Risk_Profiles!$A:$A,Raw_Risk_Profiles!$D:$D,"")</f>
        <v/>
      </c>
      <c r="K851" s="4">
        <f>IFERROR(INDEX(Raw_Risk_Profiles!$E:$E,MATCH(B851,Raw_Risk_Profiles!$A:$A,0)),"Unknown")</f>
        <v/>
      </c>
      <c r="L851" s="4">
        <f>IFERROR(XLOOKUP(A851,Raw_Alerts!$B:$B,Raw_Alerts!$A:$A),"No Alert")</f>
        <v/>
      </c>
      <c r="M851" s="4">
        <f>IFERROR(XLOOKUP(A851,Raw_Alerts!$B:$B,Raw_Alerts!$C:$C),"")</f>
        <v/>
      </c>
      <c r="N851" s="4">
        <f>IFERROR(XLOOKUP(A851,Raw_Alerts!$B:$B,Raw_Alerts!$D:$D),"")</f>
        <v/>
      </c>
      <c r="O851" s="4">
        <f>IFERROR(XLOOKUP(A851,Raw_Alerts!$B:$B,Raw_Alerts!$F:$F),"")</f>
        <v/>
      </c>
      <c r="P851" s="4">
        <f>IF(H851="Not Found","CRITICAL: No Risk Profile",IF(I851="Missing","WARN: Missing KYC",IF(I851="Expired","WARN: KYC Expired",IF(I851="Pending","INFO: KYC Pending","OK"))))</f>
        <v/>
      </c>
    </row>
    <row r="852">
      <c r="A852" s="2">
        <f>Raw_Transactions!A852</f>
        <v/>
      </c>
      <c r="B852" s="2">
        <f>Raw_Transactions!B852</f>
        <v/>
      </c>
      <c r="C852" s="2">
        <f>Raw_Transactions!C852</f>
        <v/>
      </c>
      <c r="D852" s="3">
        <f>Raw_Transactions!D852</f>
        <v/>
      </c>
      <c r="E852" s="2">
        <f>Raw_Transactions!E852</f>
        <v/>
      </c>
      <c r="F852" s="2">
        <f>Raw_Transactions!F852</f>
        <v/>
      </c>
      <c r="G852" s="2">
        <f>Raw_Transactions!G852</f>
        <v/>
      </c>
      <c r="H852" s="2">
        <f>XLOOKUP(B852,Raw_Risk_Profiles!$A:$A,Raw_Risk_Profiles!$B:$B,"Not Found")</f>
        <v/>
      </c>
      <c r="I852" s="2">
        <f>XLOOKUP(B852,Raw_Risk_Profiles!$A:$A,Raw_Risk_Profiles!$C:$C,"Missing")</f>
        <v/>
      </c>
      <c r="J852" s="2">
        <f>XLOOKUP(B852,Raw_Risk_Profiles!$A:$A,Raw_Risk_Profiles!$D:$D,"")</f>
        <v/>
      </c>
      <c r="K852" s="2">
        <f>IFERROR(INDEX(Raw_Risk_Profiles!$E:$E,MATCH(B852,Raw_Risk_Profiles!$A:$A,0)),"Unknown")</f>
        <v/>
      </c>
      <c r="L852" s="2">
        <f>IFERROR(XLOOKUP(A852,Raw_Alerts!$B:$B,Raw_Alerts!$A:$A),"No Alert")</f>
        <v/>
      </c>
      <c r="M852" s="2">
        <f>IFERROR(XLOOKUP(A852,Raw_Alerts!$B:$B,Raw_Alerts!$C:$C),"")</f>
        <v/>
      </c>
      <c r="N852" s="2">
        <f>IFERROR(XLOOKUP(A852,Raw_Alerts!$B:$B,Raw_Alerts!$D:$D),"")</f>
        <v/>
      </c>
      <c r="O852" s="2">
        <f>IFERROR(XLOOKUP(A852,Raw_Alerts!$B:$B,Raw_Alerts!$F:$F),"")</f>
        <v/>
      </c>
      <c r="P852" s="2">
        <f>IF(H852="Not Found","CRITICAL: No Risk Profile",IF(I852="Missing","WARN: Missing KYC",IF(I852="Expired","WARN: KYC Expired",IF(I852="Pending","INFO: KYC Pending","OK"))))</f>
        <v/>
      </c>
    </row>
    <row r="853">
      <c r="A853" s="4">
        <f>Raw_Transactions!A853</f>
        <v/>
      </c>
      <c r="B853" s="4">
        <f>Raw_Transactions!B853</f>
        <v/>
      </c>
      <c r="C853" s="4">
        <f>Raw_Transactions!C853</f>
        <v/>
      </c>
      <c r="D853" s="5">
        <f>Raw_Transactions!D853</f>
        <v/>
      </c>
      <c r="E853" s="4">
        <f>Raw_Transactions!E853</f>
        <v/>
      </c>
      <c r="F853" s="4">
        <f>Raw_Transactions!F853</f>
        <v/>
      </c>
      <c r="G853" s="4">
        <f>Raw_Transactions!G853</f>
        <v/>
      </c>
      <c r="H853" s="4">
        <f>XLOOKUP(B853,Raw_Risk_Profiles!$A:$A,Raw_Risk_Profiles!$B:$B,"Not Found")</f>
        <v/>
      </c>
      <c r="I853" s="4">
        <f>XLOOKUP(B853,Raw_Risk_Profiles!$A:$A,Raw_Risk_Profiles!$C:$C,"Missing")</f>
        <v/>
      </c>
      <c r="J853" s="4">
        <f>XLOOKUP(B853,Raw_Risk_Profiles!$A:$A,Raw_Risk_Profiles!$D:$D,"")</f>
        <v/>
      </c>
      <c r="K853" s="4">
        <f>IFERROR(INDEX(Raw_Risk_Profiles!$E:$E,MATCH(B853,Raw_Risk_Profiles!$A:$A,0)),"Unknown")</f>
        <v/>
      </c>
      <c r="L853" s="4">
        <f>IFERROR(XLOOKUP(A853,Raw_Alerts!$B:$B,Raw_Alerts!$A:$A),"No Alert")</f>
        <v/>
      </c>
      <c r="M853" s="4">
        <f>IFERROR(XLOOKUP(A853,Raw_Alerts!$B:$B,Raw_Alerts!$C:$C),"")</f>
        <v/>
      </c>
      <c r="N853" s="4">
        <f>IFERROR(XLOOKUP(A853,Raw_Alerts!$B:$B,Raw_Alerts!$D:$D),"")</f>
        <v/>
      </c>
      <c r="O853" s="4">
        <f>IFERROR(XLOOKUP(A853,Raw_Alerts!$B:$B,Raw_Alerts!$F:$F),"")</f>
        <v/>
      </c>
      <c r="P853" s="4">
        <f>IF(H853="Not Found","CRITICAL: No Risk Profile",IF(I853="Missing","WARN: Missing KYC",IF(I853="Expired","WARN: KYC Expired",IF(I853="Pending","INFO: KYC Pending","OK"))))</f>
        <v/>
      </c>
    </row>
    <row r="854">
      <c r="A854" s="2">
        <f>Raw_Transactions!A854</f>
        <v/>
      </c>
      <c r="B854" s="2">
        <f>Raw_Transactions!B854</f>
        <v/>
      </c>
      <c r="C854" s="2">
        <f>Raw_Transactions!C854</f>
        <v/>
      </c>
      <c r="D854" s="3">
        <f>Raw_Transactions!D854</f>
        <v/>
      </c>
      <c r="E854" s="2">
        <f>Raw_Transactions!E854</f>
        <v/>
      </c>
      <c r="F854" s="2">
        <f>Raw_Transactions!F854</f>
        <v/>
      </c>
      <c r="G854" s="2">
        <f>Raw_Transactions!G854</f>
        <v/>
      </c>
      <c r="H854" s="2">
        <f>XLOOKUP(B854,Raw_Risk_Profiles!$A:$A,Raw_Risk_Profiles!$B:$B,"Not Found")</f>
        <v/>
      </c>
      <c r="I854" s="2">
        <f>XLOOKUP(B854,Raw_Risk_Profiles!$A:$A,Raw_Risk_Profiles!$C:$C,"Missing")</f>
        <v/>
      </c>
      <c r="J854" s="2">
        <f>XLOOKUP(B854,Raw_Risk_Profiles!$A:$A,Raw_Risk_Profiles!$D:$D,"")</f>
        <v/>
      </c>
      <c r="K854" s="2">
        <f>IFERROR(INDEX(Raw_Risk_Profiles!$E:$E,MATCH(B854,Raw_Risk_Profiles!$A:$A,0)),"Unknown")</f>
        <v/>
      </c>
      <c r="L854" s="2">
        <f>IFERROR(XLOOKUP(A854,Raw_Alerts!$B:$B,Raw_Alerts!$A:$A),"No Alert")</f>
        <v/>
      </c>
      <c r="M854" s="2">
        <f>IFERROR(XLOOKUP(A854,Raw_Alerts!$B:$B,Raw_Alerts!$C:$C),"")</f>
        <v/>
      </c>
      <c r="N854" s="2">
        <f>IFERROR(XLOOKUP(A854,Raw_Alerts!$B:$B,Raw_Alerts!$D:$D),"")</f>
        <v/>
      </c>
      <c r="O854" s="2">
        <f>IFERROR(XLOOKUP(A854,Raw_Alerts!$B:$B,Raw_Alerts!$F:$F),"")</f>
        <v/>
      </c>
      <c r="P854" s="2">
        <f>IF(H854="Not Found","CRITICAL: No Risk Profile",IF(I854="Missing","WARN: Missing KYC",IF(I854="Expired","WARN: KYC Expired",IF(I854="Pending","INFO: KYC Pending","OK"))))</f>
        <v/>
      </c>
    </row>
    <row r="855">
      <c r="A855" s="4">
        <f>Raw_Transactions!A855</f>
        <v/>
      </c>
      <c r="B855" s="4">
        <f>Raw_Transactions!B855</f>
        <v/>
      </c>
      <c r="C855" s="4">
        <f>Raw_Transactions!C855</f>
        <v/>
      </c>
      <c r="D855" s="5">
        <f>Raw_Transactions!D855</f>
        <v/>
      </c>
      <c r="E855" s="4">
        <f>Raw_Transactions!E855</f>
        <v/>
      </c>
      <c r="F855" s="4">
        <f>Raw_Transactions!F855</f>
        <v/>
      </c>
      <c r="G855" s="4">
        <f>Raw_Transactions!G855</f>
        <v/>
      </c>
      <c r="H855" s="4">
        <f>XLOOKUP(B855,Raw_Risk_Profiles!$A:$A,Raw_Risk_Profiles!$B:$B,"Not Found")</f>
        <v/>
      </c>
      <c r="I855" s="4">
        <f>XLOOKUP(B855,Raw_Risk_Profiles!$A:$A,Raw_Risk_Profiles!$C:$C,"Missing")</f>
        <v/>
      </c>
      <c r="J855" s="4">
        <f>XLOOKUP(B855,Raw_Risk_Profiles!$A:$A,Raw_Risk_Profiles!$D:$D,"")</f>
        <v/>
      </c>
      <c r="K855" s="4">
        <f>IFERROR(INDEX(Raw_Risk_Profiles!$E:$E,MATCH(B855,Raw_Risk_Profiles!$A:$A,0)),"Unknown")</f>
        <v/>
      </c>
      <c r="L855" s="4">
        <f>IFERROR(XLOOKUP(A855,Raw_Alerts!$B:$B,Raw_Alerts!$A:$A),"No Alert")</f>
        <v/>
      </c>
      <c r="M855" s="4">
        <f>IFERROR(XLOOKUP(A855,Raw_Alerts!$B:$B,Raw_Alerts!$C:$C),"")</f>
        <v/>
      </c>
      <c r="N855" s="4">
        <f>IFERROR(XLOOKUP(A855,Raw_Alerts!$B:$B,Raw_Alerts!$D:$D),"")</f>
        <v/>
      </c>
      <c r="O855" s="4">
        <f>IFERROR(XLOOKUP(A855,Raw_Alerts!$B:$B,Raw_Alerts!$F:$F),"")</f>
        <v/>
      </c>
      <c r="P855" s="4">
        <f>IF(H855="Not Found","CRITICAL: No Risk Profile",IF(I855="Missing","WARN: Missing KYC",IF(I855="Expired","WARN: KYC Expired",IF(I855="Pending","INFO: KYC Pending","OK"))))</f>
        <v/>
      </c>
    </row>
    <row r="856">
      <c r="A856" s="2">
        <f>Raw_Transactions!A856</f>
        <v/>
      </c>
      <c r="B856" s="2">
        <f>Raw_Transactions!B856</f>
        <v/>
      </c>
      <c r="C856" s="2">
        <f>Raw_Transactions!C856</f>
        <v/>
      </c>
      <c r="D856" s="3">
        <f>Raw_Transactions!D856</f>
        <v/>
      </c>
      <c r="E856" s="2">
        <f>Raw_Transactions!E856</f>
        <v/>
      </c>
      <c r="F856" s="2">
        <f>Raw_Transactions!F856</f>
        <v/>
      </c>
      <c r="G856" s="2">
        <f>Raw_Transactions!G856</f>
        <v/>
      </c>
      <c r="H856" s="2">
        <f>XLOOKUP(B856,Raw_Risk_Profiles!$A:$A,Raw_Risk_Profiles!$B:$B,"Not Found")</f>
        <v/>
      </c>
      <c r="I856" s="2">
        <f>XLOOKUP(B856,Raw_Risk_Profiles!$A:$A,Raw_Risk_Profiles!$C:$C,"Missing")</f>
        <v/>
      </c>
      <c r="J856" s="2">
        <f>XLOOKUP(B856,Raw_Risk_Profiles!$A:$A,Raw_Risk_Profiles!$D:$D,"")</f>
        <v/>
      </c>
      <c r="K856" s="2">
        <f>IFERROR(INDEX(Raw_Risk_Profiles!$E:$E,MATCH(B856,Raw_Risk_Profiles!$A:$A,0)),"Unknown")</f>
        <v/>
      </c>
      <c r="L856" s="2">
        <f>IFERROR(XLOOKUP(A856,Raw_Alerts!$B:$B,Raw_Alerts!$A:$A),"No Alert")</f>
        <v/>
      </c>
      <c r="M856" s="2">
        <f>IFERROR(XLOOKUP(A856,Raw_Alerts!$B:$B,Raw_Alerts!$C:$C),"")</f>
        <v/>
      </c>
      <c r="N856" s="2">
        <f>IFERROR(XLOOKUP(A856,Raw_Alerts!$B:$B,Raw_Alerts!$D:$D),"")</f>
        <v/>
      </c>
      <c r="O856" s="2">
        <f>IFERROR(XLOOKUP(A856,Raw_Alerts!$B:$B,Raw_Alerts!$F:$F),"")</f>
        <v/>
      </c>
      <c r="P856" s="2">
        <f>IF(H856="Not Found","CRITICAL: No Risk Profile",IF(I856="Missing","WARN: Missing KYC",IF(I856="Expired","WARN: KYC Expired",IF(I856="Pending","INFO: KYC Pending","OK"))))</f>
        <v/>
      </c>
    </row>
    <row r="857">
      <c r="A857" s="4">
        <f>Raw_Transactions!A857</f>
        <v/>
      </c>
      <c r="B857" s="4">
        <f>Raw_Transactions!B857</f>
        <v/>
      </c>
      <c r="C857" s="4">
        <f>Raw_Transactions!C857</f>
        <v/>
      </c>
      <c r="D857" s="5">
        <f>Raw_Transactions!D857</f>
        <v/>
      </c>
      <c r="E857" s="4">
        <f>Raw_Transactions!E857</f>
        <v/>
      </c>
      <c r="F857" s="4">
        <f>Raw_Transactions!F857</f>
        <v/>
      </c>
      <c r="G857" s="4">
        <f>Raw_Transactions!G857</f>
        <v/>
      </c>
      <c r="H857" s="4">
        <f>XLOOKUP(B857,Raw_Risk_Profiles!$A:$A,Raw_Risk_Profiles!$B:$B,"Not Found")</f>
        <v/>
      </c>
      <c r="I857" s="4">
        <f>XLOOKUP(B857,Raw_Risk_Profiles!$A:$A,Raw_Risk_Profiles!$C:$C,"Missing")</f>
        <v/>
      </c>
      <c r="J857" s="4">
        <f>XLOOKUP(B857,Raw_Risk_Profiles!$A:$A,Raw_Risk_Profiles!$D:$D,"")</f>
        <v/>
      </c>
      <c r="K857" s="4">
        <f>IFERROR(INDEX(Raw_Risk_Profiles!$E:$E,MATCH(B857,Raw_Risk_Profiles!$A:$A,0)),"Unknown")</f>
        <v/>
      </c>
      <c r="L857" s="4">
        <f>IFERROR(XLOOKUP(A857,Raw_Alerts!$B:$B,Raw_Alerts!$A:$A),"No Alert")</f>
        <v/>
      </c>
      <c r="M857" s="4">
        <f>IFERROR(XLOOKUP(A857,Raw_Alerts!$B:$B,Raw_Alerts!$C:$C),"")</f>
        <v/>
      </c>
      <c r="N857" s="4">
        <f>IFERROR(XLOOKUP(A857,Raw_Alerts!$B:$B,Raw_Alerts!$D:$D),"")</f>
        <v/>
      </c>
      <c r="O857" s="4">
        <f>IFERROR(XLOOKUP(A857,Raw_Alerts!$B:$B,Raw_Alerts!$F:$F),"")</f>
        <v/>
      </c>
      <c r="P857" s="4">
        <f>IF(H857="Not Found","CRITICAL: No Risk Profile",IF(I857="Missing","WARN: Missing KYC",IF(I857="Expired","WARN: KYC Expired",IF(I857="Pending","INFO: KYC Pending","OK"))))</f>
        <v/>
      </c>
    </row>
    <row r="858">
      <c r="A858" s="2">
        <f>Raw_Transactions!A858</f>
        <v/>
      </c>
      <c r="B858" s="2">
        <f>Raw_Transactions!B858</f>
        <v/>
      </c>
      <c r="C858" s="2">
        <f>Raw_Transactions!C858</f>
        <v/>
      </c>
      <c r="D858" s="3">
        <f>Raw_Transactions!D858</f>
        <v/>
      </c>
      <c r="E858" s="2">
        <f>Raw_Transactions!E858</f>
        <v/>
      </c>
      <c r="F858" s="2">
        <f>Raw_Transactions!F858</f>
        <v/>
      </c>
      <c r="G858" s="2">
        <f>Raw_Transactions!G858</f>
        <v/>
      </c>
      <c r="H858" s="2">
        <f>XLOOKUP(B858,Raw_Risk_Profiles!$A:$A,Raw_Risk_Profiles!$B:$B,"Not Found")</f>
        <v/>
      </c>
      <c r="I858" s="2">
        <f>XLOOKUP(B858,Raw_Risk_Profiles!$A:$A,Raw_Risk_Profiles!$C:$C,"Missing")</f>
        <v/>
      </c>
      <c r="J858" s="2">
        <f>XLOOKUP(B858,Raw_Risk_Profiles!$A:$A,Raw_Risk_Profiles!$D:$D,"")</f>
        <v/>
      </c>
      <c r="K858" s="2">
        <f>IFERROR(INDEX(Raw_Risk_Profiles!$E:$E,MATCH(B858,Raw_Risk_Profiles!$A:$A,0)),"Unknown")</f>
        <v/>
      </c>
      <c r="L858" s="2">
        <f>IFERROR(XLOOKUP(A858,Raw_Alerts!$B:$B,Raw_Alerts!$A:$A),"No Alert")</f>
        <v/>
      </c>
      <c r="M858" s="2">
        <f>IFERROR(XLOOKUP(A858,Raw_Alerts!$B:$B,Raw_Alerts!$C:$C),"")</f>
        <v/>
      </c>
      <c r="N858" s="2">
        <f>IFERROR(XLOOKUP(A858,Raw_Alerts!$B:$B,Raw_Alerts!$D:$D),"")</f>
        <v/>
      </c>
      <c r="O858" s="2">
        <f>IFERROR(XLOOKUP(A858,Raw_Alerts!$B:$B,Raw_Alerts!$F:$F),"")</f>
        <v/>
      </c>
      <c r="P858" s="2">
        <f>IF(H858="Not Found","CRITICAL: No Risk Profile",IF(I858="Missing","WARN: Missing KYC",IF(I858="Expired","WARN: KYC Expired",IF(I858="Pending","INFO: KYC Pending","OK"))))</f>
        <v/>
      </c>
    </row>
    <row r="859">
      <c r="A859" s="4">
        <f>Raw_Transactions!A859</f>
        <v/>
      </c>
      <c r="B859" s="4">
        <f>Raw_Transactions!B859</f>
        <v/>
      </c>
      <c r="C859" s="4">
        <f>Raw_Transactions!C859</f>
        <v/>
      </c>
      <c r="D859" s="5">
        <f>Raw_Transactions!D859</f>
        <v/>
      </c>
      <c r="E859" s="4">
        <f>Raw_Transactions!E859</f>
        <v/>
      </c>
      <c r="F859" s="4">
        <f>Raw_Transactions!F859</f>
        <v/>
      </c>
      <c r="G859" s="4">
        <f>Raw_Transactions!G859</f>
        <v/>
      </c>
      <c r="H859" s="4">
        <f>XLOOKUP(B859,Raw_Risk_Profiles!$A:$A,Raw_Risk_Profiles!$B:$B,"Not Found")</f>
        <v/>
      </c>
      <c r="I859" s="4">
        <f>XLOOKUP(B859,Raw_Risk_Profiles!$A:$A,Raw_Risk_Profiles!$C:$C,"Missing")</f>
        <v/>
      </c>
      <c r="J859" s="4">
        <f>XLOOKUP(B859,Raw_Risk_Profiles!$A:$A,Raw_Risk_Profiles!$D:$D,"")</f>
        <v/>
      </c>
      <c r="K859" s="4">
        <f>IFERROR(INDEX(Raw_Risk_Profiles!$E:$E,MATCH(B859,Raw_Risk_Profiles!$A:$A,0)),"Unknown")</f>
        <v/>
      </c>
      <c r="L859" s="4">
        <f>IFERROR(XLOOKUP(A859,Raw_Alerts!$B:$B,Raw_Alerts!$A:$A),"No Alert")</f>
        <v/>
      </c>
      <c r="M859" s="4">
        <f>IFERROR(XLOOKUP(A859,Raw_Alerts!$B:$B,Raw_Alerts!$C:$C),"")</f>
        <v/>
      </c>
      <c r="N859" s="4">
        <f>IFERROR(XLOOKUP(A859,Raw_Alerts!$B:$B,Raw_Alerts!$D:$D),"")</f>
        <v/>
      </c>
      <c r="O859" s="4">
        <f>IFERROR(XLOOKUP(A859,Raw_Alerts!$B:$B,Raw_Alerts!$F:$F),"")</f>
        <v/>
      </c>
      <c r="P859" s="4">
        <f>IF(H859="Not Found","CRITICAL: No Risk Profile",IF(I859="Missing","WARN: Missing KYC",IF(I859="Expired","WARN: KYC Expired",IF(I859="Pending","INFO: KYC Pending","OK"))))</f>
        <v/>
      </c>
    </row>
    <row r="860">
      <c r="A860" s="2">
        <f>Raw_Transactions!A860</f>
        <v/>
      </c>
      <c r="B860" s="2">
        <f>Raw_Transactions!B860</f>
        <v/>
      </c>
      <c r="C860" s="2">
        <f>Raw_Transactions!C860</f>
        <v/>
      </c>
      <c r="D860" s="3">
        <f>Raw_Transactions!D860</f>
        <v/>
      </c>
      <c r="E860" s="2">
        <f>Raw_Transactions!E860</f>
        <v/>
      </c>
      <c r="F860" s="2">
        <f>Raw_Transactions!F860</f>
        <v/>
      </c>
      <c r="G860" s="2">
        <f>Raw_Transactions!G860</f>
        <v/>
      </c>
      <c r="H860" s="2">
        <f>XLOOKUP(B860,Raw_Risk_Profiles!$A:$A,Raw_Risk_Profiles!$B:$B,"Not Found")</f>
        <v/>
      </c>
      <c r="I860" s="2">
        <f>XLOOKUP(B860,Raw_Risk_Profiles!$A:$A,Raw_Risk_Profiles!$C:$C,"Missing")</f>
        <v/>
      </c>
      <c r="J860" s="2">
        <f>XLOOKUP(B860,Raw_Risk_Profiles!$A:$A,Raw_Risk_Profiles!$D:$D,"")</f>
        <v/>
      </c>
      <c r="K860" s="2">
        <f>IFERROR(INDEX(Raw_Risk_Profiles!$E:$E,MATCH(B860,Raw_Risk_Profiles!$A:$A,0)),"Unknown")</f>
        <v/>
      </c>
      <c r="L860" s="2">
        <f>IFERROR(XLOOKUP(A860,Raw_Alerts!$B:$B,Raw_Alerts!$A:$A),"No Alert")</f>
        <v/>
      </c>
      <c r="M860" s="2">
        <f>IFERROR(XLOOKUP(A860,Raw_Alerts!$B:$B,Raw_Alerts!$C:$C),"")</f>
        <v/>
      </c>
      <c r="N860" s="2">
        <f>IFERROR(XLOOKUP(A860,Raw_Alerts!$B:$B,Raw_Alerts!$D:$D),"")</f>
        <v/>
      </c>
      <c r="O860" s="2">
        <f>IFERROR(XLOOKUP(A860,Raw_Alerts!$B:$B,Raw_Alerts!$F:$F),"")</f>
        <v/>
      </c>
      <c r="P860" s="2">
        <f>IF(H860="Not Found","CRITICAL: No Risk Profile",IF(I860="Missing","WARN: Missing KYC",IF(I860="Expired","WARN: KYC Expired",IF(I860="Pending","INFO: KYC Pending","OK"))))</f>
        <v/>
      </c>
    </row>
    <row r="861">
      <c r="A861" s="4">
        <f>Raw_Transactions!A861</f>
        <v/>
      </c>
      <c r="B861" s="4">
        <f>Raw_Transactions!B861</f>
        <v/>
      </c>
      <c r="C861" s="4">
        <f>Raw_Transactions!C861</f>
        <v/>
      </c>
      <c r="D861" s="5">
        <f>Raw_Transactions!D861</f>
        <v/>
      </c>
      <c r="E861" s="4">
        <f>Raw_Transactions!E861</f>
        <v/>
      </c>
      <c r="F861" s="4">
        <f>Raw_Transactions!F861</f>
        <v/>
      </c>
      <c r="G861" s="4">
        <f>Raw_Transactions!G861</f>
        <v/>
      </c>
      <c r="H861" s="4">
        <f>XLOOKUP(B861,Raw_Risk_Profiles!$A:$A,Raw_Risk_Profiles!$B:$B,"Not Found")</f>
        <v/>
      </c>
      <c r="I861" s="4">
        <f>XLOOKUP(B861,Raw_Risk_Profiles!$A:$A,Raw_Risk_Profiles!$C:$C,"Missing")</f>
        <v/>
      </c>
      <c r="J861" s="4">
        <f>XLOOKUP(B861,Raw_Risk_Profiles!$A:$A,Raw_Risk_Profiles!$D:$D,"")</f>
        <v/>
      </c>
      <c r="K861" s="4">
        <f>IFERROR(INDEX(Raw_Risk_Profiles!$E:$E,MATCH(B861,Raw_Risk_Profiles!$A:$A,0)),"Unknown")</f>
        <v/>
      </c>
      <c r="L861" s="4">
        <f>IFERROR(XLOOKUP(A861,Raw_Alerts!$B:$B,Raw_Alerts!$A:$A),"No Alert")</f>
        <v/>
      </c>
      <c r="M861" s="4">
        <f>IFERROR(XLOOKUP(A861,Raw_Alerts!$B:$B,Raw_Alerts!$C:$C),"")</f>
        <v/>
      </c>
      <c r="N861" s="4">
        <f>IFERROR(XLOOKUP(A861,Raw_Alerts!$B:$B,Raw_Alerts!$D:$D),"")</f>
        <v/>
      </c>
      <c r="O861" s="4">
        <f>IFERROR(XLOOKUP(A861,Raw_Alerts!$B:$B,Raw_Alerts!$F:$F),"")</f>
        <v/>
      </c>
      <c r="P861" s="4">
        <f>IF(H861="Not Found","CRITICAL: No Risk Profile",IF(I861="Missing","WARN: Missing KYC",IF(I861="Expired","WARN: KYC Expired",IF(I861="Pending","INFO: KYC Pending","OK"))))</f>
        <v/>
      </c>
    </row>
    <row r="862">
      <c r="A862" s="2">
        <f>Raw_Transactions!A862</f>
        <v/>
      </c>
      <c r="B862" s="2">
        <f>Raw_Transactions!B862</f>
        <v/>
      </c>
      <c r="C862" s="2">
        <f>Raw_Transactions!C862</f>
        <v/>
      </c>
      <c r="D862" s="3">
        <f>Raw_Transactions!D862</f>
        <v/>
      </c>
      <c r="E862" s="2">
        <f>Raw_Transactions!E862</f>
        <v/>
      </c>
      <c r="F862" s="2">
        <f>Raw_Transactions!F862</f>
        <v/>
      </c>
      <c r="G862" s="2">
        <f>Raw_Transactions!G862</f>
        <v/>
      </c>
      <c r="H862" s="2">
        <f>XLOOKUP(B862,Raw_Risk_Profiles!$A:$A,Raw_Risk_Profiles!$B:$B,"Not Found")</f>
        <v/>
      </c>
      <c r="I862" s="2">
        <f>XLOOKUP(B862,Raw_Risk_Profiles!$A:$A,Raw_Risk_Profiles!$C:$C,"Missing")</f>
        <v/>
      </c>
      <c r="J862" s="2">
        <f>XLOOKUP(B862,Raw_Risk_Profiles!$A:$A,Raw_Risk_Profiles!$D:$D,"")</f>
        <v/>
      </c>
      <c r="K862" s="2">
        <f>IFERROR(INDEX(Raw_Risk_Profiles!$E:$E,MATCH(B862,Raw_Risk_Profiles!$A:$A,0)),"Unknown")</f>
        <v/>
      </c>
      <c r="L862" s="2">
        <f>IFERROR(XLOOKUP(A862,Raw_Alerts!$B:$B,Raw_Alerts!$A:$A),"No Alert")</f>
        <v/>
      </c>
      <c r="M862" s="2">
        <f>IFERROR(XLOOKUP(A862,Raw_Alerts!$B:$B,Raw_Alerts!$C:$C),"")</f>
        <v/>
      </c>
      <c r="N862" s="2">
        <f>IFERROR(XLOOKUP(A862,Raw_Alerts!$B:$B,Raw_Alerts!$D:$D),"")</f>
        <v/>
      </c>
      <c r="O862" s="2">
        <f>IFERROR(XLOOKUP(A862,Raw_Alerts!$B:$B,Raw_Alerts!$F:$F),"")</f>
        <v/>
      </c>
      <c r="P862" s="2">
        <f>IF(H862="Not Found","CRITICAL: No Risk Profile",IF(I862="Missing","WARN: Missing KYC",IF(I862="Expired","WARN: KYC Expired",IF(I862="Pending","INFO: KYC Pending","OK"))))</f>
        <v/>
      </c>
    </row>
    <row r="863">
      <c r="A863" s="4">
        <f>Raw_Transactions!A863</f>
        <v/>
      </c>
      <c r="B863" s="4">
        <f>Raw_Transactions!B863</f>
        <v/>
      </c>
      <c r="C863" s="4">
        <f>Raw_Transactions!C863</f>
        <v/>
      </c>
      <c r="D863" s="5">
        <f>Raw_Transactions!D863</f>
        <v/>
      </c>
      <c r="E863" s="4">
        <f>Raw_Transactions!E863</f>
        <v/>
      </c>
      <c r="F863" s="4">
        <f>Raw_Transactions!F863</f>
        <v/>
      </c>
      <c r="G863" s="4">
        <f>Raw_Transactions!G863</f>
        <v/>
      </c>
      <c r="H863" s="4">
        <f>XLOOKUP(B863,Raw_Risk_Profiles!$A:$A,Raw_Risk_Profiles!$B:$B,"Not Found")</f>
        <v/>
      </c>
      <c r="I863" s="4">
        <f>XLOOKUP(B863,Raw_Risk_Profiles!$A:$A,Raw_Risk_Profiles!$C:$C,"Missing")</f>
        <v/>
      </c>
      <c r="J863" s="4">
        <f>XLOOKUP(B863,Raw_Risk_Profiles!$A:$A,Raw_Risk_Profiles!$D:$D,"")</f>
        <v/>
      </c>
      <c r="K863" s="4">
        <f>IFERROR(INDEX(Raw_Risk_Profiles!$E:$E,MATCH(B863,Raw_Risk_Profiles!$A:$A,0)),"Unknown")</f>
        <v/>
      </c>
      <c r="L863" s="4">
        <f>IFERROR(XLOOKUP(A863,Raw_Alerts!$B:$B,Raw_Alerts!$A:$A),"No Alert")</f>
        <v/>
      </c>
      <c r="M863" s="4">
        <f>IFERROR(XLOOKUP(A863,Raw_Alerts!$B:$B,Raw_Alerts!$C:$C),"")</f>
        <v/>
      </c>
      <c r="N863" s="4">
        <f>IFERROR(XLOOKUP(A863,Raw_Alerts!$B:$B,Raw_Alerts!$D:$D),"")</f>
        <v/>
      </c>
      <c r="O863" s="4">
        <f>IFERROR(XLOOKUP(A863,Raw_Alerts!$B:$B,Raw_Alerts!$F:$F),"")</f>
        <v/>
      </c>
      <c r="P863" s="4">
        <f>IF(H863="Not Found","CRITICAL: No Risk Profile",IF(I863="Missing","WARN: Missing KYC",IF(I863="Expired","WARN: KYC Expired",IF(I863="Pending","INFO: KYC Pending","OK"))))</f>
        <v/>
      </c>
    </row>
    <row r="864">
      <c r="A864" s="2">
        <f>Raw_Transactions!A864</f>
        <v/>
      </c>
      <c r="B864" s="2">
        <f>Raw_Transactions!B864</f>
        <v/>
      </c>
      <c r="C864" s="2">
        <f>Raw_Transactions!C864</f>
        <v/>
      </c>
      <c r="D864" s="3">
        <f>Raw_Transactions!D864</f>
        <v/>
      </c>
      <c r="E864" s="2">
        <f>Raw_Transactions!E864</f>
        <v/>
      </c>
      <c r="F864" s="2">
        <f>Raw_Transactions!F864</f>
        <v/>
      </c>
      <c r="G864" s="2">
        <f>Raw_Transactions!G864</f>
        <v/>
      </c>
      <c r="H864" s="2">
        <f>XLOOKUP(B864,Raw_Risk_Profiles!$A:$A,Raw_Risk_Profiles!$B:$B,"Not Found")</f>
        <v/>
      </c>
      <c r="I864" s="2">
        <f>XLOOKUP(B864,Raw_Risk_Profiles!$A:$A,Raw_Risk_Profiles!$C:$C,"Missing")</f>
        <v/>
      </c>
      <c r="J864" s="2">
        <f>XLOOKUP(B864,Raw_Risk_Profiles!$A:$A,Raw_Risk_Profiles!$D:$D,"")</f>
        <v/>
      </c>
      <c r="K864" s="2">
        <f>IFERROR(INDEX(Raw_Risk_Profiles!$E:$E,MATCH(B864,Raw_Risk_Profiles!$A:$A,0)),"Unknown")</f>
        <v/>
      </c>
      <c r="L864" s="2">
        <f>IFERROR(XLOOKUP(A864,Raw_Alerts!$B:$B,Raw_Alerts!$A:$A),"No Alert")</f>
        <v/>
      </c>
      <c r="M864" s="2">
        <f>IFERROR(XLOOKUP(A864,Raw_Alerts!$B:$B,Raw_Alerts!$C:$C),"")</f>
        <v/>
      </c>
      <c r="N864" s="2">
        <f>IFERROR(XLOOKUP(A864,Raw_Alerts!$B:$B,Raw_Alerts!$D:$D),"")</f>
        <v/>
      </c>
      <c r="O864" s="2">
        <f>IFERROR(XLOOKUP(A864,Raw_Alerts!$B:$B,Raw_Alerts!$F:$F),"")</f>
        <v/>
      </c>
      <c r="P864" s="2">
        <f>IF(H864="Not Found","CRITICAL: No Risk Profile",IF(I864="Missing","WARN: Missing KYC",IF(I864="Expired","WARN: KYC Expired",IF(I864="Pending","INFO: KYC Pending","OK"))))</f>
        <v/>
      </c>
    </row>
    <row r="865">
      <c r="A865" s="4">
        <f>Raw_Transactions!A865</f>
        <v/>
      </c>
      <c r="B865" s="4">
        <f>Raw_Transactions!B865</f>
        <v/>
      </c>
      <c r="C865" s="4">
        <f>Raw_Transactions!C865</f>
        <v/>
      </c>
      <c r="D865" s="5">
        <f>Raw_Transactions!D865</f>
        <v/>
      </c>
      <c r="E865" s="4">
        <f>Raw_Transactions!E865</f>
        <v/>
      </c>
      <c r="F865" s="4">
        <f>Raw_Transactions!F865</f>
        <v/>
      </c>
      <c r="G865" s="4">
        <f>Raw_Transactions!G865</f>
        <v/>
      </c>
      <c r="H865" s="4">
        <f>XLOOKUP(B865,Raw_Risk_Profiles!$A:$A,Raw_Risk_Profiles!$B:$B,"Not Found")</f>
        <v/>
      </c>
      <c r="I865" s="4">
        <f>XLOOKUP(B865,Raw_Risk_Profiles!$A:$A,Raw_Risk_Profiles!$C:$C,"Missing")</f>
        <v/>
      </c>
      <c r="J865" s="4">
        <f>XLOOKUP(B865,Raw_Risk_Profiles!$A:$A,Raw_Risk_Profiles!$D:$D,"")</f>
        <v/>
      </c>
      <c r="K865" s="4">
        <f>IFERROR(INDEX(Raw_Risk_Profiles!$E:$E,MATCH(B865,Raw_Risk_Profiles!$A:$A,0)),"Unknown")</f>
        <v/>
      </c>
      <c r="L865" s="4">
        <f>IFERROR(XLOOKUP(A865,Raw_Alerts!$B:$B,Raw_Alerts!$A:$A),"No Alert")</f>
        <v/>
      </c>
      <c r="M865" s="4">
        <f>IFERROR(XLOOKUP(A865,Raw_Alerts!$B:$B,Raw_Alerts!$C:$C),"")</f>
        <v/>
      </c>
      <c r="N865" s="4">
        <f>IFERROR(XLOOKUP(A865,Raw_Alerts!$B:$B,Raw_Alerts!$D:$D),"")</f>
        <v/>
      </c>
      <c r="O865" s="4">
        <f>IFERROR(XLOOKUP(A865,Raw_Alerts!$B:$B,Raw_Alerts!$F:$F),"")</f>
        <v/>
      </c>
      <c r="P865" s="4">
        <f>IF(H865="Not Found","CRITICAL: No Risk Profile",IF(I865="Missing","WARN: Missing KYC",IF(I865="Expired","WARN: KYC Expired",IF(I865="Pending","INFO: KYC Pending","OK"))))</f>
        <v/>
      </c>
    </row>
    <row r="866">
      <c r="A866" s="2">
        <f>Raw_Transactions!A866</f>
        <v/>
      </c>
      <c r="B866" s="2">
        <f>Raw_Transactions!B866</f>
        <v/>
      </c>
      <c r="C866" s="2">
        <f>Raw_Transactions!C866</f>
        <v/>
      </c>
      <c r="D866" s="3">
        <f>Raw_Transactions!D866</f>
        <v/>
      </c>
      <c r="E866" s="2">
        <f>Raw_Transactions!E866</f>
        <v/>
      </c>
      <c r="F866" s="2">
        <f>Raw_Transactions!F866</f>
        <v/>
      </c>
      <c r="G866" s="2">
        <f>Raw_Transactions!G866</f>
        <v/>
      </c>
      <c r="H866" s="2">
        <f>XLOOKUP(B866,Raw_Risk_Profiles!$A:$A,Raw_Risk_Profiles!$B:$B,"Not Found")</f>
        <v/>
      </c>
      <c r="I866" s="2">
        <f>XLOOKUP(B866,Raw_Risk_Profiles!$A:$A,Raw_Risk_Profiles!$C:$C,"Missing")</f>
        <v/>
      </c>
      <c r="J866" s="2">
        <f>XLOOKUP(B866,Raw_Risk_Profiles!$A:$A,Raw_Risk_Profiles!$D:$D,"")</f>
        <v/>
      </c>
      <c r="K866" s="2">
        <f>IFERROR(INDEX(Raw_Risk_Profiles!$E:$E,MATCH(B866,Raw_Risk_Profiles!$A:$A,0)),"Unknown")</f>
        <v/>
      </c>
      <c r="L866" s="2">
        <f>IFERROR(XLOOKUP(A866,Raw_Alerts!$B:$B,Raw_Alerts!$A:$A),"No Alert")</f>
        <v/>
      </c>
      <c r="M866" s="2">
        <f>IFERROR(XLOOKUP(A866,Raw_Alerts!$B:$B,Raw_Alerts!$C:$C),"")</f>
        <v/>
      </c>
      <c r="N866" s="2">
        <f>IFERROR(XLOOKUP(A866,Raw_Alerts!$B:$B,Raw_Alerts!$D:$D),"")</f>
        <v/>
      </c>
      <c r="O866" s="2">
        <f>IFERROR(XLOOKUP(A866,Raw_Alerts!$B:$B,Raw_Alerts!$F:$F),"")</f>
        <v/>
      </c>
      <c r="P866" s="2">
        <f>IF(H866="Not Found","CRITICAL: No Risk Profile",IF(I866="Missing","WARN: Missing KYC",IF(I866="Expired","WARN: KYC Expired",IF(I866="Pending","INFO: KYC Pending","OK"))))</f>
        <v/>
      </c>
    </row>
    <row r="867">
      <c r="A867" s="4">
        <f>Raw_Transactions!A867</f>
        <v/>
      </c>
      <c r="B867" s="4">
        <f>Raw_Transactions!B867</f>
        <v/>
      </c>
      <c r="C867" s="4">
        <f>Raw_Transactions!C867</f>
        <v/>
      </c>
      <c r="D867" s="5">
        <f>Raw_Transactions!D867</f>
        <v/>
      </c>
      <c r="E867" s="4">
        <f>Raw_Transactions!E867</f>
        <v/>
      </c>
      <c r="F867" s="4">
        <f>Raw_Transactions!F867</f>
        <v/>
      </c>
      <c r="G867" s="4">
        <f>Raw_Transactions!G867</f>
        <v/>
      </c>
      <c r="H867" s="4">
        <f>XLOOKUP(B867,Raw_Risk_Profiles!$A:$A,Raw_Risk_Profiles!$B:$B,"Not Found")</f>
        <v/>
      </c>
      <c r="I867" s="4">
        <f>XLOOKUP(B867,Raw_Risk_Profiles!$A:$A,Raw_Risk_Profiles!$C:$C,"Missing")</f>
        <v/>
      </c>
      <c r="J867" s="4">
        <f>XLOOKUP(B867,Raw_Risk_Profiles!$A:$A,Raw_Risk_Profiles!$D:$D,"")</f>
        <v/>
      </c>
      <c r="K867" s="4">
        <f>IFERROR(INDEX(Raw_Risk_Profiles!$E:$E,MATCH(B867,Raw_Risk_Profiles!$A:$A,0)),"Unknown")</f>
        <v/>
      </c>
      <c r="L867" s="4">
        <f>IFERROR(XLOOKUP(A867,Raw_Alerts!$B:$B,Raw_Alerts!$A:$A),"No Alert")</f>
        <v/>
      </c>
      <c r="M867" s="4">
        <f>IFERROR(XLOOKUP(A867,Raw_Alerts!$B:$B,Raw_Alerts!$C:$C),"")</f>
        <v/>
      </c>
      <c r="N867" s="4">
        <f>IFERROR(XLOOKUP(A867,Raw_Alerts!$B:$B,Raw_Alerts!$D:$D),"")</f>
        <v/>
      </c>
      <c r="O867" s="4">
        <f>IFERROR(XLOOKUP(A867,Raw_Alerts!$B:$B,Raw_Alerts!$F:$F),"")</f>
        <v/>
      </c>
      <c r="P867" s="4">
        <f>IF(H867="Not Found","CRITICAL: No Risk Profile",IF(I867="Missing","WARN: Missing KYC",IF(I867="Expired","WARN: KYC Expired",IF(I867="Pending","INFO: KYC Pending","OK"))))</f>
        <v/>
      </c>
    </row>
    <row r="868">
      <c r="A868" s="2">
        <f>Raw_Transactions!A868</f>
        <v/>
      </c>
      <c r="B868" s="2">
        <f>Raw_Transactions!B868</f>
        <v/>
      </c>
      <c r="C868" s="2">
        <f>Raw_Transactions!C868</f>
        <v/>
      </c>
      <c r="D868" s="3">
        <f>Raw_Transactions!D868</f>
        <v/>
      </c>
      <c r="E868" s="2">
        <f>Raw_Transactions!E868</f>
        <v/>
      </c>
      <c r="F868" s="2">
        <f>Raw_Transactions!F868</f>
        <v/>
      </c>
      <c r="G868" s="2">
        <f>Raw_Transactions!G868</f>
        <v/>
      </c>
      <c r="H868" s="2">
        <f>XLOOKUP(B868,Raw_Risk_Profiles!$A:$A,Raw_Risk_Profiles!$B:$B,"Not Found")</f>
        <v/>
      </c>
      <c r="I868" s="2">
        <f>XLOOKUP(B868,Raw_Risk_Profiles!$A:$A,Raw_Risk_Profiles!$C:$C,"Missing")</f>
        <v/>
      </c>
      <c r="J868" s="2">
        <f>XLOOKUP(B868,Raw_Risk_Profiles!$A:$A,Raw_Risk_Profiles!$D:$D,"")</f>
        <v/>
      </c>
      <c r="K868" s="2">
        <f>IFERROR(INDEX(Raw_Risk_Profiles!$E:$E,MATCH(B868,Raw_Risk_Profiles!$A:$A,0)),"Unknown")</f>
        <v/>
      </c>
      <c r="L868" s="2">
        <f>IFERROR(XLOOKUP(A868,Raw_Alerts!$B:$B,Raw_Alerts!$A:$A),"No Alert")</f>
        <v/>
      </c>
      <c r="M868" s="2">
        <f>IFERROR(XLOOKUP(A868,Raw_Alerts!$B:$B,Raw_Alerts!$C:$C),"")</f>
        <v/>
      </c>
      <c r="N868" s="2">
        <f>IFERROR(XLOOKUP(A868,Raw_Alerts!$B:$B,Raw_Alerts!$D:$D),"")</f>
        <v/>
      </c>
      <c r="O868" s="2">
        <f>IFERROR(XLOOKUP(A868,Raw_Alerts!$B:$B,Raw_Alerts!$F:$F),"")</f>
        <v/>
      </c>
      <c r="P868" s="2">
        <f>IF(H868="Not Found","CRITICAL: No Risk Profile",IF(I868="Missing","WARN: Missing KYC",IF(I868="Expired","WARN: KYC Expired",IF(I868="Pending","INFO: KYC Pending","OK"))))</f>
        <v/>
      </c>
    </row>
    <row r="869">
      <c r="A869" s="4">
        <f>Raw_Transactions!A869</f>
        <v/>
      </c>
      <c r="B869" s="4">
        <f>Raw_Transactions!B869</f>
        <v/>
      </c>
      <c r="C869" s="4">
        <f>Raw_Transactions!C869</f>
        <v/>
      </c>
      <c r="D869" s="5">
        <f>Raw_Transactions!D869</f>
        <v/>
      </c>
      <c r="E869" s="4">
        <f>Raw_Transactions!E869</f>
        <v/>
      </c>
      <c r="F869" s="4">
        <f>Raw_Transactions!F869</f>
        <v/>
      </c>
      <c r="G869" s="4">
        <f>Raw_Transactions!G869</f>
        <v/>
      </c>
      <c r="H869" s="4">
        <f>XLOOKUP(B869,Raw_Risk_Profiles!$A:$A,Raw_Risk_Profiles!$B:$B,"Not Found")</f>
        <v/>
      </c>
      <c r="I869" s="4">
        <f>XLOOKUP(B869,Raw_Risk_Profiles!$A:$A,Raw_Risk_Profiles!$C:$C,"Missing")</f>
        <v/>
      </c>
      <c r="J869" s="4">
        <f>XLOOKUP(B869,Raw_Risk_Profiles!$A:$A,Raw_Risk_Profiles!$D:$D,"")</f>
        <v/>
      </c>
      <c r="K869" s="4">
        <f>IFERROR(INDEX(Raw_Risk_Profiles!$E:$E,MATCH(B869,Raw_Risk_Profiles!$A:$A,0)),"Unknown")</f>
        <v/>
      </c>
      <c r="L869" s="4">
        <f>IFERROR(XLOOKUP(A869,Raw_Alerts!$B:$B,Raw_Alerts!$A:$A),"No Alert")</f>
        <v/>
      </c>
      <c r="M869" s="4">
        <f>IFERROR(XLOOKUP(A869,Raw_Alerts!$B:$B,Raw_Alerts!$C:$C),"")</f>
        <v/>
      </c>
      <c r="N869" s="4">
        <f>IFERROR(XLOOKUP(A869,Raw_Alerts!$B:$B,Raw_Alerts!$D:$D),"")</f>
        <v/>
      </c>
      <c r="O869" s="4">
        <f>IFERROR(XLOOKUP(A869,Raw_Alerts!$B:$B,Raw_Alerts!$F:$F),"")</f>
        <v/>
      </c>
      <c r="P869" s="4">
        <f>IF(H869="Not Found","CRITICAL: No Risk Profile",IF(I869="Missing","WARN: Missing KYC",IF(I869="Expired","WARN: KYC Expired",IF(I869="Pending","INFO: KYC Pending","OK"))))</f>
        <v/>
      </c>
    </row>
    <row r="870">
      <c r="A870" s="2">
        <f>Raw_Transactions!A870</f>
        <v/>
      </c>
      <c r="B870" s="2">
        <f>Raw_Transactions!B870</f>
        <v/>
      </c>
      <c r="C870" s="2">
        <f>Raw_Transactions!C870</f>
        <v/>
      </c>
      <c r="D870" s="3">
        <f>Raw_Transactions!D870</f>
        <v/>
      </c>
      <c r="E870" s="2">
        <f>Raw_Transactions!E870</f>
        <v/>
      </c>
      <c r="F870" s="2">
        <f>Raw_Transactions!F870</f>
        <v/>
      </c>
      <c r="G870" s="2">
        <f>Raw_Transactions!G870</f>
        <v/>
      </c>
      <c r="H870" s="2">
        <f>XLOOKUP(B870,Raw_Risk_Profiles!$A:$A,Raw_Risk_Profiles!$B:$B,"Not Found")</f>
        <v/>
      </c>
      <c r="I870" s="2">
        <f>XLOOKUP(B870,Raw_Risk_Profiles!$A:$A,Raw_Risk_Profiles!$C:$C,"Missing")</f>
        <v/>
      </c>
      <c r="J870" s="2">
        <f>XLOOKUP(B870,Raw_Risk_Profiles!$A:$A,Raw_Risk_Profiles!$D:$D,"")</f>
        <v/>
      </c>
      <c r="K870" s="2">
        <f>IFERROR(INDEX(Raw_Risk_Profiles!$E:$E,MATCH(B870,Raw_Risk_Profiles!$A:$A,0)),"Unknown")</f>
        <v/>
      </c>
      <c r="L870" s="2">
        <f>IFERROR(XLOOKUP(A870,Raw_Alerts!$B:$B,Raw_Alerts!$A:$A),"No Alert")</f>
        <v/>
      </c>
      <c r="M870" s="2">
        <f>IFERROR(XLOOKUP(A870,Raw_Alerts!$B:$B,Raw_Alerts!$C:$C),"")</f>
        <v/>
      </c>
      <c r="N870" s="2">
        <f>IFERROR(XLOOKUP(A870,Raw_Alerts!$B:$B,Raw_Alerts!$D:$D),"")</f>
        <v/>
      </c>
      <c r="O870" s="2">
        <f>IFERROR(XLOOKUP(A870,Raw_Alerts!$B:$B,Raw_Alerts!$F:$F),"")</f>
        <v/>
      </c>
      <c r="P870" s="2">
        <f>IF(H870="Not Found","CRITICAL: No Risk Profile",IF(I870="Missing","WARN: Missing KYC",IF(I870="Expired","WARN: KYC Expired",IF(I870="Pending","INFO: KYC Pending","OK"))))</f>
        <v/>
      </c>
    </row>
    <row r="871">
      <c r="A871" s="4">
        <f>Raw_Transactions!A871</f>
        <v/>
      </c>
      <c r="B871" s="4">
        <f>Raw_Transactions!B871</f>
        <v/>
      </c>
      <c r="C871" s="4">
        <f>Raw_Transactions!C871</f>
        <v/>
      </c>
      <c r="D871" s="5">
        <f>Raw_Transactions!D871</f>
        <v/>
      </c>
      <c r="E871" s="4">
        <f>Raw_Transactions!E871</f>
        <v/>
      </c>
      <c r="F871" s="4">
        <f>Raw_Transactions!F871</f>
        <v/>
      </c>
      <c r="G871" s="4">
        <f>Raw_Transactions!G871</f>
        <v/>
      </c>
      <c r="H871" s="4">
        <f>XLOOKUP(B871,Raw_Risk_Profiles!$A:$A,Raw_Risk_Profiles!$B:$B,"Not Found")</f>
        <v/>
      </c>
      <c r="I871" s="4">
        <f>XLOOKUP(B871,Raw_Risk_Profiles!$A:$A,Raw_Risk_Profiles!$C:$C,"Missing")</f>
        <v/>
      </c>
      <c r="J871" s="4">
        <f>XLOOKUP(B871,Raw_Risk_Profiles!$A:$A,Raw_Risk_Profiles!$D:$D,"")</f>
        <v/>
      </c>
      <c r="K871" s="4">
        <f>IFERROR(INDEX(Raw_Risk_Profiles!$E:$E,MATCH(B871,Raw_Risk_Profiles!$A:$A,0)),"Unknown")</f>
        <v/>
      </c>
      <c r="L871" s="4">
        <f>IFERROR(XLOOKUP(A871,Raw_Alerts!$B:$B,Raw_Alerts!$A:$A),"No Alert")</f>
        <v/>
      </c>
      <c r="M871" s="4">
        <f>IFERROR(XLOOKUP(A871,Raw_Alerts!$B:$B,Raw_Alerts!$C:$C),"")</f>
        <v/>
      </c>
      <c r="N871" s="4">
        <f>IFERROR(XLOOKUP(A871,Raw_Alerts!$B:$B,Raw_Alerts!$D:$D),"")</f>
        <v/>
      </c>
      <c r="O871" s="4">
        <f>IFERROR(XLOOKUP(A871,Raw_Alerts!$B:$B,Raw_Alerts!$F:$F),"")</f>
        <v/>
      </c>
      <c r="P871" s="4">
        <f>IF(H871="Not Found","CRITICAL: No Risk Profile",IF(I871="Missing","WARN: Missing KYC",IF(I871="Expired","WARN: KYC Expired",IF(I871="Pending","INFO: KYC Pending","OK"))))</f>
        <v/>
      </c>
    </row>
    <row r="872">
      <c r="A872" s="2">
        <f>Raw_Transactions!A872</f>
        <v/>
      </c>
      <c r="B872" s="2">
        <f>Raw_Transactions!B872</f>
        <v/>
      </c>
      <c r="C872" s="2">
        <f>Raw_Transactions!C872</f>
        <v/>
      </c>
      <c r="D872" s="3">
        <f>Raw_Transactions!D872</f>
        <v/>
      </c>
      <c r="E872" s="2">
        <f>Raw_Transactions!E872</f>
        <v/>
      </c>
      <c r="F872" s="2">
        <f>Raw_Transactions!F872</f>
        <v/>
      </c>
      <c r="G872" s="2">
        <f>Raw_Transactions!G872</f>
        <v/>
      </c>
      <c r="H872" s="2">
        <f>XLOOKUP(B872,Raw_Risk_Profiles!$A:$A,Raw_Risk_Profiles!$B:$B,"Not Found")</f>
        <v/>
      </c>
      <c r="I872" s="2">
        <f>XLOOKUP(B872,Raw_Risk_Profiles!$A:$A,Raw_Risk_Profiles!$C:$C,"Missing")</f>
        <v/>
      </c>
      <c r="J872" s="2">
        <f>XLOOKUP(B872,Raw_Risk_Profiles!$A:$A,Raw_Risk_Profiles!$D:$D,"")</f>
        <v/>
      </c>
      <c r="K872" s="2">
        <f>IFERROR(INDEX(Raw_Risk_Profiles!$E:$E,MATCH(B872,Raw_Risk_Profiles!$A:$A,0)),"Unknown")</f>
        <v/>
      </c>
      <c r="L872" s="2">
        <f>IFERROR(XLOOKUP(A872,Raw_Alerts!$B:$B,Raw_Alerts!$A:$A),"No Alert")</f>
        <v/>
      </c>
      <c r="M872" s="2">
        <f>IFERROR(XLOOKUP(A872,Raw_Alerts!$B:$B,Raw_Alerts!$C:$C),"")</f>
        <v/>
      </c>
      <c r="N872" s="2">
        <f>IFERROR(XLOOKUP(A872,Raw_Alerts!$B:$B,Raw_Alerts!$D:$D),"")</f>
        <v/>
      </c>
      <c r="O872" s="2">
        <f>IFERROR(XLOOKUP(A872,Raw_Alerts!$B:$B,Raw_Alerts!$F:$F),"")</f>
        <v/>
      </c>
      <c r="P872" s="2">
        <f>IF(H872="Not Found","CRITICAL: No Risk Profile",IF(I872="Missing","WARN: Missing KYC",IF(I872="Expired","WARN: KYC Expired",IF(I872="Pending","INFO: KYC Pending","OK"))))</f>
        <v/>
      </c>
    </row>
    <row r="873">
      <c r="A873" s="4">
        <f>Raw_Transactions!A873</f>
        <v/>
      </c>
      <c r="B873" s="4">
        <f>Raw_Transactions!B873</f>
        <v/>
      </c>
      <c r="C873" s="4">
        <f>Raw_Transactions!C873</f>
        <v/>
      </c>
      <c r="D873" s="5">
        <f>Raw_Transactions!D873</f>
        <v/>
      </c>
      <c r="E873" s="4">
        <f>Raw_Transactions!E873</f>
        <v/>
      </c>
      <c r="F873" s="4">
        <f>Raw_Transactions!F873</f>
        <v/>
      </c>
      <c r="G873" s="4">
        <f>Raw_Transactions!G873</f>
        <v/>
      </c>
      <c r="H873" s="4">
        <f>XLOOKUP(B873,Raw_Risk_Profiles!$A:$A,Raw_Risk_Profiles!$B:$B,"Not Found")</f>
        <v/>
      </c>
      <c r="I873" s="4">
        <f>XLOOKUP(B873,Raw_Risk_Profiles!$A:$A,Raw_Risk_Profiles!$C:$C,"Missing")</f>
        <v/>
      </c>
      <c r="J873" s="4">
        <f>XLOOKUP(B873,Raw_Risk_Profiles!$A:$A,Raw_Risk_Profiles!$D:$D,"")</f>
        <v/>
      </c>
      <c r="K873" s="4">
        <f>IFERROR(INDEX(Raw_Risk_Profiles!$E:$E,MATCH(B873,Raw_Risk_Profiles!$A:$A,0)),"Unknown")</f>
        <v/>
      </c>
      <c r="L873" s="4">
        <f>IFERROR(XLOOKUP(A873,Raw_Alerts!$B:$B,Raw_Alerts!$A:$A),"No Alert")</f>
        <v/>
      </c>
      <c r="M873" s="4">
        <f>IFERROR(XLOOKUP(A873,Raw_Alerts!$B:$B,Raw_Alerts!$C:$C),"")</f>
        <v/>
      </c>
      <c r="N873" s="4">
        <f>IFERROR(XLOOKUP(A873,Raw_Alerts!$B:$B,Raw_Alerts!$D:$D),"")</f>
        <v/>
      </c>
      <c r="O873" s="4">
        <f>IFERROR(XLOOKUP(A873,Raw_Alerts!$B:$B,Raw_Alerts!$F:$F),"")</f>
        <v/>
      </c>
      <c r="P873" s="4">
        <f>IF(H873="Not Found","CRITICAL: No Risk Profile",IF(I873="Missing","WARN: Missing KYC",IF(I873="Expired","WARN: KYC Expired",IF(I873="Pending","INFO: KYC Pending","OK"))))</f>
        <v/>
      </c>
    </row>
    <row r="874">
      <c r="A874" s="2">
        <f>Raw_Transactions!A874</f>
        <v/>
      </c>
      <c r="B874" s="2">
        <f>Raw_Transactions!B874</f>
        <v/>
      </c>
      <c r="C874" s="2">
        <f>Raw_Transactions!C874</f>
        <v/>
      </c>
      <c r="D874" s="3">
        <f>Raw_Transactions!D874</f>
        <v/>
      </c>
      <c r="E874" s="2">
        <f>Raw_Transactions!E874</f>
        <v/>
      </c>
      <c r="F874" s="2">
        <f>Raw_Transactions!F874</f>
        <v/>
      </c>
      <c r="G874" s="2">
        <f>Raw_Transactions!G874</f>
        <v/>
      </c>
      <c r="H874" s="2">
        <f>XLOOKUP(B874,Raw_Risk_Profiles!$A:$A,Raw_Risk_Profiles!$B:$B,"Not Found")</f>
        <v/>
      </c>
      <c r="I874" s="2">
        <f>XLOOKUP(B874,Raw_Risk_Profiles!$A:$A,Raw_Risk_Profiles!$C:$C,"Missing")</f>
        <v/>
      </c>
      <c r="J874" s="2">
        <f>XLOOKUP(B874,Raw_Risk_Profiles!$A:$A,Raw_Risk_Profiles!$D:$D,"")</f>
        <v/>
      </c>
      <c r="K874" s="2">
        <f>IFERROR(INDEX(Raw_Risk_Profiles!$E:$E,MATCH(B874,Raw_Risk_Profiles!$A:$A,0)),"Unknown")</f>
        <v/>
      </c>
      <c r="L874" s="2">
        <f>IFERROR(XLOOKUP(A874,Raw_Alerts!$B:$B,Raw_Alerts!$A:$A),"No Alert")</f>
        <v/>
      </c>
      <c r="M874" s="2">
        <f>IFERROR(XLOOKUP(A874,Raw_Alerts!$B:$B,Raw_Alerts!$C:$C),"")</f>
        <v/>
      </c>
      <c r="N874" s="2">
        <f>IFERROR(XLOOKUP(A874,Raw_Alerts!$B:$B,Raw_Alerts!$D:$D),"")</f>
        <v/>
      </c>
      <c r="O874" s="2">
        <f>IFERROR(XLOOKUP(A874,Raw_Alerts!$B:$B,Raw_Alerts!$F:$F),"")</f>
        <v/>
      </c>
      <c r="P874" s="2">
        <f>IF(H874="Not Found","CRITICAL: No Risk Profile",IF(I874="Missing","WARN: Missing KYC",IF(I874="Expired","WARN: KYC Expired",IF(I874="Pending","INFO: KYC Pending","OK"))))</f>
        <v/>
      </c>
    </row>
    <row r="875">
      <c r="A875" s="4">
        <f>Raw_Transactions!A875</f>
        <v/>
      </c>
      <c r="B875" s="4">
        <f>Raw_Transactions!B875</f>
        <v/>
      </c>
      <c r="C875" s="4">
        <f>Raw_Transactions!C875</f>
        <v/>
      </c>
      <c r="D875" s="5">
        <f>Raw_Transactions!D875</f>
        <v/>
      </c>
      <c r="E875" s="4">
        <f>Raw_Transactions!E875</f>
        <v/>
      </c>
      <c r="F875" s="4">
        <f>Raw_Transactions!F875</f>
        <v/>
      </c>
      <c r="G875" s="4">
        <f>Raw_Transactions!G875</f>
        <v/>
      </c>
      <c r="H875" s="4">
        <f>XLOOKUP(B875,Raw_Risk_Profiles!$A:$A,Raw_Risk_Profiles!$B:$B,"Not Found")</f>
        <v/>
      </c>
      <c r="I875" s="4">
        <f>XLOOKUP(B875,Raw_Risk_Profiles!$A:$A,Raw_Risk_Profiles!$C:$C,"Missing")</f>
        <v/>
      </c>
      <c r="J875" s="4">
        <f>XLOOKUP(B875,Raw_Risk_Profiles!$A:$A,Raw_Risk_Profiles!$D:$D,"")</f>
        <v/>
      </c>
      <c r="K875" s="4">
        <f>IFERROR(INDEX(Raw_Risk_Profiles!$E:$E,MATCH(B875,Raw_Risk_Profiles!$A:$A,0)),"Unknown")</f>
        <v/>
      </c>
      <c r="L875" s="4">
        <f>IFERROR(XLOOKUP(A875,Raw_Alerts!$B:$B,Raw_Alerts!$A:$A),"No Alert")</f>
        <v/>
      </c>
      <c r="M875" s="4">
        <f>IFERROR(XLOOKUP(A875,Raw_Alerts!$B:$B,Raw_Alerts!$C:$C),"")</f>
        <v/>
      </c>
      <c r="N875" s="4">
        <f>IFERROR(XLOOKUP(A875,Raw_Alerts!$B:$B,Raw_Alerts!$D:$D),"")</f>
        <v/>
      </c>
      <c r="O875" s="4">
        <f>IFERROR(XLOOKUP(A875,Raw_Alerts!$B:$B,Raw_Alerts!$F:$F),"")</f>
        <v/>
      </c>
      <c r="P875" s="4">
        <f>IF(H875="Not Found","CRITICAL: No Risk Profile",IF(I875="Missing","WARN: Missing KYC",IF(I875="Expired","WARN: KYC Expired",IF(I875="Pending","INFO: KYC Pending","OK"))))</f>
        <v/>
      </c>
    </row>
    <row r="876">
      <c r="A876" s="2">
        <f>Raw_Transactions!A876</f>
        <v/>
      </c>
      <c r="B876" s="2">
        <f>Raw_Transactions!B876</f>
        <v/>
      </c>
      <c r="C876" s="2">
        <f>Raw_Transactions!C876</f>
        <v/>
      </c>
      <c r="D876" s="3">
        <f>Raw_Transactions!D876</f>
        <v/>
      </c>
      <c r="E876" s="2">
        <f>Raw_Transactions!E876</f>
        <v/>
      </c>
      <c r="F876" s="2">
        <f>Raw_Transactions!F876</f>
        <v/>
      </c>
      <c r="G876" s="2">
        <f>Raw_Transactions!G876</f>
        <v/>
      </c>
      <c r="H876" s="2">
        <f>XLOOKUP(B876,Raw_Risk_Profiles!$A:$A,Raw_Risk_Profiles!$B:$B,"Not Found")</f>
        <v/>
      </c>
      <c r="I876" s="2">
        <f>XLOOKUP(B876,Raw_Risk_Profiles!$A:$A,Raw_Risk_Profiles!$C:$C,"Missing")</f>
        <v/>
      </c>
      <c r="J876" s="2">
        <f>XLOOKUP(B876,Raw_Risk_Profiles!$A:$A,Raw_Risk_Profiles!$D:$D,"")</f>
        <v/>
      </c>
      <c r="K876" s="2">
        <f>IFERROR(INDEX(Raw_Risk_Profiles!$E:$E,MATCH(B876,Raw_Risk_Profiles!$A:$A,0)),"Unknown")</f>
        <v/>
      </c>
      <c r="L876" s="2">
        <f>IFERROR(XLOOKUP(A876,Raw_Alerts!$B:$B,Raw_Alerts!$A:$A),"No Alert")</f>
        <v/>
      </c>
      <c r="M876" s="2">
        <f>IFERROR(XLOOKUP(A876,Raw_Alerts!$B:$B,Raw_Alerts!$C:$C),"")</f>
        <v/>
      </c>
      <c r="N876" s="2">
        <f>IFERROR(XLOOKUP(A876,Raw_Alerts!$B:$B,Raw_Alerts!$D:$D),"")</f>
        <v/>
      </c>
      <c r="O876" s="2">
        <f>IFERROR(XLOOKUP(A876,Raw_Alerts!$B:$B,Raw_Alerts!$F:$F),"")</f>
        <v/>
      </c>
      <c r="P876" s="2">
        <f>IF(H876="Not Found","CRITICAL: No Risk Profile",IF(I876="Missing","WARN: Missing KYC",IF(I876="Expired","WARN: KYC Expired",IF(I876="Pending","INFO: KYC Pending","OK"))))</f>
        <v/>
      </c>
    </row>
    <row r="877">
      <c r="A877" s="4">
        <f>Raw_Transactions!A877</f>
        <v/>
      </c>
      <c r="B877" s="4">
        <f>Raw_Transactions!B877</f>
        <v/>
      </c>
      <c r="C877" s="4">
        <f>Raw_Transactions!C877</f>
        <v/>
      </c>
      <c r="D877" s="5">
        <f>Raw_Transactions!D877</f>
        <v/>
      </c>
      <c r="E877" s="4">
        <f>Raw_Transactions!E877</f>
        <v/>
      </c>
      <c r="F877" s="4">
        <f>Raw_Transactions!F877</f>
        <v/>
      </c>
      <c r="G877" s="4">
        <f>Raw_Transactions!G877</f>
        <v/>
      </c>
      <c r="H877" s="4">
        <f>XLOOKUP(B877,Raw_Risk_Profiles!$A:$A,Raw_Risk_Profiles!$B:$B,"Not Found")</f>
        <v/>
      </c>
      <c r="I877" s="4">
        <f>XLOOKUP(B877,Raw_Risk_Profiles!$A:$A,Raw_Risk_Profiles!$C:$C,"Missing")</f>
        <v/>
      </c>
      <c r="J877" s="4">
        <f>XLOOKUP(B877,Raw_Risk_Profiles!$A:$A,Raw_Risk_Profiles!$D:$D,"")</f>
        <v/>
      </c>
      <c r="K877" s="4">
        <f>IFERROR(INDEX(Raw_Risk_Profiles!$E:$E,MATCH(B877,Raw_Risk_Profiles!$A:$A,0)),"Unknown")</f>
        <v/>
      </c>
      <c r="L877" s="4">
        <f>IFERROR(XLOOKUP(A877,Raw_Alerts!$B:$B,Raw_Alerts!$A:$A),"No Alert")</f>
        <v/>
      </c>
      <c r="M877" s="4">
        <f>IFERROR(XLOOKUP(A877,Raw_Alerts!$B:$B,Raw_Alerts!$C:$C),"")</f>
        <v/>
      </c>
      <c r="N877" s="4">
        <f>IFERROR(XLOOKUP(A877,Raw_Alerts!$B:$B,Raw_Alerts!$D:$D),"")</f>
        <v/>
      </c>
      <c r="O877" s="4">
        <f>IFERROR(XLOOKUP(A877,Raw_Alerts!$B:$B,Raw_Alerts!$F:$F),"")</f>
        <v/>
      </c>
      <c r="P877" s="4">
        <f>IF(H877="Not Found","CRITICAL: No Risk Profile",IF(I877="Missing","WARN: Missing KYC",IF(I877="Expired","WARN: KYC Expired",IF(I877="Pending","INFO: KYC Pending","OK"))))</f>
        <v/>
      </c>
    </row>
    <row r="878">
      <c r="A878" s="2">
        <f>Raw_Transactions!A878</f>
        <v/>
      </c>
      <c r="B878" s="2">
        <f>Raw_Transactions!B878</f>
        <v/>
      </c>
      <c r="C878" s="2">
        <f>Raw_Transactions!C878</f>
        <v/>
      </c>
      <c r="D878" s="3">
        <f>Raw_Transactions!D878</f>
        <v/>
      </c>
      <c r="E878" s="2">
        <f>Raw_Transactions!E878</f>
        <v/>
      </c>
      <c r="F878" s="2">
        <f>Raw_Transactions!F878</f>
        <v/>
      </c>
      <c r="G878" s="2">
        <f>Raw_Transactions!G878</f>
        <v/>
      </c>
      <c r="H878" s="2">
        <f>XLOOKUP(B878,Raw_Risk_Profiles!$A:$A,Raw_Risk_Profiles!$B:$B,"Not Found")</f>
        <v/>
      </c>
      <c r="I878" s="2">
        <f>XLOOKUP(B878,Raw_Risk_Profiles!$A:$A,Raw_Risk_Profiles!$C:$C,"Missing")</f>
        <v/>
      </c>
      <c r="J878" s="2">
        <f>XLOOKUP(B878,Raw_Risk_Profiles!$A:$A,Raw_Risk_Profiles!$D:$D,"")</f>
        <v/>
      </c>
      <c r="K878" s="2">
        <f>IFERROR(INDEX(Raw_Risk_Profiles!$E:$E,MATCH(B878,Raw_Risk_Profiles!$A:$A,0)),"Unknown")</f>
        <v/>
      </c>
      <c r="L878" s="2">
        <f>IFERROR(XLOOKUP(A878,Raw_Alerts!$B:$B,Raw_Alerts!$A:$A),"No Alert")</f>
        <v/>
      </c>
      <c r="M878" s="2">
        <f>IFERROR(XLOOKUP(A878,Raw_Alerts!$B:$B,Raw_Alerts!$C:$C),"")</f>
        <v/>
      </c>
      <c r="N878" s="2">
        <f>IFERROR(XLOOKUP(A878,Raw_Alerts!$B:$B,Raw_Alerts!$D:$D),"")</f>
        <v/>
      </c>
      <c r="O878" s="2">
        <f>IFERROR(XLOOKUP(A878,Raw_Alerts!$B:$B,Raw_Alerts!$F:$F),"")</f>
        <v/>
      </c>
      <c r="P878" s="2">
        <f>IF(H878="Not Found","CRITICAL: No Risk Profile",IF(I878="Missing","WARN: Missing KYC",IF(I878="Expired","WARN: KYC Expired",IF(I878="Pending","INFO: KYC Pending","OK"))))</f>
        <v/>
      </c>
    </row>
    <row r="879">
      <c r="A879" s="4">
        <f>Raw_Transactions!A879</f>
        <v/>
      </c>
      <c r="B879" s="4">
        <f>Raw_Transactions!B879</f>
        <v/>
      </c>
      <c r="C879" s="4">
        <f>Raw_Transactions!C879</f>
        <v/>
      </c>
      <c r="D879" s="5">
        <f>Raw_Transactions!D879</f>
        <v/>
      </c>
      <c r="E879" s="4">
        <f>Raw_Transactions!E879</f>
        <v/>
      </c>
      <c r="F879" s="4">
        <f>Raw_Transactions!F879</f>
        <v/>
      </c>
      <c r="G879" s="4">
        <f>Raw_Transactions!G879</f>
        <v/>
      </c>
      <c r="H879" s="4">
        <f>XLOOKUP(B879,Raw_Risk_Profiles!$A:$A,Raw_Risk_Profiles!$B:$B,"Not Found")</f>
        <v/>
      </c>
      <c r="I879" s="4">
        <f>XLOOKUP(B879,Raw_Risk_Profiles!$A:$A,Raw_Risk_Profiles!$C:$C,"Missing")</f>
        <v/>
      </c>
      <c r="J879" s="4">
        <f>XLOOKUP(B879,Raw_Risk_Profiles!$A:$A,Raw_Risk_Profiles!$D:$D,"")</f>
        <v/>
      </c>
      <c r="K879" s="4">
        <f>IFERROR(INDEX(Raw_Risk_Profiles!$E:$E,MATCH(B879,Raw_Risk_Profiles!$A:$A,0)),"Unknown")</f>
        <v/>
      </c>
      <c r="L879" s="4">
        <f>IFERROR(XLOOKUP(A879,Raw_Alerts!$B:$B,Raw_Alerts!$A:$A),"No Alert")</f>
        <v/>
      </c>
      <c r="M879" s="4">
        <f>IFERROR(XLOOKUP(A879,Raw_Alerts!$B:$B,Raw_Alerts!$C:$C),"")</f>
        <v/>
      </c>
      <c r="N879" s="4">
        <f>IFERROR(XLOOKUP(A879,Raw_Alerts!$B:$B,Raw_Alerts!$D:$D),"")</f>
        <v/>
      </c>
      <c r="O879" s="4">
        <f>IFERROR(XLOOKUP(A879,Raw_Alerts!$B:$B,Raw_Alerts!$F:$F),"")</f>
        <v/>
      </c>
      <c r="P879" s="4">
        <f>IF(H879="Not Found","CRITICAL: No Risk Profile",IF(I879="Missing","WARN: Missing KYC",IF(I879="Expired","WARN: KYC Expired",IF(I879="Pending","INFO: KYC Pending","OK"))))</f>
        <v/>
      </c>
    </row>
    <row r="880">
      <c r="A880" s="2">
        <f>Raw_Transactions!A880</f>
        <v/>
      </c>
      <c r="B880" s="2">
        <f>Raw_Transactions!B880</f>
        <v/>
      </c>
      <c r="C880" s="2">
        <f>Raw_Transactions!C880</f>
        <v/>
      </c>
      <c r="D880" s="3">
        <f>Raw_Transactions!D880</f>
        <v/>
      </c>
      <c r="E880" s="2">
        <f>Raw_Transactions!E880</f>
        <v/>
      </c>
      <c r="F880" s="2">
        <f>Raw_Transactions!F880</f>
        <v/>
      </c>
      <c r="G880" s="2">
        <f>Raw_Transactions!G880</f>
        <v/>
      </c>
      <c r="H880" s="2">
        <f>XLOOKUP(B880,Raw_Risk_Profiles!$A:$A,Raw_Risk_Profiles!$B:$B,"Not Found")</f>
        <v/>
      </c>
      <c r="I880" s="2">
        <f>XLOOKUP(B880,Raw_Risk_Profiles!$A:$A,Raw_Risk_Profiles!$C:$C,"Missing")</f>
        <v/>
      </c>
      <c r="J880" s="2">
        <f>XLOOKUP(B880,Raw_Risk_Profiles!$A:$A,Raw_Risk_Profiles!$D:$D,"")</f>
        <v/>
      </c>
      <c r="K880" s="2">
        <f>IFERROR(INDEX(Raw_Risk_Profiles!$E:$E,MATCH(B880,Raw_Risk_Profiles!$A:$A,0)),"Unknown")</f>
        <v/>
      </c>
      <c r="L880" s="2">
        <f>IFERROR(XLOOKUP(A880,Raw_Alerts!$B:$B,Raw_Alerts!$A:$A),"No Alert")</f>
        <v/>
      </c>
      <c r="M880" s="2">
        <f>IFERROR(XLOOKUP(A880,Raw_Alerts!$B:$B,Raw_Alerts!$C:$C),"")</f>
        <v/>
      </c>
      <c r="N880" s="2">
        <f>IFERROR(XLOOKUP(A880,Raw_Alerts!$B:$B,Raw_Alerts!$D:$D),"")</f>
        <v/>
      </c>
      <c r="O880" s="2">
        <f>IFERROR(XLOOKUP(A880,Raw_Alerts!$B:$B,Raw_Alerts!$F:$F),"")</f>
        <v/>
      </c>
      <c r="P880" s="2">
        <f>IF(H880="Not Found","CRITICAL: No Risk Profile",IF(I880="Missing","WARN: Missing KYC",IF(I880="Expired","WARN: KYC Expired",IF(I880="Pending","INFO: KYC Pending","OK"))))</f>
        <v/>
      </c>
    </row>
    <row r="881">
      <c r="A881" s="4">
        <f>Raw_Transactions!A881</f>
        <v/>
      </c>
      <c r="B881" s="4">
        <f>Raw_Transactions!B881</f>
        <v/>
      </c>
      <c r="C881" s="4">
        <f>Raw_Transactions!C881</f>
        <v/>
      </c>
      <c r="D881" s="5">
        <f>Raw_Transactions!D881</f>
        <v/>
      </c>
      <c r="E881" s="4">
        <f>Raw_Transactions!E881</f>
        <v/>
      </c>
      <c r="F881" s="4">
        <f>Raw_Transactions!F881</f>
        <v/>
      </c>
      <c r="G881" s="4">
        <f>Raw_Transactions!G881</f>
        <v/>
      </c>
      <c r="H881" s="4">
        <f>XLOOKUP(B881,Raw_Risk_Profiles!$A:$A,Raw_Risk_Profiles!$B:$B,"Not Found")</f>
        <v/>
      </c>
      <c r="I881" s="4">
        <f>XLOOKUP(B881,Raw_Risk_Profiles!$A:$A,Raw_Risk_Profiles!$C:$C,"Missing")</f>
        <v/>
      </c>
      <c r="J881" s="4">
        <f>XLOOKUP(B881,Raw_Risk_Profiles!$A:$A,Raw_Risk_Profiles!$D:$D,"")</f>
        <v/>
      </c>
      <c r="K881" s="4">
        <f>IFERROR(INDEX(Raw_Risk_Profiles!$E:$E,MATCH(B881,Raw_Risk_Profiles!$A:$A,0)),"Unknown")</f>
        <v/>
      </c>
      <c r="L881" s="4">
        <f>IFERROR(XLOOKUP(A881,Raw_Alerts!$B:$B,Raw_Alerts!$A:$A),"No Alert")</f>
        <v/>
      </c>
      <c r="M881" s="4">
        <f>IFERROR(XLOOKUP(A881,Raw_Alerts!$B:$B,Raw_Alerts!$C:$C),"")</f>
        <v/>
      </c>
      <c r="N881" s="4">
        <f>IFERROR(XLOOKUP(A881,Raw_Alerts!$B:$B,Raw_Alerts!$D:$D),"")</f>
        <v/>
      </c>
      <c r="O881" s="4">
        <f>IFERROR(XLOOKUP(A881,Raw_Alerts!$B:$B,Raw_Alerts!$F:$F),"")</f>
        <v/>
      </c>
      <c r="P881" s="4">
        <f>IF(H881="Not Found","CRITICAL: No Risk Profile",IF(I881="Missing","WARN: Missing KYC",IF(I881="Expired","WARN: KYC Expired",IF(I881="Pending","INFO: KYC Pending","OK"))))</f>
        <v/>
      </c>
    </row>
    <row r="882">
      <c r="A882" s="2">
        <f>Raw_Transactions!A882</f>
        <v/>
      </c>
      <c r="B882" s="2">
        <f>Raw_Transactions!B882</f>
        <v/>
      </c>
      <c r="C882" s="2">
        <f>Raw_Transactions!C882</f>
        <v/>
      </c>
      <c r="D882" s="3">
        <f>Raw_Transactions!D882</f>
        <v/>
      </c>
      <c r="E882" s="2">
        <f>Raw_Transactions!E882</f>
        <v/>
      </c>
      <c r="F882" s="2">
        <f>Raw_Transactions!F882</f>
        <v/>
      </c>
      <c r="G882" s="2">
        <f>Raw_Transactions!G882</f>
        <v/>
      </c>
      <c r="H882" s="2">
        <f>XLOOKUP(B882,Raw_Risk_Profiles!$A:$A,Raw_Risk_Profiles!$B:$B,"Not Found")</f>
        <v/>
      </c>
      <c r="I882" s="2">
        <f>XLOOKUP(B882,Raw_Risk_Profiles!$A:$A,Raw_Risk_Profiles!$C:$C,"Missing")</f>
        <v/>
      </c>
      <c r="J882" s="2">
        <f>XLOOKUP(B882,Raw_Risk_Profiles!$A:$A,Raw_Risk_Profiles!$D:$D,"")</f>
        <v/>
      </c>
      <c r="K882" s="2">
        <f>IFERROR(INDEX(Raw_Risk_Profiles!$E:$E,MATCH(B882,Raw_Risk_Profiles!$A:$A,0)),"Unknown")</f>
        <v/>
      </c>
      <c r="L882" s="2">
        <f>IFERROR(XLOOKUP(A882,Raw_Alerts!$B:$B,Raw_Alerts!$A:$A),"No Alert")</f>
        <v/>
      </c>
      <c r="M882" s="2">
        <f>IFERROR(XLOOKUP(A882,Raw_Alerts!$B:$B,Raw_Alerts!$C:$C),"")</f>
        <v/>
      </c>
      <c r="N882" s="2">
        <f>IFERROR(XLOOKUP(A882,Raw_Alerts!$B:$B,Raw_Alerts!$D:$D),"")</f>
        <v/>
      </c>
      <c r="O882" s="2">
        <f>IFERROR(XLOOKUP(A882,Raw_Alerts!$B:$B,Raw_Alerts!$F:$F),"")</f>
        <v/>
      </c>
      <c r="P882" s="2">
        <f>IF(H882="Not Found","CRITICAL: No Risk Profile",IF(I882="Missing","WARN: Missing KYC",IF(I882="Expired","WARN: KYC Expired",IF(I882="Pending","INFO: KYC Pending","OK"))))</f>
        <v/>
      </c>
    </row>
    <row r="883">
      <c r="A883" s="4">
        <f>Raw_Transactions!A883</f>
        <v/>
      </c>
      <c r="B883" s="4">
        <f>Raw_Transactions!B883</f>
        <v/>
      </c>
      <c r="C883" s="4">
        <f>Raw_Transactions!C883</f>
        <v/>
      </c>
      <c r="D883" s="5">
        <f>Raw_Transactions!D883</f>
        <v/>
      </c>
      <c r="E883" s="4">
        <f>Raw_Transactions!E883</f>
        <v/>
      </c>
      <c r="F883" s="4">
        <f>Raw_Transactions!F883</f>
        <v/>
      </c>
      <c r="G883" s="4">
        <f>Raw_Transactions!G883</f>
        <v/>
      </c>
      <c r="H883" s="4">
        <f>XLOOKUP(B883,Raw_Risk_Profiles!$A:$A,Raw_Risk_Profiles!$B:$B,"Not Found")</f>
        <v/>
      </c>
      <c r="I883" s="4">
        <f>XLOOKUP(B883,Raw_Risk_Profiles!$A:$A,Raw_Risk_Profiles!$C:$C,"Missing")</f>
        <v/>
      </c>
      <c r="J883" s="4">
        <f>XLOOKUP(B883,Raw_Risk_Profiles!$A:$A,Raw_Risk_Profiles!$D:$D,"")</f>
        <v/>
      </c>
      <c r="K883" s="4">
        <f>IFERROR(INDEX(Raw_Risk_Profiles!$E:$E,MATCH(B883,Raw_Risk_Profiles!$A:$A,0)),"Unknown")</f>
        <v/>
      </c>
      <c r="L883" s="4">
        <f>IFERROR(XLOOKUP(A883,Raw_Alerts!$B:$B,Raw_Alerts!$A:$A),"No Alert")</f>
        <v/>
      </c>
      <c r="M883" s="4">
        <f>IFERROR(XLOOKUP(A883,Raw_Alerts!$B:$B,Raw_Alerts!$C:$C),"")</f>
        <v/>
      </c>
      <c r="N883" s="4">
        <f>IFERROR(XLOOKUP(A883,Raw_Alerts!$B:$B,Raw_Alerts!$D:$D),"")</f>
        <v/>
      </c>
      <c r="O883" s="4">
        <f>IFERROR(XLOOKUP(A883,Raw_Alerts!$B:$B,Raw_Alerts!$F:$F),"")</f>
        <v/>
      </c>
      <c r="P883" s="4">
        <f>IF(H883="Not Found","CRITICAL: No Risk Profile",IF(I883="Missing","WARN: Missing KYC",IF(I883="Expired","WARN: KYC Expired",IF(I883="Pending","INFO: KYC Pending","OK"))))</f>
        <v/>
      </c>
    </row>
    <row r="884">
      <c r="A884" s="2">
        <f>Raw_Transactions!A884</f>
        <v/>
      </c>
      <c r="B884" s="2">
        <f>Raw_Transactions!B884</f>
        <v/>
      </c>
      <c r="C884" s="2">
        <f>Raw_Transactions!C884</f>
        <v/>
      </c>
      <c r="D884" s="3">
        <f>Raw_Transactions!D884</f>
        <v/>
      </c>
      <c r="E884" s="2">
        <f>Raw_Transactions!E884</f>
        <v/>
      </c>
      <c r="F884" s="2">
        <f>Raw_Transactions!F884</f>
        <v/>
      </c>
      <c r="G884" s="2">
        <f>Raw_Transactions!G884</f>
        <v/>
      </c>
      <c r="H884" s="2">
        <f>XLOOKUP(B884,Raw_Risk_Profiles!$A:$A,Raw_Risk_Profiles!$B:$B,"Not Found")</f>
        <v/>
      </c>
      <c r="I884" s="2">
        <f>XLOOKUP(B884,Raw_Risk_Profiles!$A:$A,Raw_Risk_Profiles!$C:$C,"Missing")</f>
        <v/>
      </c>
      <c r="J884" s="2">
        <f>XLOOKUP(B884,Raw_Risk_Profiles!$A:$A,Raw_Risk_Profiles!$D:$D,"")</f>
        <v/>
      </c>
      <c r="K884" s="2">
        <f>IFERROR(INDEX(Raw_Risk_Profiles!$E:$E,MATCH(B884,Raw_Risk_Profiles!$A:$A,0)),"Unknown")</f>
        <v/>
      </c>
      <c r="L884" s="2">
        <f>IFERROR(XLOOKUP(A884,Raw_Alerts!$B:$B,Raw_Alerts!$A:$A),"No Alert")</f>
        <v/>
      </c>
      <c r="M884" s="2">
        <f>IFERROR(XLOOKUP(A884,Raw_Alerts!$B:$B,Raw_Alerts!$C:$C),"")</f>
        <v/>
      </c>
      <c r="N884" s="2">
        <f>IFERROR(XLOOKUP(A884,Raw_Alerts!$B:$B,Raw_Alerts!$D:$D),"")</f>
        <v/>
      </c>
      <c r="O884" s="2">
        <f>IFERROR(XLOOKUP(A884,Raw_Alerts!$B:$B,Raw_Alerts!$F:$F),"")</f>
        <v/>
      </c>
      <c r="P884" s="2">
        <f>IF(H884="Not Found","CRITICAL: No Risk Profile",IF(I884="Missing","WARN: Missing KYC",IF(I884="Expired","WARN: KYC Expired",IF(I884="Pending","INFO: KYC Pending","OK"))))</f>
        <v/>
      </c>
    </row>
    <row r="885">
      <c r="A885" s="4">
        <f>Raw_Transactions!A885</f>
        <v/>
      </c>
      <c r="B885" s="4">
        <f>Raw_Transactions!B885</f>
        <v/>
      </c>
      <c r="C885" s="4">
        <f>Raw_Transactions!C885</f>
        <v/>
      </c>
      <c r="D885" s="5">
        <f>Raw_Transactions!D885</f>
        <v/>
      </c>
      <c r="E885" s="4">
        <f>Raw_Transactions!E885</f>
        <v/>
      </c>
      <c r="F885" s="4">
        <f>Raw_Transactions!F885</f>
        <v/>
      </c>
      <c r="G885" s="4">
        <f>Raw_Transactions!G885</f>
        <v/>
      </c>
      <c r="H885" s="4">
        <f>XLOOKUP(B885,Raw_Risk_Profiles!$A:$A,Raw_Risk_Profiles!$B:$B,"Not Found")</f>
        <v/>
      </c>
      <c r="I885" s="4">
        <f>XLOOKUP(B885,Raw_Risk_Profiles!$A:$A,Raw_Risk_Profiles!$C:$C,"Missing")</f>
        <v/>
      </c>
      <c r="J885" s="4">
        <f>XLOOKUP(B885,Raw_Risk_Profiles!$A:$A,Raw_Risk_Profiles!$D:$D,"")</f>
        <v/>
      </c>
      <c r="K885" s="4">
        <f>IFERROR(INDEX(Raw_Risk_Profiles!$E:$E,MATCH(B885,Raw_Risk_Profiles!$A:$A,0)),"Unknown")</f>
        <v/>
      </c>
      <c r="L885" s="4">
        <f>IFERROR(XLOOKUP(A885,Raw_Alerts!$B:$B,Raw_Alerts!$A:$A),"No Alert")</f>
        <v/>
      </c>
      <c r="M885" s="4">
        <f>IFERROR(XLOOKUP(A885,Raw_Alerts!$B:$B,Raw_Alerts!$C:$C),"")</f>
        <v/>
      </c>
      <c r="N885" s="4">
        <f>IFERROR(XLOOKUP(A885,Raw_Alerts!$B:$B,Raw_Alerts!$D:$D),"")</f>
        <v/>
      </c>
      <c r="O885" s="4">
        <f>IFERROR(XLOOKUP(A885,Raw_Alerts!$B:$B,Raw_Alerts!$F:$F),"")</f>
        <v/>
      </c>
      <c r="P885" s="4">
        <f>IF(H885="Not Found","CRITICAL: No Risk Profile",IF(I885="Missing","WARN: Missing KYC",IF(I885="Expired","WARN: KYC Expired",IF(I885="Pending","INFO: KYC Pending","OK"))))</f>
        <v/>
      </c>
    </row>
    <row r="886">
      <c r="A886" s="2">
        <f>Raw_Transactions!A886</f>
        <v/>
      </c>
      <c r="B886" s="2">
        <f>Raw_Transactions!B886</f>
        <v/>
      </c>
      <c r="C886" s="2">
        <f>Raw_Transactions!C886</f>
        <v/>
      </c>
      <c r="D886" s="3">
        <f>Raw_Transactions!D886</f>
        <v/>
      </c>
      <c r="E886" s="2">
        <f>Raw_Transactions!E886</f>
        <v/>
      </c>
      <c r="F886" s="2">
        <f>Raw_Transactions!F886</f>
        <v/>
      </c>
      <c r="G886" s="2">
        <f>Raw_Transactions!G886</f>
        <v/>
      </c>
      <c r="H886" s="2">
        <f>XLOOKUP(B886,Raw_Risk_Profiles!$A:$A,Raw_Risk_Profiles!$B:$B,"Not Found")</f>
        <v/>
      </c>
      <c r="I886" s="2">
        <f>XLOOKUP(B886,Raw_Risk_Profiles!$A:$A,Raw_Risk_Profiles!$C:$C,"Missing")</f>
        <v/>
      </c>
      <c r="J886" s="2">
        <f>XLOOKUP(B886,Raw_Risk_Profiles!$A:$A,Raw_Risk_Profiles!$D:$D,"")</f>
        <v/>
      </c>
      <c r="K886" s="2">
        <f>IFERROR(INDEX(Raw_Risk_Profiles!$E:$E,MATCH(B886,Raw_Risk_Profiles!$A:$A,0)),"Unknown")</f>
        <v/>
      </c>
      <c r="L886" s="2">
        <f>IFERROR(XLOOKUP(A886,Raw_Alerts!$B:$B,Raw_Alerts!$A:$A),"No Alert")</f>
        <v/>
      </c>
      <c r="M886" s="2">
        <f>IFERROR(XLOOKUP(A886,Raw_Alerts!$B:$B,Raw_Alerts!$C:$C),"")</f>
        <v/>
      </c>
      <c r="N886" s="2">
        <f>IFERROR(XLOOKUP(A886,Raw_Alerts!$B:$B,Raw_Alerts!$D:$D),"")</f>
        <v/>
      </c>
      <c r="O886" s="2">
        <f>IFERROR(XLOOKUP(A886,Raw_Alerts!$B:$B,Raw_Alerts!$F:$F),"")</f>
        <v/>
      </c>
      <c r="P886" s="2">
        <f>IF(H886="Not Found","CRITICAL: No Risk Profile",IF(I886="Missing","WARN: Missing KYC",IF(I886="Expired","WARN: KYC Expired",IF(I886="Pending","INFO: KYC Pending","OK"))))</f>
        <v/>
      </c>
    </row>
    <row r="887">
      <c r="A887" s="4">
        <f>Raw_Transactions!A887</f>
        <v/>
      </c>
      <c r="B887" s="4">
        <f>Raw_Transactions!B887</f>
        <v/>
      </c>
      <c r="C887" s="4">
        <f>Raw_Transactions!C887</f>
        <v/>
      </c>
      <c r="D887" s="5">
        <f>Raw_Transactions!D887</f>
        <v/>
      </c>
      <c r="E887" s="4">
        <f>Raw_Transactions!E887</f>
        <v/>
      </c>
      <c r="F887" s="4">
        <f>Raw_Transactions!F887</f>
        <v/>
      </c>
      <c r="G887" s="4">
        <f>Raw_Transactions!G887</f>
        <v/>
      </c>
      <c r="H887" s="4">
        <f>XLOOKUP(B887,Raw_Risk_Profiles!$A:$A,Raw_Risk_Profiles!$B:$B,"Not Found")</f>
        <v/>
      </c>
      <c r="I887" s="4">
        <f>XLOOKUP(B887,Raw_Risk_Profiles!$A:$A,Raw_Risk_Profiles!$C:$C,"Missing")</f>
        <v/>
      </c>
      <c r="J887" s="4">
        <f>XLOOKUP(B887,Raw_Risk_Profiles!$A:$A,Raw_Risk_Profiles!$D:$D,"")</f>
        <v/>
      </c>
      <c r="K887" s="4">
        <f>IFERROR(INDEX(Raw_Risk_Profiles!$E:$E,MATCH(B887,Raw_Risk_Profiles!$A:$A,0)),"Unknown")</f>
        <v/>
      </c>
      <c r="L887" s="4">
        <f>IFERROR(XLOOKUP(A887,Raw_Alerts!$B:$B,Raw_Alerts!$A:$A),"No Alert")</f>
        <v/>
      </c>
      <c r="M887" s="4">
        <f>IFERROR(XLOOKUP(A887,Raw_Alerts!$B:$B,Raw_Alerts!$C:$C),"")</f>
        <v/>
      </c>
      <c r="N887" s="4">
        <f>IFERROR(XLOOKUP(A887,Raw_Alerts!$B:$B,Raw_Alerts!$D:$D),"")</f>
        <v/>
      </c>
      <c r="O887" s="4">
        <f>IFERROR(XLOOKUP(A887,Raw_Alerts!$B:$B,Raw_Alerts!$F:$F),"")</f>
        <v/>
      </c>
      <c r="P887" s="4">
        <f>IF(H887="Not Found","CRITICAL: No Risk Profile",IF(I887="Missing","WARN: Missing KYC",IF(I887="Expired","WARN: KYC Expired",IF(I887="Pending","INFO: KYC Pending","OK"))))</f>
        <v/>
      </c>
    </row>
    <row r="888">
      <c r="A888" s="2">
        <f>Raw_Transactions!A888</f>
        <v/>
      </c>
      <c r="B888" s="2">
        <f>Raw_Transactions!B888</f>
        <v/>
      </c>
      <c r="C888" s="2">
        <f>Raw_Transactions!C888</f>
        <v/>
      </c>
      <c r="D888" s="3">
        <f>Raw_Transactions!D888</f>
        <v/>
      </c>
      <c r="E888" s="2">
        <f>Raw_Transactions!E888</f>
        <v/>
      </c>
      <c r="F888" s="2">
        <f>Raw_Transactions!F888</f>
        <v/>
      </c>
      <c r="G888" s="2">
        <f>Raw_Transactions!G888</f>
        <v/>
      </c>
      <c r="H888" s="2">
        <f>XLOOKUP(B888,Raw_Risk_Profiles!$A:$A,Raw_Risk_Profiles!$B:$B,"Not Found")</f>
        <v/>
      </c>
      <c r="I888" s="2">
        <f>XLOOKUP(B888,Raw_Risk_Profiles!$A:$A,Raw_Risk_Profiles!$C:$C,"Missing")</f>
        <v/>
      </c>
      <c r="J888" s="2">
        <f>XLOOKUP(B888,Raw_Risk_Profiles!$A:$A,Raw_Risk_Profiles!$D:$D,"")</f>
        <v/>
      </c>
      <c r="K888" s="2">
        <f>IFERROR(INDEX(Raw_Risk_Profiles!$E:$E,MATCH(B888,Raw_Risk_Profiles!$A:$A,0)),"Unknown")</f>
        <v/>
      </c>
      <c r="L888" s="2">
        <f>IFERROR(XLOOKUP(A888,Raw_Alerts!$B:$B,Raw_Alerts!$A:$A),"No Alert")</f>
        <v/>
      </c>
      <c r="M888" s="2">
        <f>IFERROR(XLOOKUP(A888,Raw_Alerts!$B:$B,Raw_Alerts!$C:$C),"")</f>
        <v/>
      </c>
      <c r="N888" s="2">
        <f>IFERROR(XLOOKUP(A888,Raw_Alerts!$B:$B,Raw_Alerts!$D:$D),"")</f>
        <v/>
      </c>
      <c r="O888" s="2">
        <f>IFERROR(XLOOKUP(A888,Raw_Alerts!$B:$B,Raw_Alerts!$F:$F),"")</f>
        <v/>
      </c>
      <c r="P888" s="2">
        <f>IF(H888="Not Found","CRITICAL: No Risk Profile",IF(I888="Missing","WARN: Missing KYC",IF(I888="Expired","WARN: KYC Expired",IF(I888="Pending","INFO: KYC Pending","OK"))))</f>
        <v/>
      </c>
    </row>
    <row r="889">
      <c r="A889" s="4">
        <f>Raw_Transactions!A889</f>
        <v/>
      </c>
      <c r="B889" s="4">
        <f>Raw_Transactions!B889</f>
        <v/>
      </c>
      <c r="C889" s="4">
        <f>Raw_Transactions!C889</f>
        <v/>
      </c>
      <c r="D889" s="5">
        <f>Raw_Transactions!D889</f>
        <v/>
      </c>
      <c r="E889" s="4">
        <f>Raw_Transactions!E889</f>
        <v/>
      </c>
      <c r="F889" s="4">
        <f>Raw_Transactions!F889</f>
        <v/>
      </c>
      <c r="G889" s="4">
        <f>Raw_Transactions!G889</f>
        <v/>
      </c>
      <c r="H889" s="4">
        <f>XLOOKUP(B889,Raw_Risk_Profiles!$A:$A,Raw_Risk_Profiles!$B:$B,"Not Found")</f>
        <v/>
      </c>
      <c r="I889" s="4">
        <f>XLOOKUP(B889,Raw_Risk_Profiles!$A:$A,Raw_Risk_Profiles!$C:$C,"Missing")</f>
        <v/>
      </c>
      <c r="J889" s="4">
        <f>XLOOKUP(B889,Raw_Risk_Profiles!$A:$A,Raw_Risk_Profiles!$D:$D,"")</f>
        <v/>
      </c>
      <c r="K889" s="4">
        <f>IFERROR(INDEX(Raw_Risk_Profiles!$E:$E,MATCH(B889,Raw_Risk_Profiles!$A:$A,0)),"Unknown")</f>
        <v/>
      </c>
      <c r="L889" s="4">
        <f>IFERROR(XLOOKUP(A889,Raw_Alerts!$B:$B,Raw_Alerts!$A:$A),"No Alert")</f>
        <v/>
      </c>
      <c r="M889" s="4">
        <f>IFERROR(XLOOKUP(A889,Raw_Alerts!$B:$B,Raw_Alerts!$C:$C),"")</f>
        <v/>
      </c>
      <c r="N889" s="4">
        <f>IFERROR(XLOOKUP(A889,Raw_Alerts!$B:$B,Raw_Alerts!$D:$D),"")</f>
        <v/>
      </c>
      <c r="O889" s="4">
        <f>IFERROR(XLOOKUP(A889,Raw_Alerts!$B:$B,Raw_Alerts!$F:$F),"")</f>
        <v/>
      </c>
      <c r="P889" s="4">
        <f>IF(H889="Not Found","CRITICAL: No Risk Profile",IF(I889="Missing","WARN: Missing KYC",IF(I889="Expired","WARN: KYC Expired",IF(I889="Pending","INFO: KYC Pending","OK"))))</f>
        <v/>
      </c>
    </row>
    <row r="890">
      <c r="A890" s="2">
        <f>Raw_Transactions!A890</f>
        <v/>
      </c>
      <c r="B890" s="2">
        <f>Raw_Transactions!B890</f>
        <v/>
      </c>
      <c r="C890" s="2">
        <f>Raw_Transactions!C890</f>
        <v/>
      </c>
      <c r="D890" s="3">
        <f>Raw_Transactions!D890</f>
        <v/>
      </c>
      <c r="E890" s="2">
        <f>Raw_Transactions!E890</f>
        <v/>
      </c>
      <c r="F890" s="2">
        <f>Raw_Transactions!F890</f>
        <v/>
      </c>
      <c r="G890" s="2">
        <f>Raw_Transactions!G890</f>
        <v/>
      </c>
      <c r="H890" s="2">
        <f>XLOOKUP(B890,Raw_Risk_Profiles!$A:$A,Raw_Risk_Profiles!$B:$B,"Not Found")</f>
        <v/>
      </c>
      <c r="I890" s="2">
        <f>XLOOKUP(B890,Raw_Risk_Profiles!$A:$A,Raw_Risk_Profiles!$C:$C,"Missing")</f>
        <v/>
      </c>
      <c r="J890" s="2">
        <f>XLOOKUP(B890,Raw_Risk_Profiles!$A:$A,Raw_Risk_Profiles!$D:$D,"")</f>
        <v/>
      </c>
      <c r="K890" s="2">
        <f>IFERROR(INDEX(Raw_Risk_Profiles!$E:$E,MATCH(B890,Raw_Risk_Profiles!$A:$A,0)),"Unknown")</f>
        <v/>
      </c>
      <c r="L890" s="2">
        <f>IFERROR(XLOOKUP(A890,Raw_Alerts!$B:$B,Raw_Alerts!$A:$A),"No Alert")</f>
        <v/>
      </c>
      <c r="M890" s="2">
        <f>IFERROR(XLOOKUP(A890,Raw_Alerts!$B:$B,Raw_Alerts!$C:$C),"")</f>
        <v/>
      </c>
      <c r="N890" s="2">
        <f>IFERROR(XLOOKUP(A890,Raw_Alerts!$B:$B,Raw_Alerts!$D:$D),"")</f>
        <v/>
      </c>
      <c r="O890" s="2">
        <f>IFERROR(XLOOKUP(A890,Raw_Alerts!$B:$B,Raw_Alerts!$F:$F),"")</f>
        <v/>
      </c>
      <c r="P890" s="2">
        <f>IF(H890="Not Found","CRITICAL: No Risk Profile",IF(I890="Missing","WARN: Missing KYC",IF(I890="Expired","WARN: KYC Expired",IF(I890="Pending","INFO: KYC Pending","OK"))))</f>
        <v/>
      </c>
    </row>
    <row r="891">
      <c r="A891" s="4">
        <f>Raw_Transactions!A891</f>
        <v/>
      </c>
      <c r="B891" s="4">
        <f>Raw_Transactions!B891</f>
        <v/>
      </c>
      <c r="C891" s="4">
        <f>Raw_Transactions!C891</f>
        <v/>
      </c>
      <c r="D891" s="5">
        <f>Raw_Transactions!D891</f>
        <v/>
      </c>
      <c r="E891" s="4">
        <f>Raw_Transactions!E891</f>
        <v/>
      </c>
      <c r="F891" s="4">
        <f>Raw_Transactions!F891</f>
        <v/>
      </c>
      <c r="G891" s="4">
        <f>Raw_Transactions!G891</f>
        <v/>
      </c>
      <c r="H891" s="4">
        <f>XLOOKUP(B891,Raw_Risk_Profiles!$A:$A,Raw_Risk_Profiles!$B:$B,"Not Found")</f>
        <v/>
      </c>
      <c r="I891" s="4">
        <f>XLOOKUP(B891,Raw_Risk_Profiles!$A:$A,Raw_Risk_Profiles!$C:$C,"Missing")</f>
        <v/>
      </c>
      <c r="J891" s="4">
        <f>XLOOKUP(B891,Raw_Risk_Profiles!$A:$A,Raw_Risk_Profiles!$D:$D,"")</f>
        <v/>
      </c>
      <c r="K891" s="4">
        <f>IFERROR(INDEX(Raw_Risk_Profiles!$E:$E,MATCH(B891,Raw_Risk_Profiles!$A:$A,0)),"Unknown")</f>
        <v/>
      </c>
      <c r="L891" s="4">
        <f>IFERROR(XLOOKUP(A891,Raw_Alerts!$B:$B,Raw_Alerts!$A:$A),"No Alert")</f>
        <v/>
      </c>
      <c r="M891" s="4">
        <f>IFERROR(XLOOKUP(A891,Raw_Alerts!$B:$B,Raw_Alerts!$C:$C),"")</f>
        <v/>
      </c>
      <c r="N891" s="4">
        <f>IFERROR(XLOOKUP(A891,Raw_Alerts!$B:$B,Raw_Alerts!$D:$D),"")</f>
        <v/>
      </c>
      <c r="O891" s="4">
        <f>IFERROR(XLOOKUP(A891,Raw_Alerts!$B:$B,Raw_Alerts!$F:$F),"")</f>
        <v/>
      </c>
      <c r="P891" s="4">
        <f>IF(H891="Not Found","CRITICAL: No Risk Profile",IF(I891="Missing","WARN: Missing KYC",IF(I891="Expired","WARN: KYC Expired",IF(I891="Pending","INFO: KYC Pending","OK"))))</f>
        <v/>
      </c>
    </row>
    <row r="892">
      <c r="A892" s="2">
        <f>Raw_Transactions!A892</f>
        <v/>
      </c>
      <c r="B892" s="2">
        <f>Raw_Transactions!B892</f>
        <v/>
      </c>
      <c r="C892" s="2">
        <f>Raw_Transactions!C892</f>
        <v/>
      </c>
      <c r="D892" s="3">
        <f>Raw_Transactions!D892</f>
        <v/>
      </c>
      <c r="E892" s="2">
        <f>Raw_Transactions!E892</f>
        <v/>
      </c>
      <c r="F892" s="2">
        <f>Raw_Transactions!F892</f>
        <v/>
      </c>
      <c r="G892" s="2">
        <f>Raw_Transactions!G892</f>
        <v/>
      </c>
      <c r="H892" s="2">
        <f>XLOOKUP(B892,Raw_Risk_Profiles!$A:$A,Raw_Risk_Profiles!$B:$B,"Not Found")</f>
        <v/>
      </c>
      <c r="I892" s="2">
        <f>XLOOKUP(B892,Raw_Risk_Profiles!$A:$A,Raw_Risk_Profiles!$C:$C,"Missing")</f>
        <v/>
      </c>
      <c r="J892" s="2">
        <f>XLOOKUP(B892,Raw_Risk_Profiles!$A:$A,Raw_Risk_Profiles!$D:$D,"")</f>
        <v/>
      </c>
      <c r="K892" s="2">
        <f>IFERROR(INDEX(Raw_Risk_Profiles!$E:$E,MATCH(B892,Raw_Risk_Profiles!$A:$A,0)),"Unknown")</f>
        <v/>
      </c>
      <c r="L892" s="2">
        <f>IFERROR(XLOOKUP(A892,Raw_Alerts!$B:$B,Raw_Alerts!$A:$A),"No Alert")</f>
        <v/>
      </c>
      <c r="M892" s="2">
        <f>IFERROR(XLOOKUP(A892,Raw_Alerts!$B:$B,Raw_Alerts!$C:$C),"")</f>
        <v/>
      </c>
      <c r="N892" s="2">
        <f>IFERROR(XLOOKUP(A892,Raw_Alerts!$B:$B,Raw_Alerts!$D:$D),"")</f>
        <v/>
      </c>
      <c r="O892" s="2">
        <f>IFERROR(XLOOKUP(A892,Raw_Alerts!$B:$B,Raw_Alerts!$F:$F),"")</f>
        <v/>
      </c>
      <c r="P892" s="2">
        <f>IF(H892="Not Found","CRITICAL: No Risk Profile",IF(I892="Missing","WARN: Missing KYC",IF(I892="Expired","WARN: KYC Expired",IF(I892="Pending","INFO: KYC Pending","OK"))))</f>
        <v/>
      </c>
    </row>
    <row r="893">
      <c r="A893" s="4">
        <f>Raw_Transactions!A893</f>
        <v/>
      </c>
      <c r="B893" s="4">
        <f>Raw_Transactions!B893</f>
        <v/>
      </c>
      <c r="C893" s="4">
        <f>Raw_Transactions!C893</f>
        <v/>
      </c>
      <c r="D893" s="5">
        <f>Raw_Transactions!D893</f>
        <v/>
      </c>
      <c r="E893" s="4">
        <f>Raw_Transactions!E893</f>
        <v/>
      </c>
      <c r="F893" s="4">
        <f>Raw_Transactions!F893</f>
        <v/>
      </c>
      <c r="G893" s="4">
        <f>Raw_Transactions!G893</f>
        <v/>
      </c>
      <c r="H893" s="4">
        <f>XLOOKUP(B893,Raw_Risk_Profiles!$A:$A,Raw_Risk_Profiles!$B:$B,"Not Found")</f>
        <v/>
      </c>
      <c r="I893" s="4">
        <f>XLOOKUP(B893,Raw_Risk_Profiles!$A:$A,Raw_Risk_Profiles!$C:$C,"Missing")</f>
        <v/>
      </c>
      <c r="J893" s="4">
        <f>XLOOKUP(B893,Raw_Risk_Profiles!$A:$A,Raw_Risk_Profiles!$D:$D,"")</f>
        <v/>
      </c>
      <c r="K893" s="4">
        <f>IFERROR(INDEX(Raw_Risk_Profiles!$E:$E,MATCH(B893,Raw_Risk_Profiles!$A:$A,0)),"Unknown")</f>
        <v/>
      </c>
      <c r="L893" s="4">
        <f>IFERROR(XLOOKUP(A893,Raw_Alerts!$B:$B,Raw_Alerts!$A:$A),"No Alert")</f>
        <v/>
      </c>
      <c r="M893" s="4">
        <f>IFERROR(XLOOKUP(A893,Raw_Alerts!$B:$B,Raw_Alerts!$C:$C),"")</f>
        <v/>
      </c>
      <c r="N893" s="4">
        <f>IFERROR(XLOOKUP(A893,Raw_Alerts!$B:$B,Raw_Alerts!$D:$D),"")</f>
        <v/>
      </c>
      <c r="O893" s="4">
        <f>IFERROR(XLOOKUP(A893,Raw_Alerts!$B:$B,Raw_Alerts!$F:$F),"")</f>
        <v/>
      </c>
      <c r="P893" s="4">
        <f>IF(H893="Not Found","CRITICAL: No Risk Profile",IF(I893="Missing","WARN: Missing KYC",IF(I893="Expired","WARN: KYC Expired",IF(I893="Pending","INFO: KYC Pending","OK"))))</f>
        <v/>
      </c>
    </row>
    <row r="894">
      <c r="A894" s="2">
        <f>Raw_Transactions!A894</f>
        <v/>
      </c>
      <c r="B894" s="2">
        <f>Raw_Transactions!B894</f>
        <v/>
      </c>
      <c r="C894" s="2">
        <f>Raw_Transactions!C894</f>
        <v/>
      </c>
      <c r="D894" s="3">
        <f>Raw_Transactions!D894</f>
        <v/>
      </c>
      <c r="E894" s="2">
        <f>Raw_Transactions!E894</f>
        <v/>
      </c>
      <c r="F894" s="2">
        <f>Raw_Transactions!F894</f>
        <v/>
      </c>
      <c r="G894" s="2">
        <f>Raw_Transactions!G894</f>
        <v/>
      </c>
      <c r="H894" s="2">
        <f>XLOOKUP(B894,Raw_Risk_Profiles!$A:$A,Raw_Risk_Profiles!$B:$B,"Not Found")</f>
        <v/>
      </c>
      <c r="I894" s="2">
        <f>XLOOKUP(B894,Raw_Risk_Profiles!$A:$A,Raw_Risk_Profiles!$C:$C,"Missing")</f>
        <v/>
      </c>
      <c r="J894" s="2">
        <f>XLOOKUP(B894,Raw_Risk_Profiles!$A:$A,Raw_Risk_Profiles!$D:$D,"")</f>
        <v/>
      </c>
      <c r="K894" s="2">
        <f>IFERROR(INDEX(Raw_Risk_Profiles!$E:$E,MATCH(B894,Raw_Risk_Profiles!$A:$A,0)),"Unknown")</f>
        <v/>
      </c>
      <c r="L894" s="2">
        <f>IFERROR(XLOOKUP(A894,Raw_Alerts!$B:$B,Raw_Alerts!$A:$A),"No Alert")</f>
        <v/>
      </c>
      <c r="M894" s="2">
        <f>IFERROR(XLOOKUP(A894,Raw_Alerts!$B:$B,Raw_Alerts!$C:$C),"")</f>
        <v/>
      </c>
      <c r="N894" s="2">
        <f>IFERROR(XLOOKUP(A894,Raw_Alerts!$B:$B,Raw_Alerts!$D:$D),"")</f>
        <v/>
      </c>
      <c r="O894" s="2">
        <f>IFERROR(XLOOKUP(A894,Raw_Alerts!$B:$B,Raw_Alerts!$F:$F),"")</f>
        <v/>
      </c>
      <c r="P894" s="2">
        <f>IF(H894="Not Found","CRITICAL: No Risk Profile",IF(I894="Missing","WARN: Missing KYC",IF(I894="Expired","WARN: KYC Expired",IF(I894="Pending","INFO: KYC Pending","OK"))))</f>
        <v/>
      </c>
    </row>
    <row r="895">
      <c r="A895" s="4">
        <f>Raw_Transactions!A895</f>
        <v/>
      </c>
      <c r="B895" s="4">
        <f>Raw_Transactions!B895</f>
        <v/>
      </c>
      <c r="C895" s="4">
        <f>Raw_Transactions!C895</f>
        <v/>
      </c>
      <c r="D895" s="5">
        <f>Raw_Transactions!D895</f>
        <v/>
      </c>
      <c r="E895" s="4">
        <f>Raw_Transactions!E895</f>
        <v/>
      </c>
      <c r="F895" s="4">
        <f>Raw_Transactions!F895</f>
        <v/>
      </c>
      <c r="G895" s="4">
        <f>Raw_Transactions!G895</f>
        <v/>
      </c>
      <c r="H895" s="4">
        <f>XLOOKUP(B895,Raw_Risk_Profiles!$A:$A,Raw_Risk_Profiles!$B:$B,"Not Found")</f>
        <v/>
      </c>
      <c r="I895" s="4">
        <f>XLOOKUP(B895,Raw_Risk_Profiles!$A:$A,Raw_Risk_Profiles!$C:$C,"Missing")</f>
        <v/>
      </c>
      <c r="J895" s="4">
        <f>XLOOKUP(B895,Raw_Risk_Profiles!$A:$A,Raw_Risk_Profiles!$D:$D,"")</f>
        <v/>
      </c>
      <c r="K895" s="4">
        <f>IFERROR(INDEX(Raw_Risk_Profiles!$E:$E,MATCH(B895,Raw_Risk_Profiles!$A:$A,0)),"Unknown")</f>
        <v/>
      </c>
      <c r="L895" s="4">
        <f>IFERROR(XLOOKUP(A895,Raw_Alerts!$B:$B,Raw_Alerts!$A:$A),"No Alert")</f>
        <v/>
      </c>
      <c r="M895" s="4">
        <f>IFERROR(XLOOKUP(A895,Raw_Alerts!$B:$B,Raw_Alerts!$C:$C),"")</f>
        <v/>
      </c>
      <c r="N895" s="4">
        <f>IFERROR(XLOOKUP(A895,Raw_Alerts!$B:$B,Raw_Alerts!$D:$D),"")</f>
        <v/>
      </c>
      <c r="O895" s="4">
        <f>IFERROR(XLOOKUP(A895,Raw_Alerts!$B:$B,Raw_Alerts!$F:$F),"")</f>
        <v/>
      </c>
      <c r="P895" s="4">
        <f>IF(H895="Not Found","CRITICAL: No Risk Profile",IF(I895="Missing","WARN: Missing KYC",IF(I895="Expired","WARN: KYC Expired",IF(I895="Pending","INFO: KYC Pending","OK"))))</f>
        <v/>
      </c>
    </row>
    <row r="896">
      <c r="A896" s="2">
        <f>Raw_Transactions!A896</f>
        <v/>
      </c>
      <c r="B896" s="2">
        <f>Raw_Transactions!B896</f>
        <v/>
      </c>
      <c r="C896" s="2">
        <f>Raw_Transactions!C896</f>
        <v/>
      </c>
      <c r="D896" s="3">
        <f>Raw_Transactions!D896</f>
        <v/>
      </c>
      <c r="E896" s="2">
        <f>Raw_Transactions!E896</f>
        <v/>
      </c>
      <c r="F896" s="2">
        <f>Raw_Transactions!F896</f>
        <v/>
      </c>
      <c r="G896" s="2">
        <f>Raw_Transactions!G896</f>
        <v/>
      </c>
      <c r="H896" s="2">
        <f>XLOOKUP(B896,Raw_Risk_Profiles!$A:$A,Raw_Risk_Profiles!$B:$B,"Not Found")</f>
        <v/>
      </c>
      <c r="I896" s="2">
        <f>XLOOKUP(B896,Raw_Risk_Profiles!$A:$A,Raw_Risk_Profiles!$C:$C,"Missing")</f>
        <v/>
      </c>
      <c r="J896" s="2">
        <f>XLOOKUP(B896,Raw_Risk_Profiles!$A:$A,Raw_Risk_Profiles!$D:$D,"")</f>
        <v/>
      </c>
      <c r="K896" s="2">
        <f>IFERROR(INDEX(Raw_Risk_Profiles!$E:$E,MATCH(B896,Raw_Risk_Profiles!$A:$A,0)),"Unknown")</f>
        <v/>
      </c>
      <c r="L896" s="2">
        <f>IFERROR(XLOOKUP(A896,Raw_Alerts!$B:$B,Raw_Alerts!$A:$A),"No Alert")</f>
        <v/>
      </c>
      <c r="M896" s="2">
        <f>IFERROR(XLOOKUP(A896,Raw_Alerts!$B:$B,Raw_Alerts!$C:$C),"")</f>
        <v/>
      </c>
      <c r="N896" s="2">
        <f>IFERROR(XLOOKUP(A896,Raw_Alerts!$B:$B,Raw_Alerts!$D:$D),"")</f>
        <v/>
      </c>
      <c r="O896" s="2">
        <f>IFERROR(XLOOKUP(A896,Raw_Alerts!$B:$B,Raw_Alerts!$F:$F),"")</f>
        <v/>
      </c>
      <c r="P896" s="2">
        <f>IF(H896="Not Found","CRITICAL: No Risk Profile",IF(I896="Missing","WARN: Missing KYC",IF(I896="Expired","WARN: KYC Expired",IF(I896="Pending","INFO: KYC Pending","OK"))))</f>
        <v/>
      </c>
    </row>
    <row r="897">
      <c r="A897" s="4">
        <f>Raw_Transactions!A897</f>
        <v/>
      </c>
      <c r="B897" s="4">
        <f>Raw_Transactions!B897</f>
        <v/>
      </c>
      <c r="C897" s="4">
        <f>Raw_Transactions!C897</f>
        <v/>
      </c>
      <c r="D897" s="5">
        <f>Raw_Transactions!D897</f>
        <v/>
      </c>
      <c r="E897" s="4">
        <f>Raw_Transactions!E897</f>
        <v/>
      </c>
      <c r="F897" s="4">
        <f>Raw_Transactions!F897</f>
        <v/>
      </c>
      <c r="G897" s="4">
        <f>Raw_Transactions!G897</f>
        <v/>
      </c>
      <c r="H897" s="4">
        <f>XLOOKUP(B897,Raw_Risk_Profiles!$A:$A,Raw_Risk_Profiles!$B:$B,"Not Found")</f>
        <v/>
      </c>
      <c r="I897" s="4">
        <f>XLOOKUP(B897,Raw_Risk_Profiles!$A:$A,Raw_Risk_Profiles!$C:$C,"Missing")</f>
        <v/>
      </c>
      <c r="J897" s="4">
        <f>XLOOKUP(B897,Raw_Risk_Profiles!$A:$A,Raw_Risk_Profiles!$D:$D,"")</f>
        <v/>
      </c>
      <c r="K897" s="4">
        <f>IFERROR(INDEX(Raw_Risk_Profiles!$E:$E,MATCH(B897,Raw_Risk_Profiles!$A:$A,0)),"Unknown")</f>
        <v/>
      </c>
      <c r="L897" s="4">
        <f>IFERROR(XLOOKUP(A897,Raw_Alerts!$B:$B,Raw_Alerts!$A:$A),"No Alert")</f>
        <v/>
      </c>
      <c r="M897" s="4">
        <f>IFERROR(XLOOKUP(A897,Raw_Alerts!$B:$B,Raw_Alerts!$C:$C),"")</f>
        <v/>
      </c>
      <c r="N897" s="4">
        <f>IFERROR(XLOOKUP(A897,Raw_Alerts!$B:$B,Raw_Alerts!$D:$D),"")</f>
        <v/>
      </c>
      <c r="O897" s="4">
        <f>IFERROR(XLOOKUP(A897,Raw_Alerts!$B:$B,Raw_Alerts!$F:$F),"")</f>
        <v/>
      </c>
      <c r="P897" s="4">
        <f>IF(H897="Not Found","CRITICAL: No Risk Profile",IF(I897="Missing","WARN: Missing KYC",IF(I897="Expired","WARN: KYC Expired",IF(I897="Pending","INFO: KYC Pending","OK"))))</f>
        <v/>
      </c>
    </row>
    <row r="898">
      <c r="A898" s="2">
        <f>Raw_Transactions!A898</f>
        <v/>
      </c>
      <c r="B898" s="2">
        <f>Raw_Transactions!B898</f>
        <v/>
      </c>
      <c r="C898" s="2">
        <f>Raw_Transactions!C898</f>
        <v/>
      </c>
      <c r="D898" s="3">
        <f>Raw_Transactions!D898</f>
        <v/>
      </c>
      <c r="E898" s="2">
        <f>Raw_Transactions!E898</f>
        <v/>
      </c>
      <c r="F898" s="2">
        <f>Raw_Transactions!F898</f>
        <v/>
      </c>
      <c r="G898" s="2">
        <f>Raw_Transactions!G898</f>
        <v/>
      </c>
      <c r="H898" s="2">
        <f>XLOOKUP(B898,Raw_Risk_Profiles!$A:$A,Raw_Risk_Profiles!$B:$B,"Not Found")</f>
        <v/>
      </c>
      <c r="I898" s="2">
        <f>XLOOKUP(B898,Raw_Risk_Profiles!$A:$A,Raw_Risk_Profiles!$C:$C,"Missing")</f>
        <v/>
      </c>
      <c r="J898" s="2">
        <f>XLOOKUP(B898,Raw_Risk_Profiles!$A:$A,Raw_Risk_Profiles!$D:$D,"")</f>
        <v/>
      </c>
      <c r="K898" s="2">
        <f>IFERROR(INDEX(Raw_Risk_Profiles!$E:$E,MATCH(B898,Raw_Risk_Profiles!$A:$A,0)),"Unknown")</f>
        <v/>
      </c>
      <c r="L898" s="2">
        <f>IFERROR(XLOOKUP(A898,Raw_Alerts!$B:$B,Raw_Alerts!$A:$A),"No Alert")</f>
        <v/>
      </c>
      <c r="M898" s="2">
        <f>IFERROR(XLOOKUP(A898,Raw_Alerts!$B:$B,Raw_Alerts!$C:$C),"")</f>
        <v/>
      </c>
      <c r="N898" s="2">
        <f>IFERROR(XLOOKUP(A898,Raw_Alerts!$B:$B,Raw_Alerts!$D:$D),"")</f>
        <v/>
      </c>
      <c r="O898" s="2">
        <f>IFERROR(XLOOKUP(A898,Raw_Alerts!$B:$B,Raw_Alerts!$F:$F),"")</f>
        <v/>
      </c>
      <c r="P898" s="2">
        <f>IF(H898="Not Found","CRITICAL: No Risk Profile",IF(I898="Missing","WARN: Missing KYC",IF(I898="Expired","WARN: KYC Expired",IF(I898="Pending","INFO: KYC Pending","OK"))))</f>
        <v/>
      </c>
    </row>
    <row r="899">
      <c r="A899" s="4">
        <f>Raw_Transactions!A899</f>
        <v/>
      </c>
      <c r="B899" s="4">
        <f>Raw_Transactions!B899</f>
        <v/>
      </c>
      <c r="C899" s="4">
        <f>Raw_Transactions!C899</f>
        <v/>
      </c>
      <c r="D899" s="5">
        <f>Raw_Transactions!D899</f>
        <v/>
      </c>
      <c r="E899" s="4">
        <f>Raw_Transactions!E899</f>
        <v/>
      </c>
      <c r="F899" s="4">
        <f>Raw_Transactions!F899</f>
        <v/>
      </c>
      <c r="G899" s="4">
        <f>Raw_Transactions!G899</f>
        <v/>
      </c>
      <c r="H899" s="4">
        <f>XLOOKUP(B899,Raw_Risk_Profiles!$A:$A,Raw_Risk_Profiles!$B:$B,"Not Found")</f>
        <v/>
      </c>
      <c r="I899" s="4">
        <f>XLOOKUP(B899,Raw_Risk_Profiles!$A:$A,Raw_Risk_Profiles!$C:$C,"Missing")</f>
        <v/>
      </c>
      <c r="J899" s="4">
        <f>XLOOKUP(B899,Raw_Risk_Profiles!$A:$A,Raw_Risk_Profiles!$D:$D,"")</f>
        <v/>
      </c>
      <c r="K899" s="4">
        <f>IFERROR(INDEX(Raw_Risk_Profiles!$E:$E,MATCH(B899,Raw_Risk_Profiles!$A:$A,0)),"Unknown")</f>
        <v/>
      </c>
      <c r="L899" s="4">
        <f>IFERROR(XLOOKUP(A899,Raw_Alerts!$B:$B,Raw_Alerts!$A:$A),"No Alert")</f>
        <v/>
      </c>
      <c r="M899" s="4">
        <f>IFERROR(XLOOKUP(A899,Raw_Alerts!$B:$B,Raw_Alerts!$C:$C),"")</f>
        <v/>
      </c>
      <c r="N899" s="4">
        <f>IFERROR(XLOOKUP(A899,Raw_Alerts!$B:$B,Raw_Alerts!$D:$D),"")</f>
        <v/>
      </c>
      <c r="O899" s="4">
        <f>IFERROR(XLOOKUP(A899,Raw_Alerts!$B:$B,Raw_Alerts!$F:$F),"")</f>
        <v/>
      </c>
      <c r="P899" s="4">
        <f>IF(H899="Not Found","CRITICAL: No Risk Profile",IF(I899="Missing","WARN: Missing KYC",IF(I899="Expired","WARN: KYC Expired",IF(I899="Pending","INFO: KYC Pending","OK"))))</f>
        <v/>
      </c>
    </row>
    <row r="900">
      <c r="A900" s="2">
        <f>Raw_Transactions!A900</f>
        <v/>
      </c>
      <c r="B900" s="2">
        <f>Raw_Transactions!B900</f>
        <v/>
      </c>
      <c r="C900" s="2">
        <f>Raw_Transactions!C900</f>
        <v/>
      </c>
      <c r="D900" s="3">
        <f>Raw_Transactions!D900</f>
        <v/>
      </c>
      <c r="E900" s="2">
        <f>Raw_Transactions!E900</f>
        <v/>
      </c>
      <c r="F900" s="2">
        <f>Raw_Transactions!F900</f>
        <v/>
      </c>
      <c r="G900" s="2">
        <f>Raw_Transactions!G900</f>
        <v/>
      </c>
      <c r="H900" s="2">
        <f>XLOOKUP(B900,Raw_Risk_Profiles!$A:$A,Raw_Risk_Profiles!$B:$B,"Not Found")</f>
        <v/>
      </c>
      <c r="I900" s="2">
        <f>XLOOKUP(B900,Raw_Risk_Profiles!$A:$A,Raw_Risk_Profiles!$C:$C,"Missing")</f>
        <v/>
      </c>
      <c r="J900" s="2">
        <f>XLOOKUP(B900,Raw_Risk_Profiles!$A:$A,Raw_Risk_Profiles!$D:$D,"")</f>
        <v/>
      </c>
      <c r="K900" s="2">
        <f>IFERROR(INDEX(Raw_Risk_Profiles!$E:$E,MATCH(B900,Raw_Risk_Profiles!$A:$A,0)),"Unknown")</f>
        <v/>
      </c>
      <c r="L900" s="2">
        <f>IFERROR(XLOOKUP(A900,Raw_Alerts!$B:$B,Raw_Alerts!$A:$A),"No Alert")</f>
        <v/>
      </c>
      <c r="M900" s="2">
        <f>IFERROR(XLOOKUP(A900,Raw_Alerts!$B:$B,Raw_Alerts!$C:$C),"")</f>
        <v/>
      </c>
      <c r="N900" s="2">
        <f>IFERROR(XLOOKUP(A900,Raw_Alerts!$B:$B,Raw_Alerts!$D:$D),"")</f>
        <v/>
      </c>
      <c r="O900" s="2">
        <f>IFERROR(XLOOKUP(A900,Raw_Alerts!$B:$B,Raw_Alerts!$F:$F),"")</f>
        <v/>
      </c>
      <c r="P900" s="2">
        <f>IF(H900="Not Found","CRITICAL: No Risk Profile",IF(I900="Missing","WARN: Missing KYC",IF(I900="Expired","WARN: KYC Expired",IF(I900="Pending","INFO: KYC Pending","OK"))))</f>
        <v/>
      </c>
    </row>
    <row r="901">
      <c r="A901" s="4">
        <f>Raw_Transactions!A901</f>
        <v/>
      </c>
      <c r="B901" s="4">
        <f>Raw_Transactions!B901</f>
        <v/>
      </c>
      <c r="C901" s="4">
        <f>Raw_Transactions!C901</f>
        <v/>
      </c>
      <c r="D901" s="5">
        <f>Raw_Transactions!D901</f>
        <v/>
      </c>
      <c r="E901" s="4">
        <f>Raw_Transactions!E901</f>
        <v/>
      </c>
      <c r="F901" s="4">
        <f>Raw_Transactions!F901</f>
        <v/>
      </c>
      <c r="G901" s="4">
        <f>Raw_Transactions!G901</f>
        <v/>
      </c>
      <c r="H901" s="4">
        <f>XLOOKUP(B901,Raw_Risk_Profiles!$A:$A,Raw_Risk_Profiles!$B:$B,"Not Found")</f>
        <v/>
      </c>
      <c r="I901" s="4">
        <f>XLOOKUP(B901,Raw_Risk_Profiles!$A:$A,Raw_Risk_Profiles!$C:$C,"Missing")</f>
        <v/>
      </c>
      <c r="J901" s="4">
        <f>XLOOKUP(B901,Raw_Risk_Profiles!$A:$A,Raw_Risk_Profiles!$D:$D,"")</f>
        <v/>
      </c>
      <c r="K901" s="4">
        <f>IFERROR(INDEX(Raw_Risk_Profiles!$E:$E,MATCH(B901,Raw_Risk_Profiles!$A:$A,0)),"Unknown")</f>
        <v/>
      </c>
      <c r="L901" s="4">
        <f>IFERROR(XLOOKUP(A901,Raw_Alerts!$B:$B,Raw_Alerts!$A:$A),"No Alert")</f>
        <v/>
      </c>
      <c r="M901" s="4">
        <f>IFERROR(XLOOKUP(A901,Raw_Alerts!$B:$B,Raw_Alerts!$C:$C),"")</f>
        <v/>
      </c>
      <c r="N901" s="4">
        <f>IFERROR(XLOOKUP(A901,Raw_Alerts!$B:$B,Raw_Alerts!$D:$D),"")</f>
        <v/>
      </c>
      <c r="O901" s="4">
        <f>IFERROR(XLOOKUP(A901,Raw_Alerts!$B:$B,Raw_Alerts!$F:$F),"")</f>
        <v/>
      </c>
      <c r="P901" s="4">
        <f>IF(H901="Not Found","CRITICAL: No Risk Profile",IF(I901="Missing","WARN: Missing KYC",IF(I901="Expired","WARN: KYC Expired",IF(I901="Pending","INFO: KYC Pending","OK"))))</f>
        <v/>
      </c>
    </row>
    <row r="902">
      <c r="A902" s="2">
        <f>Raw_Transactions!A902</f>
        <v/>
      </c>
      <c r="B902" s="2">
        <f>Raw_Transactions!B902</f>
        <v/>
      </c>
      <c r="C902" s="2">
        <f>Raw_Transactions!C902</f>
        <v/>
      </c>
      <c r="D902" s="3">
        <f>Raw_Transactions!D902</f>
        <v/>
      </c>
      <c r="E902" s="2">
        <f>Raw_Transactions!E902</f>
        <v/>
      </c>
      <c r="F902" s="2">
        <f>Raw_Transactions!F902</f>
        <v/>
      </c>
      <c r="G902" s="2">
        <f>Raw_Transactions!G902</f>
        <v/>
      </c>
      <c r="H902" s="2">
        <f>XLOOKUP(B902,Raw_Risk_Profiles!$A:$A,Raw_Risk_Profiles!$B:$B,"Not Found")</f>
        <v/>
      </c>
      <c r="I902" s="2">
        <f>XLOOKUP(B902,Raw_Risk_Profiles!$A:$A,Raw_Risk_Profiles!$C:$C,"Missing")</f>
        <v/>
      </c>
      <c r="J902" s="2">
        <f>XLOOKUP(B902,Raw_Risk_Profiles!$A:$A,Raw_Risk_Profiles!$D:$D,"")</f>
        <v/>
      </c>
      <c r="K902" s="2">
        <f>IFERROR(INDEX(Raw_Risk_Profiles!$E:$E,MATCH(B902,Raw_Risk_Profiles!$A:$A,0)),"Unknown")</f>
        <v/>
      </c>
      <c r="L902" s="2">
        <f>IFERROR(XLOOKUP(A902,Raw_Alerts!$B:$B,Raw_Alerts!$A:$A),"No Alert")</f>
        <v/>
      </c>
      <c r="M902" s="2">
        <f>IFERROR(XLOOKUP(A902,Raw_Alerts!$B:$B,Raw_Alerts!$C:$C),"")</f>
        <v/>
      </c>
      <c r="N902" s="2">
        <f>IFERROR(XLOOKUP(A902,Raw_Alerts!$B:$B,Raw_Alerts!$D:$D),"")</f>
        <v/>
      </c>
      <c r="O902" s="2">
        <f>IFERROR(XLOOKUP(A902,Raw_Alerts!$B:$B,Raw_Alerts!$F:$F),"")</f>
        <v/>
      </c>
      <c r="P902" s="2">
        <f>IF(H902="Not Found","CRITICAL: No Risk Profile",IF(I902="Missing","WARN: Missing KYC",IF(I902="Expired","WARN: KYC Expired",IF(I902="Pending","INFO: KYC Pending","OK"))))</f>
        <v/>
      </c>
    </row>
    <row r="903">
      <c r="A903" s="4">
        <f>Raw_Transactions!A903</f>
        <v/>
      </c>
      <c r="B903" s="4">
        <f>Raw_Transactions!B903</f>
        <v/>
      </c>
      <c r="C903" s="4">
        <f>Raw_Transactions!C903</f>
        <v/>
      </c>
      <c r="D903" s="5">
        <f>Raw_Transactions!D903</f>
        <v/>
      </c>
      <c r="E903" s="4">
        <f>Raw_Transactions!E903</f>
        <v/>
      </c>
      <c r="F903" s="4">
        <f>Raw_Transactions!F903</f>
        <v/>
      </c>
      <c r="G903" s="4">
        <f>Raw_Transactions!G903</f>
        <v/>
      </c>
      <c r="H903" s="4">
        <f>XLOOKUP(B903,Raw_Risk_Profiles!$A:$A,Raw_Risk_Profiles!$B:$B,"Not Found")</f>
        <v/>
      </c>
      <c r="I903" s="4">
        <f>XLOOKUP(B903,Raw_Risk_Profiles!$A:$A,Raw_Risk_Profiles!$C:$C,"Missing")</f>
        <v/>
      </c>
      <c r="J903" s="4">
        <f>XLOOKUP(B903,Raw_Risk_Profiles!$A:$A,Raw_Risk_Profiles!$D:$D,"")</f>
        <v/>
      </c>
      <c r="K903" s="4">
        <f>IFERROR(INDEX(Raw_Risk_Profiles!$E:$E,MATCH(B903,Raw_Risk_Profiles!$A:$A,0)),"Unknown")</f>
        <v/>
      </c>
      <c r="L903" s="4">
        <f>IFERROR(XLOOKUP(A903,Raw_Alerts!$B:$B,Raw_Alerts!$A:$A),"No Alert")</f>
        <v/>
      </c>
      <c r="M903" s="4">
        <f>IFERROR(XLOOKUP(A903,Raw_Alerts!$B:$B,Raw_Alerts!$C:$C),"")</f>
        <v/>
      </c>
      <c r="N903" s="4">
        <f>IFERROR(XLOOKUP(A903,Raw_Alerts!$B:$B,Raw_Alerts!$D:$D),"")</f>
        <v/>
      </c>
      <c r="O903" s="4">
        <f>IFERROR(XLOOKUP(A903,Raw_Alerts!$B:$B,Raw_Alerts!$F:$F),"")</f>
        <v/>
      </c>
      <c r="P903" s="4">
        <f>IF(H903="Not Found","CRITICAL: No Risk Profile",IF(I903="Missing","WARN: Missing KYC",IF(I903="Expired","WARN: KYC Expired",IF(I903="Pending","INFO: KYC Pending","OK"))))</f>
        <v/>
      </c>
    </row>
    <row r="904">
      <c r="A904" s="2">
        <f>Raw_Transactions!A904</f>
        <v/>
      </c>
      <c r="B904" s="2">
        <f>Raw_Transactions!B904</f>
        <v/>
      </c>
      <c r="C904" s="2">
        <f>Raw_Transactions!C904</f>
        <v/>
      </c>
      <c r="D904" s="3">
        <f>Raw_Transactions!D904</f>
        <v/>
      </c>
      <c r="E904" s="2">
        <f>Raw_Transactions!E904</f>
        <v/>
      </c>
      <c r="F904" s="2">
        <f>Raw_Transactions!F904</f>
        <v/>
      </c>
      <c r="G904" s="2">
        <f>Raw_Transactions!G904</f>
        <v/>
      </c>
      <c r="H904" s="2">
        <f>XLOOKUP(B904,Raw_Risk_Profiles!$A:$A,Raw_Risk_Profiles!$B:$B,"Not Found")</f>
        <v/>
      </c>
      <c r="I904" s="2">
        <f>XLOOKUP(B904,Raw_Risk_Profiles!$A:$A,Raw_Risk_Profiles!$C:$C,"Missing")</f>
        <v/>
      </c>
      <c r="J904" s="2">
        <f>XLOOKUP(B904,Raw_Risk_Profiles!$A:$A,Raw_Risk_Profiles!$D:$D,"")</f>
        <v/>
      </c>
      <c r="K904" s="2">
        <f>IFERROR(INDEX(Raw_Risk_Profiles!$E:$E,MATCH(B904,Raw_Risk_Profiles!$A:$A,0)),"Unknown")</f>
        <v/>
      </c>
      <c r="L904" s="2">
        <f>IFERROR(XLOOKUP(A904,Raw_Alerts!$B:$B,Raw_Alerts!$A:$A),"No Alert")</f>
        <v/>
      </c>
      <c r="M904" s="2">
        <f>IFERROR(XLOOKUP(A904,Raw_Alerts!$B:$B,Raw_Alerts!$C:$C),"")</f>
        <v/>
      </c>
      <c r="N904" s="2">
        <f>IFERROR(XLOOKUP(A904,Raw_Alerts!$B:$B,Raw_Alerts!$D:$D),"")</f>
        <v/>
      </c>
      <c r="O904" s="2">
        <f>IFERROR(XLOOKUP(A904,Raw_Alerts!$B:$B,Raw_Alerts!$F:$F),"")</f>
        <v/>
      </c>
      <c r="P904" s="2">
        <f>IF(H904="Not Found","CRITICAL: No Risk Profile",IF(I904="Missing","WARN: Missing KYC",IF(I904="Expired","WARN: KYC Expired",IF(I904="Pending","INFO: KYC Pending","OK"))))</f>
        <v/>
      </c>
    </row>
    <row r="905">
      <c r="A905" s="4">
        <f>Raw_Transactions!A905</f>
        <v/>
      </c>
      <c r="B905" s="4">
        <f>Raw_Transactions!B905</f>
        <v/>
      </c>
      <c r="C905" s="4">
        <f>Raw_Transactions!C905</f>
        <v/>
      </c>
      <c r="D905" s="5">
        <f>Raw_Transactions!D905</f>
        <v/>
      </c>
      <c r="E905" s="4">
        <f>Raw_Transactions!E905</f>
        <v/>
      </c>
      <c r="F905" s="4">
        <f>Raw_Transactions!F905</f>
        <v/>
      </c>
      <c r="G905" s="4">
        <f>Raw_Transactions!G905</f>
        <v/>
      </c>
      <c r="H905" s="4">
        <f>XLOOKUP(B905,Raw_Risk_Profiles!$A:$A,Raw_Risk_Profiles!$B:$B,"Not Found")</f>
        <v/>
      </c>
      <c r="I905" s="4">
        <f>XLOOKUP(B905,Raw_Risk_Profiles!$A:$A,Raw_Risk_Profiles!$C:$C,"Missing")</f>
        <v/>
      </c>
      <c r="J905" s="4">
        <f>XLOOKUP(B905,Raw_Risk_Profiles!$A:$A,Raw_Risk_Profiles!$D:$D,"")</f>
        <v/>
      </c>
      <c r="K905" s="4">
        <f>IFERROR(INDEX(Raw_Risk_Profiles!$E:$E,MATCH(B905,Raw_Risk_Profiles!$A:$A,0)),"Unknown")</f>
        <v/>
      </c>
      <c r="L905" s="4">
        <f>IFERROR(XLOOKUP(A905,Raw_Alerts!$B:$B,Raw_Alerts!$A:$A),"No Alert")</f>
        <v/>
      </c>
      <c r="M905" s="4">
        <f>IFERROR(XLOOKUP(A905,Raw_Alerts!$B:$B,Raw_Alerts!$C:$C),"")</f>
        <v/>
      </c>
      <c r="N905" s="4">
        <f>IFERROR(XLOOKUP(A905,Raw_Alerts!$B:$B,Raw_Alerts!$D:$D),"")</f>
        <v/>
      </c>
      <c r="O905" s="4">
        <f>IFERROR(XLOOKUP(A905,Raw_Alerts!$B:$B,Raw_Alerts!$F:$F),"")</f>
        <v/>
      </c>
      <c r="P905" s="4">
        <f>IF(H905="Not Found","CRITICAL: No Risk Profile",IF(I905="Missing","WARN: Missing KYC",IF(I905="Expired","WARN: KYC Expired",IF(I905="Pending","INFO: KYC Pending","OK"))))</f>
        <v/>
      </c>
    </row>
    <row r="906">
      <c r="A906" s="2">
        <f>Raw_Transactions!A906</f>
        <v/>
      </c>
      <c r="B906" s="2">
        <f>Raw_Transactions!B906</f>
        <v/>
      </c>
      <c r="C906" s="2">
        <f>Raw_Transactions!C906</f>
        <v/>
      </c>
      <c r="D906" s="3">
        <f>Raw_Transactions!D906</f>
        <v/>
      </c>
      <c r="E906" s="2">
        <f>Raw_Transactions!E906</f>
        <v/>
      </c>
      <c r="F906" s="2">
        <f>Raw_Transactions!F906</f>
        <v/>
      </c>
      <c r="G906" s="2">
        <f>Raw_Transactions!G906</f>
        <v/>
      </c>
      <c r="H906" s="2">
        <f>XLOOKUP(B906,Raw_Risk_Profiles!$A:$A,Raw_Risk_Profiles!$B:$B,"Not Found")</f>
        <v/>
      </c>
      <c r="I906" s="2">
        <f>XLOOKUP(B906,Raw_Risk_Profiles!$A:$A,Raw_Risk_Profiles!$C:$C,"Missing")</f>
        <v/>
      </c>
      <c r="J906" s="2">
        <f>XLOOKUP(B906,Raw_Risk_Profiles!$A:$A,Raw_Risk_Profiles!$D:$D,"")</f>
        <v/>
      </c>
      <c r="K906" s="2">
        <f>IFERROR(INDEX(Raw_Risk_Profiles!$E:$E,MATCH(B906,Raw_Risk_Profiles!$A:$A,0)),"Unknown")</f>
        <v/>
      </c>
      <c r="L906" s="2">
        <f>IFERROR(XLOOKUP(A906,Raw_Alerts!$B:$B,Raw_Alerts!$A:$A),"No Alert")</f>
        <v/>
      </c>
      <c r="M906" s="2">
        <f>IFERROR(XLOOKUP(A906,Raw_Alerts!$B:$B,Raw_Alerts!$C:$C),"")</f>
        <v/>
      </c>
      <c r="N906" s="2">
        <f>IFERROR(XLOOKUP(A906,Raw_Alerts!$B:$B,Raw_Alerts!$D:$D),"")</f>
        <v/>
      </c>
      <c r="O906" s="2">
        <f>IFERROR(XLOOKUP(A906,Raw_Alerts!$B:$B,Raw_Alerts!$F:$F),"")</f>
        <v/>
      </c>
      <c r="P906" s="2">
        <f>IF(H906="Not Found","CRITICAL: No Risk Profile",IF(I906="Missing","WARN: Missing KYC",IF(I906="Expired","WARN: KYC Expired",IF(I906="Pending","INFO: KYC Pending","OK"))))</f>
        <v/>
      </c>
    </row>
    <row r="907">
      <c r="A907" s="4">
        <f>Raw_Transactions!A907</f>
        <v/>
      </c>
      <c r="B907" s="4">
        <f>Raw_Transactions!B907</f>
        <v/>
      </c>
      <c r="C907" s="4">
        <f>Raw_Transactions!C907</f>
        <v/>
      </c>
      <c r="D907" s="5">
        <f>Raw_Transactions!D907</f>
        <v/>
      </c>
      <c r="E907" s="4">
        <f>Raw_Transactions!E907</f>
        <v/>
      </c>
      <c r="F907" s="4">
        <f>Raw_Transactions!F907</f>
        <v/>
      </c>
      <c r="G907" s="4">
        <f>Raw_Transactions!G907</f>
        <v/>
      </c>
      <c r="H907" s="4">
        <f>XLOOKUP(B907,Raw_Risk_Profiles!$A:$A,Raw_Risk_Profiles!$B:$B,"Not Found")</f>
        <v/>
      </c>
      <c r="I907" s="4">
        <f>XLOOKUP(B907,Raw_Risk_Profiles!$A:$A,Raw_Risk_Profiles!$C:$C,"Missing")</f>
        <v/>
      </c>
      <c r="J907" s="4">
        <f>XLOOKUP(B907,Raw_Risk_Profiles!$A:$A,Raw_Risk_Profiles!$D:$D,"")</f>
        <v/>
      </c>
      <c r="K907" s="4">
        <f>IFERROR(INDEX(Raw_Risk_Profiles!$E:$E,MATCH(B907,Raw_Risk_Profiles!$A:$A,0)),"Unknown")</f>
        <v/>
      </c>
      <c r="L907" s="4">
        <f>IFERROR(XLOOKUP(A907,Raw_Alerts!$B:$B,Raw_Alerts!$A:$A),"No Alert")</f>
        <v/>
      </c>
      <c r="M907" s="4">
        <f>IFERROR(XLOOKUP(A907,Raw_Alerts!$B:$B,Raw_Alerts!$C:$C),"")</f>
        <v/>
      </c>
      <c r="N907" s="4">
        <f>IFERROR(XLOOKUP(A907,Raw_Alerts!$B:$B,Raw_Alerts!$D:$D),"")</f>
        <v/>
      </c>
      <c r="O907" s="4">
        <f>IFERROR(XLOOKUP(A907,Raw_Alerts!$B:$B,Raw_Alerts!$F:$F),"")</f>
        <v/>
      </c>
      <c r="P907" s="4">
        <f>IF(H907="Not Found","CRITICAL: No Risk Profile",IF(I907="Missing","WARN: Missing KYC",IF(I907="Expired","WARN: KYC Expired",IF(I907="Pending","INFO: KYC Pending","OK"))))</f>
        <v/>
      </c>
    </row>
    <row r="908">
      <c r="A908" s="2">
        <f>Raw_Transactions!A908</f>
        <v/>
      </c>
      <c r="B908" s="2">
        <f>Raw_Transactions!B908</f>
        <v/>
      </c>
      <c r="C908" s="2">
        <f>Raw_Transactions!C908</f>
        <v/>
      </c>
      <c r="D908" s="3">
        <f>Raw_Transactions!D908</f>
        <v/>
      </c>
      <c r="E908" s="2">
        <f>Raw_Transactions!E908</f>
        <v/>
      </c>
      <c r="F908" s="2">
        <f>Raw_Transactions!F908</f>
        <v/>
      </c>
      <c r="G908" s="2">
        <f>Raw_Transactions!G908</f>
        <v/>
      </c>
      <c r="H908" s="2">
        <f>XLOOKUP(B908,Raw_Risk_Profiles!$A:$A,Raw_Risk_Profiles!$B:$B,"Not Found")</f>
        <v/>
      </c>
      <c r="I908" s="2">
        <f>XLOOKUP(B908,Raw_Risk_Profiles!$A:$A,Raw_Risk_Profiles!$C:$C,"Missing")</f>
        <v/>
      </c>
      <c r="J908" s="2">
        <f>XLOOKUP(B908,Raw_Risk_Profiles!$A:$A,Raw_Risk_Profiles!$D:$D,"")</f>
        <v/>
      </c>
      <c r="K908" s="2">
        <f>IFERROR(INDEX(Raw_Risk_Profiles!$E:$E,MATCH(B908,Raw_Risk_Profiles!$A:$A,0)),"Unknown")</f>
        <v/>
      </c>
      <c r="L908" s="2">
        <f>IFERROR(XLOOKUP(A908,Raw_Alerts!$B:$B,Raw_Alerts!$A:$A),"No Alert")</f>
        <v/>
      </c>
      <c r="M908" s="2">
        <f>IFERROR(XLOOKUP(A908,Raw_Alerts!$B:$B,Raw_Alerts!$C:$C),"")</f>
        <v/>
      </c>
      <c r="N908" s="2">
        <f>IFERROR(XLOOKUP(A908,Raw_Alerts!$B:$B,Raw_Alerts!$D:$D),"")</f>
        <v/>
      </c>
      <c r="O908" s="2">
        <f>IFERROR(XLOOKUP(A908,Raw_Alerts!$B:$B,Raw_Alerts!$F:$F),"")</f>
        <v/>
      </c>
      <c r="P908" s="2">
        <f>IF(H908="Not Found","CRITICAL: No Risk Profile",IF(I908="Missing","WARN: Missing KYC",IF(I908="Expired","WARN: KYC Expired",IF(I908="Pending","INFO: KYC Pending","OK"))))</f>
        <v/>
      </c>
    </row>
    <row r="909">
      <c r="A909" s="4">
        <f>Raw_Transactions!A909</f>
        <v/>
      </c>
      <c r="B909" s="4">
        <f>Raw_Transactions!B909</f>
        <v/>
      </c>
      <c r="C909" s="4">
        <f>Raw_Transactions!C909</f>
        <v/>
      </c>
      <c r="D909" s="5">
        <f>Raw_Transactions!D909</f>
        <v/>
      </c>
      <c r="E909" s="4">
        <f>Raw_Transactions!E909</f>
        <v/>
      </c>
      <c r="F909" s="4">
        <f>Raw_Transactions!F909</f>
        <v/>
      </c>
      <c r="G909" s="4">
        <f>Raw_Transactions!G909</f>
        <v/>
      </c>
      <c r="H909" s="4">
        <f>XLOOKUP(B909,Raw_Risk_Profiles!$A:$A,Raw_Risk_Profiles!$B:$B,"Not Found")</f>
        <v/>
      </c>
      <c r="I909" s="4">
        <f>XLOOKUP(B909,Raw_Risk_Profiles!$A:$A,Raw_Risk_Profiles!$C:$C,"Missing")</f>
        <v/>
      </c>
      <c r="J909" s="4">
        <f>XLOOKUP(B909,Raw_Risk_Profiles!$A:$A,Raw_Risk_Profiles!$D:$D,"")</f>
        <v/>
      </c>
      <c r="K909" s="4">
        <f>IFERROR(INDEX(Raw_Risk_Profiles!$E:$E,MATCH(B909,Raw_Risk_Profiles!$A:$A,0)),"Unknown")</f>
        <v/>
      </c>
      <c r="L909" s="4">
        <f>IFERROR(XLOOKUP(A909,Raw_Alerts!$B:$B,Raw_Alerts!$A:$A),"No Alert")</f>
        <v/>
      </c>
      <c r="M909" s="4">
        <f>IFERROR(XLOOKUP(A909,Raw_Alerts!$B:$B,Raw_Alerts!$C:$C),"")</f>
        <v/>
      </c>
      <c r="N909" s="4">
        <f>IFERROR(XLOOKUP(A909,Raw_Alerts!$B:$B,Raw_Alerts!$D:$D),"")</f>
        <v/>
      </c>
      <c r="O909" s="4">
        <f>IFERROR(XLOOKUP(A909,Raw_Alerts!$B:$B,Raw_Alerts!$F:$F),"")</f>
        <v/>
      </c>
      <c r="P909" s="4">
        <f>IF(H909="Not Found","CRITICAL: No Risk Profile",IF(I909="Missing","WARN: Missing KYC",IF(I909="Expired","WARN: KYC Expired",IF(I909="Pending","INFO: KYC Pending","OK"))))</f>
        <v/>
      </c>
    </row>
    <row r="910">
      <c r="A910" s="2">
        <f>Raw_Transactions!A910</f>
        <v/>
      </c>
      <c r="B910" s="2">
        <f>Raw_Transactions!B910</f>
        <v/>
      </c>
      <c r="C910" s="2">
        <f>Raw_Transactions!C910</f>
        <v/>
      </c>
      <c r="D910" s="3">
        <f>Raw_Transactions!D910</f>
        <v/>
      </c>
      <c r="E910" s="2">
        <f>Raw_Transactions!E910</f>
        <v/>
      </c>
      <c r="F910" s="2">
        <f>Raw_Transactions!F910</f>
        <v/>
      </c>
      <c r="G910" s="2">
        <f>Raw_Transactions!G910</f>
        <v/>
      </c>
      <c r="H910" s="2">
        <f>XLOOKUP(B910,Raw_Risk_Profiles!$A:$A,Raw_Risk_Profiles!$B:$B,"Not Found")</f>
        <v/>
      </c>
      <c r="I910" s="2">
        <f>XLOOKUP(B910,Raw_Risk_Profiles!$A:$A,Raw_Risk_Profiles!$C:$C,"Missing")</f>
        <v/>
      </c>
      <c r="J910" s="2">
        <f>XLOOKUP(B910,Raw_Risk_Profiles!$A:$A,Raw_Risk_Profiles!$D:$D,"")</f>
        <v/>
      </c>
      <c r="K910" s="2">
        <f>IFERROR(INDEX(Raw_Risk_Profiles!$E:$E,MATCH(B910,Raw_Risk_Profiles!$A:$A,0)),"Unknown")</f>
        <v/>
      </c>
      <c r="L910" s="2">
        <f>IFERROR(XLOOKUP(A910,Raw_Alerts!$B:$B,Raw_Alerts!$A:$A),"No Alert")</f>
        <v/>
      </c>
      <c r="M910" s="2">
        <f>IFERROR(XLOOKUP(A910,Raw_Alerts!$B:$B,Raw_Alerts!$C:$C),"")</f>
        <v/>
      </c>
      <c r="N910" s="2">
        <f>IFERROR(XLOOKUP(A910,Raw_Alerts!$B:$B,Raw_Alerts!$D:$D),"")</f>
        <v/>
      </c>
      <c r="O910" s="2">
        <f>IFERROR(XLOOKUP(A910,Raw_Alerts!$B:$B,Raw_Alerts!$F:$F),"")</f>
        <v/>
      </c>
      <c r="P910" s="2">
        <f>IF(H910="Not Found","CRITICAL: No Risk Profile",IF(I910="Missing","WARN: Missing KYC",IF(I910="Expired","WARN: KYC Expired",IF(I910="Pending","INFO: KYC Pending","OK"))))</f>
        <v/>
      </c>
    </row>
    <row r="911">
      <c r="A911" s="4">
        <f>Raw_Transactions!A911</f>
        <v/>
      </c>
      <c r="B911" s="4">
        <f>Raw_Transactions!B911</f>
        <v/>
      </c>
      <c r="C911" s="4">
        <f>Raw_Transactions!C911</f>
        <v/>
      </c>
      <c r="D911" s="5">
        <f>Raw_Transactions!D911</f>
        <v/>
      </c>
      <c r="E911" s="4">
        <f>Raw_Transactions!E911</f>
        <v/>
      </c>
      <c r="F911" s="4">
        <f>Raw_Transactions!F911</f>
        <v/>
      </c>
      <c r="G911" s="4">
        <f>Raw_Transactions!G911</f>
        <v/>
      </c>
      <c r="H911" s="4">
        <f>XLOOKUP(B911,Raw_Risk_Profiles!$A:$A,Raw_Risk_Profiles!$B:$B,"Not Found")</f>
        <v/>
      </c>
      <c r="I911" s="4">
        <f>XLOOKUP(B911,Raw_Risk_Profiles!$A:$A,Raw_Risk_Profiles!$C:$C,"Missing")</f>
        <v/>
      </c>
      <c r="J911" s="4">
        <f>XLOOKUP(B911,Raw_Risk_Profiles!$A:$A,Raw_Risk_Profiles!$D:$D,"")</f>
        <v/>
      </c>
      <c r="K911" s="4">
        <f>IFERROR(INDEX(Raw_Risk_Profiles!$E:$E,MATCH(B911,Raw_Risk_Profiles!$A:$A,0)),"Unknown")</f>
        <v/>
      </c>
      <c r="L911" s="4">
        <f>IFERROR(XLOOKUP(A911,Raw_Alerts!$B:$B,Raw_Alerts!$A:$A),"No Alert")</f>
        <v/>
      </c>
      <c r="M911" s="4">
        <f>IFERROR(XLOOKUP(A911,Raw_Alerts!$B:$B,Raw_Alerts!$C:$C),"")</f>
        <v/>
      </c>
      <c r="N911" s="4">
        <f>IFERROR(XLOOKUP(A911,Raw_Alerts!$B:$B,Raw_Alerts!$D:$D),"")</f>
        <v/>
      </c>
      <c r="O911" s="4">
        <f>IFERROR(XLOOKUP(A911,Raw_Alerts!$B:$B,Raw_Alerts!$F:$F),"")</f>
        <v/>
      </c>
      <c r="P911" s="4">
        <f>IF(H911="Not Found","CRITICAL: No Risk Profile",IF(I911="Missing","WARN: Missing KYC",IF(I911="Expired","WARN: KYC Expired",IF(I911="Pending","INFO: KYC Pending","OK"))))</f>
        <v/>
      </c>
    </row>
    <row r="912">
      <c r="A912" s="2">
        <f>Raw_Transactions!A912</f>
        <v/>
      </c>
      <c r="B912" s="2">
        <f>Raw_Transactions!B912</f>
        <v/>
      </c>
      <c r="C912" s="2">
        <f>Raw_Transactions!C912</f>
        <v/>
      </c>
      <c r="D912" s="3">
        <f>Raw_Transactions!D912</f>
        <v/>
      </c>
      <c r="E912" s="2">
        <f>Raw_Transactions!E912</f>
        <v/>
      </c>
      <c r="F912" s="2">
        <f>Raw_Transactions!F912</f>
        <v/>
      </c>
      <c r="G912" s="2">
        <f>Raw_Transactions!G912</f>
        <v/>
      </c>
      <c r="H912" s="2">
        <f>XLOOKUP(B912,Raw_Risk_Profiles!$A:$A,Raw_Risk_Profiles!$B:$B,"Not Found")</f>
        <v/>
      </c>
      <c r="I912" s="2">
        <f>XLOOKUP(B912,Raw_Risk_Profiles!$A:$A,Raw_Risk_Profiles!$C:$C,"Missing")</f>
        <v/>
      </c>
      <c r="J912" s="2">
        <f>XLOOKUP(B912,Raw_Risk_Profiles!$A:$A,Raw_Risk_Profiles!$D:$D,"")</f>
        <v/>
      </c>
      <c r="K912" s="2">
        <f>IFERROR(INDEX(Raw_Risk_Profiles!$E:$E,MATCH(B912,Raw_Risk_Profiles!$A:$A,0)),"Unknown")</f>
        <v/>
      </c>
      <c r="L912" s="2">
        <f>IFERROR(XLOOKUP(A912,Raw_Alerts!$B:$B,Raw_Alerts!$A:$A),"No Alert")</f>
        <v/>
      </c>
      <c r="M912" s="2">
        <f>IFERROR(XLOOKUP(A912,Raw_Alerts!$B:$B,Raw_Alerts!$C:$C),"")</f>
        <v/>
      </c>
      <c r="N912" s="2">
        <f>IFERROR(XLOOKUP(A912,Raw_Alerts!$B:$B,Raw_Alerts!$D:$D),"")</f>
        <v/>
      </c>
      <c r="O912" s="2">
        <f>IFERROR(XLOOKUP(A912,Raw_Alerts!$B:$B,Raw_Alerts!$F:$F),"")</f>
        <v/>
      </c>
      <c r="P912" s="2">
        <f>IF(H912="Not Found","CRITICAL: No Risk Profile",IF(I912="Missing","WARN: Missing KYC",IF(I912="Expired","WARN: KYC Expired",IF(I912="Pending","INFO: KYC Pending","OK"))))</f>
        <v/>
      </c>
    </row>
    <row r="913">
      <c r="A913" s="4">
        <f>Raw_Transactions!A913</f>
        <v/>
      </c>
      <c r="B913" s="4">
        <f>Raw_Transactions!B913</f>
        <v/>
      </c>
      <c r="C913" s="4">
        <f>Raw_Transactions!C913</f>
        <v/>
      </c>
      <c r="D913" s="5">
        <f>Raw_Transactions!D913</f>
        <v/>
      </c>
      <c r="E913" s="4">
        <f>Raw_Transactions!E913</f>
        <v/>
      </c>
      <c r="F913" s="4">
        <f>Raw_Transactions!F913</f>
        <v/>
      </c>
      <c r="G913" s="4">
        <f>Raw_Transactions!G913</f>
        <v/>
      </c>
      <c r="H913" s="4">
        <f>XLOOKUP(B913,Raw_Risk_Profiles!$A:$A,Raw_Risk_Profiles!$B:$B,"Not Found")</f>
        <v/>
      </c>
      <c r="I913" s="4">
        <f>XLOOKUP(B913,Raw_Risk_Profiles!$A:$A,Raw_Risk_Profiles!$C:$C,"Missing")</f>
        <v/>
      </c>
      <c r="J913" s="4">
        <f>XLOOKUP(B913,Raw_Risk_Profiles!$A:$A,Raw_Risk_Profiles!$D:$D,"")</f>
        <v/>
      </c>
      <c r="K913" s="4">
        <f>IFERROR(INDEX(Raw_Risk_Profiles!$E:$E,MATCH(B913,Raw_Risk_Profiles!$A:$A,0)),"Unknown")</f>
        <v/>
      </c>
      <c r="L913" s="4">
        <f>IFERROR(XLOOKUP(A913,Raw_Alerts!$B:$B,Raw_Alerts!$A:$A),"No Alert")</f>
        <v/>
      </c>
      <c r="M913" s="4">
        <f>IFERROR(XLOOKUP(A913,Raw_Alerts!$B:$B,Raw_Alerts!$C:$C),"")</f>
        <v/>
      </c>
      <c r="N913" s="4">
        <f>IFERROR(XLOOKUP(A913,Raw_Alerts!$B:$B,Raw_Alerts!$D:$D),"")</f>
        <v/>
      </c>
      <c r="O913" s="4">
        <f>IFERROR(XLOOKUP(A913,Raw_Alerts!$B:$B,Raw_Alerts!$F:$F),"")</f>
        <v/>
      </c>
      <c r="P913" s="4">
        <f>IF(H913="Not Found","CRITICAL: No Risk Profile",IF(I913="Missing","WARN: Missing KYC",IF(I913="Expired","WARN: KYC Expired",IF(I913="Pending","INFO: KYC Pending","OK"))))</f>
        <v/>
      </c>
    </row>
    <row r="914">
      <c r="A914" s="2">
        <f>Raw_Transactions!A914</f>
        <v/>
      </c>
      <c r="B914" s="2">
        <f>Raw_Transactions!B914</f>
        <v/>
      </c>
      <c r="C914" s="2">
        <f>Raw_Transactions!C914</f>
        <v/>
      </c>
      <c r="D914" s="3">
        <f>Raw_Transactions!D914</f>
        <v/>
      </c>
      <c r="E914" s="2">
        <f>Raw_Transactions!E914</f>
        <v/>
      </c>
      <c r="F914" s="2">
        <f>Raw_Transactions!F914</f>
        <v/>
      </c>
      <c r="G914" s="2">
        <f>Raw_Transactions!G914</f>
        <v/>
      </c>
      <c r="H914" s="2">
        <f>XLOOKUP(B914,Raw_Risk_Profiles!$A:$A,Raw_Risk_Profiles!$B:$B,"Not Found")</f>
        <v/>
      </c>
      <c r="I914" s="2">
        <f>XLOOKUP(B914,Raw_Risk_Profiles!$A:$A,Raw_Risk_Profiles!$C:$C,"Missing")</f>
        <v/>
      </c>
      <c r="J914" s="2">
        <f>XLOOKUP(B914,Raw_Risk_Profiles!$A:$A,Raw_Risk_Profiles!$D:$D,"")</f>
        <v/>
      </c>
      <c r="K914" s="2">
        <f>IFERROR(INDEX(Raw_Risk_Profiles!$E:$E,MATCH(B914,Raw_Risk_Profiles!$A:$A,0)),"Unknown")</f>
        <v/>
      </c>
      <c r="L914" s="2">
        <f>IFERROR(XLOOKUP(A914,Raw_Alerts!$B:$B,Raw_Alerts!$A:$A),"No Alert")</f>
        <v/>
      </c>
      <c r="M914" s="2">
        <f>IFERROR(XLOOKUP(A914,Raw_Alerts!$B:$B,Raw_Alerts!$C:$C),"")</f>
        <v/>
      </c>
      <c r="N914" s="2">
        <f>IFERROR(XLOOKUP(A914,Raw_Alerts!$B:$B,Raw_Alerts!$D:$D),"")</f>
        <v/>
      </c>
      <c r="O914" s="2">
        <f>IFERROR(XLOOKUP(A914,Raw_Alerts!$B:$B,Raw_Alerts!$F:$F),"")</f>
        <v/>
      </c>
      <c r="P914" s="2">
        <f>IF(H914="Not Found","CRITICAL: No Risk Profile",IF(I914="Missing","WARN: Missing KYC",IF(I914="Expired","WARN: KYC Expired",IF(I914="Pending","INFO: KYC Pending","OK"))))</f>
        <v/>
      </c>
    </row>
    <row r="915">
      <c r="A915" s="4">
        <f>Raw_Transactions!A915</f>
        <v/>
      </c>
      <c r="B915" s="4">
        <f>Raw_Transactions!B915</f>
        <v/>
      </c>
      <c r="C915" s="4">
        <f>Raw_Transactions!C915</f>
        <v/>
      </c>
      <c r="D915" s="5">
        <f>Raw_Transactions!D915</f>
        <v/>
      </c>
      <c r="E915" s="4">
        <f>Raw_Transactions!E915</f>
        <v/>
      </c>
      <c r="F915" s="4">
        <f>Raw_Transactions!F915</f>
        <v/>
      </c>
      <c r="G915" s="4">
        <f>Raw_Transactions!G915</f>
        <v/>
      </c>
      <c r="H915" s="4">
        <f>XLOOKUP(B915,Raw_Risk_Profiles!$A:$A,Raw_Risk_Profiles!$B:$B,"Not Found")</f>
        <v/>
      </c>
      <c r="I915" s="4">
        <f>XLOOKUP(B915,Raw_Risk_Profiles!$A:$A,Raw_Risk_Profiles!$C:$C,"Missing")</f>
        <v/>
      </c>
      <c r="J915" s="4">
        <f>XLOOKUP(B915,Raw_Risk_Profiles!$A:$A,Raw_Risk_Profiles!$D:$D,"")</f>
        <v/>
      </c>
      <c r="K915" s="4">
        <f>IFERROR(INDEX(Raw_Risk_Profiles!$E:$E,MATCH(B915,Raw_Risk_Profiles!$A:$A,0)),"Unknown")</f>
        <v/>
      </c>
      <c r="L915" s="4">
        <f>IFERROR(XLOOKUP(A915,Raw_Alerts!$B:$B,Raw_Alerts!$A:$A),"No Alert")</f>
        <v/>
      </c>
      <c r="M915" s="4">
        <f>IFERROR(XLOOKUP(A915,Raw_Alerts!$B:$B,Raw_Alerts!$C:$C),"")</f>
        <v/>
      </c>
      <c r="N915" s="4">
        <f>IFERROR(XLOOKUP(A915,Raw_Alerts!$B:$B,Raw_Alerts!$D:$D),"")</f>
        <v/>
      </c>
      <c r="O915" s="4">
        <f>IFERROR(XLOOKUP(A915,Raw_Alerts!$B:$B,Raw_Alerts!$F:$F),"")</f>
        <v/>
      </c>
      <c r="P915" s="4">
        <f>IF(H915="Not Found","CRITICAL: No Risk Profile",IF(I915="Missing","WARN: Missing KYC",IF(I915="Expired","WARN: KYC Expired",IF(I915="Pending","INFO: KYC Pending","OK"))))</f>
        <v/>
      </c>
    </row>
    <row r="916">
      <c r="A916" s="2">
        <f>Raw_Transactions!A916</f>
        <v/>
      </c>
      <c r="B916" s="2">
        <f>Raw_Transactions!B916</f>
        <v/>
      </c>
      <c r="C916" s="2">
        <f>Raw_Transactions!C916</f>
        <v/>
      </c>
      <c r="D916" s="3">
        <f>Raw_Transactions!D916</f>
        <v/>
      </c>
      <c r="E916" s="2">
        <f>Raw_Transactions!E916</f>
        <v/>
      </c>
      <c r="F916" s="2">
        <f>Raw_Transactions!F916</f>
        <v/>
      </c>
      <c r="G916" s="2">
        <f>Raw_Transactions!G916</f>
        <v/>
      </c>
      <c r="H916" s="2">
        <f>XLOOKUP(B916,Raw_Risk_Profiles!$A:$A,Raw_Risk_Profiles!$B:$B,"Not Found")</f>
        <v/>
      </c>
      <c r="I916" s="2">
        <f>XLOOKUP(B916,Raw_Risk_Profiles!$A:$A,Raw_Risk_Profiles!$C:$C,"Missing")</f>
        <v/>
      </c>
      <c r="J916" s="2">
        <f>XLOOKUP(B916,Raw_Risk_Profiles!$A:$A,Raw_Risk_Profiles!$D:$D,"")</f>
        <v/>
      </c>
      <c r="K916" s="2">
        <f>IFERROR(INDEX(Raw_Risk_Profiles!$E:$E,MATCH(B916,Raw_Risk_Profiles!$A:$A,0)),"Unknown")</f>
        <v/>
      </c>
      <c r="L916" s="2">
        <f>IFERROR(XLOOKUP(A916,Raw_Alerts!$B:$B,Raw_Alerts!$A:$A),"No Alert")</f>
        <v/>
      </c>
      <c r="M916" s="2">
        <f>IFERROR(XLOOKUP(A916,Raw_Alerts!$B:$B,Raw_Alerts!$C:$C),"")</f>
        <v/>
      </c>
      <c r="N916" s="2">
        <f>IFERROR(XLOOKUP(A916,Raw_Alerts!$B:$B,Raw_Alerts!$D:$D),"")</f>
        <v/>
      </c>
      <c r="O916" s="2">
        <f>IFERROR(XLOOKUP(A916,Raw_Alerts!$B:$B,Raw_Alerts!$F:$F),"")</f>
        <v/>
      </c>
      <c r="P916" s="2">
        <f>IF(H916="Not Found","CRITICAL: No Risk Profile",IF(I916="Missing","WARN: Missing KYC",IF(I916="Expired","WARN: KYC Expired",IF(I916="Pending","INFO: KYC Pending","OK"))))</f>
        <v/>
      </c>
    </row>
    <row r="917">
      <c r="A917" s="4">
        <f>Raw_Transactions!A917</f>
        <v/>
      </c>
      <c r="B917" s="4">
        <f>Raw_Transactions!B917</f>
        <v/>
      </c>
      <c r="C917" s="4">
        <f>Raw_Transactions!C917</f>
        <v/>
      </c>
      <c r="D917" s="5">
        <f>Raw_Transactions!D917</f>
        <v/>
      </c>
      <c r="E917" s="4">
        <f>Raw_Transactions!E917</f>
        <v/>
      </c>
      <c r="F917" s="4">
        <f>Raw_Transactions!F917</f>
        <v/>
      </c>
      <c r="G917" s="4">
        <f>Raw_Transactions!G917</f>
        <v/>
      </c>
      <c r="H917" s="4">
        <f>XLOOKUP(B917,Raw_Risk_Profiles!$A:$A,Raw_Risk_Profiles!$B:$B,"Not Found")</f>
        <v/>
      </c>
      <c r="I917" s="4">
        <f>XLOOKUP(B917,Raw_Risk_Profiles!$A:$A,Raw_Risk_Profiles!$C:$C,"Missing")</f>
        <v/>
      </c>
      <c r="J917" s="4">
        <f>XLOOKUP(B917,Raw_Risk_Profiles!$A:$A,Raw_Risk_Profiles!$D:$D,"")</f>
        <v/>
      </c>
      <c r="K917" s="4">
        <f>IFERROR(INDEX(Raw_Risk_Profiles!$E:$E,MATCH(B917,Raw_Risk_Profiles!$A:$A,0)),"Unknown")</f>
        <v/>
      </c>
      <c r="L917" s="4">
        <f>IFERROR(XLOOKUP(A917,Raw_Alerts!$B:$B,Raw_Alerts!$A:$A),"No Alert")</f>
        <v/>
      </c>
      <c r="M917" s="4">
        <f>IFERROR(XLOOKUP(A917,Raw_Alerts!$B:$B,Raw_Alerts!$C:$C),"")</f>
        <v/>
      </c>
      <c r="N917" s="4">
        <f>IFERROR(XLOOKUP(A917,Raw_Alerts!$B:$B,Raw_Alerts!$D:$D),"")</f>
        <v/>
      </c>
      <c r="O917" s="4">
        <f>IFERROR(XLOOKUP(A917,Raw_Alerts!$B:$B,Raw_Alerts!$F:$F),"")</f>
        <v/>
      </c>
      <c r="P917" s="4">
        <f>IF(H917="Not Found","CRITICAL: No Risk Profile",IF(I917="Missing","WARN: Missing KYC",IF(I917="Expired","WARN: KYC Expired",IF(I917="Pending","INFO: KYC Pending","OK"))))</f>
        <v/>
      </c>
    </row>
    <row r="918">
      <c r="A918" s="2">
        <f>Raw_Transactions!A918</f>
        <v/>
      </c>
      <c r="B918" s="2">
        <f>Raw_Transactions!B918</f>
        <v/>
      </c>
      <c r="C918" s="2">
        <f>Raw_Transactions!C918</f>
        <v/>
      </c>
      <c r="D918" s="3">
        <f>Raw_Transactions!D918</f>
        <v/>
      </c>
      <c r="E918" s="2">
        <f>Raw_Transactions!E918</f>
        <v/>
      </c>
      <c r="F918" s="2">
        <f>Raw_Transactions!F918</f>
        <v/>
      </c>
      <c r="G918" s="2">
        <f>Raw_Transactions!G918</f>
        <v/>
      </c>
      <c r="H918" s="2">
        <f>XLOOKUP(B918,Raw_Risk_Profiles!$A:$A,Raw_Risk_Profiles!$B:$B,"Not Found")</f>
        <v/>
      </c>
      <c r="I918" s="2">
        <f>XLOOKUP(B918,Raw_Risk_Profiles!$A:$A,Raw_Risk_Profiles!$C:$C,"Missing")</f>
        <v/>
      </c>
      <c r="J918" s="2">
        <f>XLOOKUP(B918,Raw_Risk_Profiles!$A:$A,Raw_Risk_Profiles!$D:$D,"")</f>
        <v/>
      </c>
      <c r="K918" s="2">
        <f>IFERROR(INDEX(Raw_Risk_Profiles!$E:$E,MATCH(B918,Raw_Risk_Profiles!$A:$A,0)),"Unknown")</f>
        <v/>
      </c>
      <c r="L918" s="2">
        <f>IFERROR(XLOOKUP(A918,Raw_Alerts!$B:$B,Raw_Alerts!$A:$A),"No Alert")</f>
        <v/>
      </c>
      <c r="M918" s="2">
        <f>IFERROR(XLOOKUP(A918,Raw_Alerts!$B:$B,Raw_Alerts!$C:$C),"")</f>
        <v/>
      </c>
      <c r="N918" s="2">
        <f>IFERROR(XLOOKUP(A918,Raw_Alerts!$B:$B,Raw_Alerts!$D:$D),"")</f>
        <v/>
      </c>
      <c r="O918" s="2">
        <f>IFERROR(XLOOKUP(A918,Raw_Alerts!$B:$B,Raw_Alerts!$F:$F),"")</f>
        <v/>
      </c>
      <c r="P918" s="2">
        <f>IF(H918="Not Found","CRITICAL: No Risk Profile",IF(I918="Missing","WARN: Missing KYC",IF(I918="Expired","WARN: KYC Expired",IF(I918="Pending","INFO: KYC Pending","OK"))))</f>
        <v/>
      </c>
    </row>
    <row r="919">
      <c r="A919" s="4">
        <f>Raw_Transactions!A919</f>
        <v/>
      </c>
      <c r="B919" s="4">
        <f>Raw_Transactions!B919</f>
        <v/>
      </c>
      <c r="C919" s="4">
        <f>Raw_Transactions!C919</f>
        <v/>
      </c>
      <c r="D919" s="5">
        <f>Raw_Transactions!D919</f>
        <v/>
      </c>
      <c r="E919" s="4">
        <f>Raw_Transactions!E919</f>
        <v/>
      </c>
      <c r="F919" s="4">
        <f>Raw_Transactions!F919</f>
        <v/>
      </c>
      <c r="G919" s="4">
        <f>Raw_Transactions!G919</f>
        <v/>
      </c>
      <c r="H919" s="4">
        <f>XLOOKUP(B919,Raw_Risk_Profiles!$A:$A,Raw_Risk_Profiles!$B:$B,"Not Found")</f>
        <v/>
      </c>
      <c r="I919" s="4">
        <f>XLOOKUP(B919,Raw_Risk_Profiles!$A:$A,Raw_Risk_Profiles!$C:$C,"Missing")</f>
        <v/>
      </c>
      <c r="J919" s="4">
        <f>XLOOKUP(B919,Raw_Risk_Profiles!$A:$A,Raw_Risk_Profiles!$D:$D,"")</f>
        <v/>
      </c>
      <c r="K919" s="4">
        <f>IFERROR(INDEX(Raw_Risk_Profiles!$E:$E,MATCH(B919,Raw_Risk_Profiles!$A:$A,0)),"Unknown")</f>
        <v/>
      </c>
      <c r="L919" s="4">
        <f>IFERROR(XLOOKUP(A919,Raw_Alerts!$B:$B,Raw_Alerts!$A:$A),"No Alert")</f>
        <v/>
      </c>
      <c r="M919" s="4">
        <f>IFERROR(XLOOKUP(A919,Raw_Alerts!$B:$B,Raw_Alerts!$C:$C),"")</f>
        <v/>
      </c>
      <c r="N919" s="4">
        <f>IFERROR(XLOOKUP(A919,Raw_Alerts!$B:$B,Raw_Alerts!$D:$D),"")</f>
        <v/>
      </c>
      <c r="O919" s="4">
        <f>IFERROR(XLOOKUP(A919,Raw_Alerts!$B:$B,Raw_Alerts!$F:$F),"")</f>
        <v/>
      </c>
      <c r="P919" s="4">
        <f>IF(H919="Not Found","CRITICAL: No Risk Profile",IF(I919="Missing","WARN: Missing KYC",IF(I919="Expired","WARN: KYC Expired",IF(I919="Pending","INFO: KYC Pending","OK"))))</f>
        <v/>
      </c>
    </row>
    <row r="920">
      <c r="A920" s="2">
        <f>Raw_Transactions!A920</f>
        <v/>
      </c>
      <c r="B920" s="2">
        <f>Raw_Transactions!B920</f>
        <v/>
      </c>
      <c r="C920" s="2">
        <f>Raw_Transactions!C920</f>
        <v/>
      </c>
      <c r="D920" s="3">
        <f>Raw_Transactions!D920</f>
        <v/>
      </c>
      <c r="E920" s="2">
        <f>Raw_Transactions!E920</f>
        <v/>
      </c>
      <c r="F920" s="2">
        <f>Raw_Transactions!F920</f>
        <v/>
      </c>
      <c r="G920" s="2">
        <f>Raw_Transactions!G920</f>
        <v/>
      </c>
      <c r="H920" s="2">
        <f>XLOOKUP(B920,Raw_Risk_Profiles!$A:$A,Raw_Risk_Profiles!$B:$B,"Not Found")</f>
        <v/>
      </c>
      <c r="I920" s="2">
        <f>XLOOKUP(B920,Raw_Risk_Profiles!$A:$A,Raw_Risk_Profiles!$C:$C,"Missing")</f>
        <v/>
      </c>
      <c r="J920" s="2">
        <f>XLOOKUP(B920,Raw_Risk_Profiles!$A:$A,Raw_Risk_Profiles!$D:$D,"")</f>
        <v/>
      </c>
      <c r="K920" s="2">
        <f>IFERROR(INDEX(Raw_Risk_Profiles!$E:$E,MATCH(B920,Raw_Risk_Profiles!$A:$A,0)),"Unknown")</f>
        <v/>
      </c>
      <c r="L920" s="2">
        <f>IFERROR(XLOOKUP(A920,Raw_Alerts!$B:$B,Raw_Alerts!$A:$A),"No Alert")</f>
        <v/>
      </c>
      <c r="M920" s="2">
        <f>IFERROR(XLOOKUP(A920,Raw_Alerts!$B:$B,Raw_Alerts!$C:$C),"")</f>
        <v/>
      </c>
      <c r="N920" s="2">
        <f>IFERROR(XLOOKUP(A920,Raw_Alerts!$B:$B,Raw_Alerts!$D:$D),"")</f>
        <v/>
      </c>
      <c r="O920" s="2">
        <f>IFERROR(XLOOKUP(A920,Raw_Alerts!$B:$B,Raw_Alerts!$F:$F),"")</f>
        <v/>
      </c>
      <c r="P920" s="2">
        <f>IF(H920="Not Found","CRITICAL: No Risk Profile",IF(I920="Missing","WARN: Missing KYC",IF(I920="Expired","WARN: KYC Expired",IF(I920="Pending","INFO: KYC Pending","OK"))))</f>
        <v/>
      </c>
    </row>
    <row r="921">
      <c r="A921" s="4">
        <f>Raw_Transactions!A921</f>
        <v/>
      </c>
      <c r="B921" s="4">
        <f>Raw_Transactions!B921</f>
        <v/>
      </c>
      <c r="C921" s="4">
        <f>Raw_Transactions!C921</f>
        <v/>
      </c>
      <c r="D921" s="5">
        <f>Raw_Transactions!D921</f>
        <v/>
      </c>
      <c r="E921" s="4">
        <f>Raw_Transactions!E921</f>
        <v/>
      </c>
      <c r="F921" s="4">
        <f>Raw_Transactions!F921</f>
        <v/>
      </c>
      <c r="G921" s="4">
        <f>Raw_Transactions!G921</f>
        <v/>
      </c>
      <c r="H921" s="4">
        <f>XLOOKUP(B921,Raw_Risk_Profiles!$A:$A,Raw_Risk_Profiles!$B:$B,"Not Found")</f>
        <v/>
      </c>
      <c r="I921" s="4">
        <f>XLOOKUP(B921,Raw_Risk_Profiles!$A:$A,Raw_Risk_Profiles!$C:$C,"Missing")</f>
        <v/>
      </c>
      <c r="J921" s="4">
        <f>XLOOKUP(B921,Raw_Risk_Profiles!$A:$A,Raw_Risk_Profiles!$D:$D,"")</f>
        <v/>
      </c>
      <c r="K921" s="4">
        <f>IFERROR(INDEX(Raw_Risk_Profiles!$E:$E,MATCH(B921,Raw_Risk_Profiles!$A:$A,0)),"Unknown")</f>
        <v/>
      </c>
      <c r="L921" s="4">
        <f>IFERROR(XLOOKUP(A921,Raw_Alerts!$B:$B,Raw_Alerts!$A:$A),"No Alert")</f>
        <v/>
      </c>
      <c r="M921" s="4">
        <f>IFERROR(XLOOKUP(A921,Raw_Alerts!$B:$B,Raw_Alerts!$C:$C),"")</f>
        <v/>
      </c>
      <c r="N921" s="4">
        <f>IFERROR(XLOOKUP(A921,Raw_Alerts!$B:$B,Raw_Alerts!$D:$D),"")</f>
        <v/>
      </c>
      <c r="O921" s="4">
        <f>IFERROR(XLOOKUP(A921,Raw_Alerts!$B:$B,Raw_Alerts!$F:$F),"")</f>
        <v/>
      </c>
      <c r="P921" s="4">
        <f>IF(H921="Not Found","CRITICAL: No Risk Profile",IF(I921="Missing","WARN: Missing KYC",IF(I921="Expired","WARN: KYC Expired",IF(I921="Pending","INFO: KYC Pending","OK"))))</f>
        <v/>
      </c>
    </row>
    <row r="922">
      <c r="A922" s="2">
        <f>Raw_Transactions!A922</f>
        <v/>
      </c>
      <c r="B922" s="2">
        <f>Raw_Transactions!B922</f>
        <v/>
      </c>
      <c r="C922" s="2">
        <f>Raw_Transactions!C922</f>
        <v/>
      </c>
      <c r="D922" s="3">
        <f>Raw_Transactions!D922</f>
        <v/>
      </c>
      <c r="E922" s="2">
        <f>Raw_Transactions!E922</f>
        <v/>
      </c>
      <c r="F922" s="2">
        <f>Raw_Transactions!F922</f>
        <v/>
      </c>
      <c r="G922" s="2">
        <f>Raw_Transactions!G922</f>
        <v/>
      </c>
      <c r="H922" s="2">
        <f>XLOOKUP(B922,Raw_Risk_Profiles!$A:$A,Raw_Risk_Profiles!$B:$B,"Not Found")</f>
        <v/>
      </c>
      <c r="I922" s="2">
        <f>XLOOKUP(B922,Raw_Risk_Profiles!$A:$A,Raw_Risk_Profiles!$C:$C,"Missing")</f>
        <v/>
      </c>
      <c r="J922" s="2">
        <f>XLOOKUP(B922,Raw_Risk_Profiles!$A:$A,Raw_Risk_Profiles!$D:$D,"")</f>
        <v/>
      </c>
      <c r="K922" s="2">
        <f>IFERROR(INDEX(Raw_Risk_Profiles!$E:$E,MATCH(B922,Raw_Risk_Profiles!$A:$A,0)),"Unknown")</f>
        <v/>
      </c>
      <c r="L922" s="2">
        <f>IFERROR(XLOOKUP(A922,Raw_Alerts!$B:$B,Raw_Alerts!$A:$A),"No Alert")</f>
        <v/>
      </c>
      <c r="M922" s="2">
        <f>IFERROR(XLOOKUP(A922,Raw_Alerts!$B:$B,Raw_Alerts!$C:$C),"")</f>
        <v/>
      </c>
      <c r="N922" s="2">
        <f>IFERROR(XLOOKUP(A922,Raw_Alerts!$B:$B,Raw_Alerts!$D:$D),"")</f>
        <v/>
      </c>
      <c r="O922" s="2">
        <f>IFERROR(XLOOKUP(A922,Raw_Alerts!$B:$B,Raw_Alerts!$F:$F),"")</f>
        <v/>
      </c>
      <c r="P922" s="2">
        <f>IF(H922="Not Found","CRITICAL: No Risk Profile",IF(I922="Missing","WARN: Missing KYC",IF(I922="Expired","WARN: KYC Expired",IF(I922="Pending","INFO: KYC Pending","OK"))))</f>
        <v/>
      </c>
    </row>
    <row r="923">
      <c r="A923" s="4">
        <f>Raw_Transactions!A923</f>
        <v/>
      </c>
      <c r="B923" s="4">
        <f>Raw_Transactions!B923</f>
        <v/>
      </c>
      <c r="C923" s="4">
        <f>Raw_Transactions!C923</f>
        <v/>
      </c>
      <c r="D923" s="5">
        <f>Raw_Transactions!D923</f>
        <v/>
      </c>
      <c r="E923" s="4">
        <f>Raw_Transactions!E923</f>
        <v/>
      </c>
      <c r="F923" s="4">
        <f>Raw_Transactions!F923</f>
        <v/>
      </c>
      <c r="G923" s="4">
        <f>Raw_Transactions!G923</f>
        <v/>
      </c>
      <c r="H923" s="4">
        <f>XLOOKUP(B923,Raw_Risk_Profiles!$A:$A,Raw_Risk_Profiles!$B:$B,"Not Found")</f>
        <v/>
      </c>
      <c r="I923" s="4">
        <f>XLOOKUP(B923,Raw_Risk_Profiles!$A:$A,Raw_Risk_Profiles!$C:$C,"Missing")</f>
        <v/>
      </c>
      <c r="J923" s="4">
        <f>XLOOKUP(B923,Raw_Risk_Profiles!$A:$A,Raw_Risk_Profiles!$D:$D,"")</f>
        <v/>
      </c>
      <c r="K923" s="4">
        <f>IFERROR(INDEX(Raw_Risk_Profiles!$E:$E,MATCH(B923,Raw_Risk_Profiles!$A:$A,0)),"Unknown")</f>
        <v/>
      </c>
      <c r="L923" s="4">
        <f>IFERROR(XLOOKUP(A923,Raw_Alerts!$B:$B,Raw_Alerts!$A:$A),"No Alert")</f>
        <v/>
      </c>
      <c r="M923" s="4">
        <f>IFERROR(XLOOKUP(A923,Raw_Alerts!$B:$B,Raw_Alerts!$C:$C),"")</f>
        <v/>
      </c>
      <c r="N923" s="4">
        <f>IFERROR(XLOOKUP(A923,Raw_Alerts!$B:$B,Raw_Alerts!$D:$D),"")</f>
        <v/>
      </c>
      <c r="O923" s="4">
        <f>IFERROR(XLOOKUP(A923,Raw_Alerts!$B:$B,Raw_Alerts!$F:$F),"")</f>
        <v/>
      </c>
      <c r="P923" s="4">
        <f>IF(H923="Not Found","CRITICAL: No Risk Profile",IF(I923="Missing","WARN: Missing KYC",IF(I923="Expired","WARN: KYC Expired",IF(I923="Pending","INFO: KYC Pending","OK"))))</f>
        <v/>
      </c>
    </row>
    <row r="924">
      <c r="A924" s="2">
        <f>Raw_Transactions!A924</f>
        <v/>
      </c>
      <c r="B924" s="2">
        <f>Raw_Transactions!B924</f>
        <v/>
      </c>
      <c r="C924" s="2">
        <f>Raw_Transactions!C924</f>
        <v/>
      </c>
      <c r="D924" s="3">
        <f>Raw_Transactions!D924</f>
        <v/>
      </c>
      <c r="E924" s="2">
        <f>Raw_Transactions!E924</f>
        <v/>
      </c>
      <c r="F924" s="2">
        <f>Raw_Transactions!F924</f>
        <v/>
      </c>
      <c r="G924" s="2">
        <f>Raw_Transactions!G924</f>
        <v/>
      </c>
      <c r="H924" s="2">
        <f>XLOOKUP(B924,Raw_Risk_Profiles!$A:$A,Raw_Risk_Profiles!$B:$B,"Not Found")</f>
        <v/>
      </c>
      <c r="I924" s="2">
        <f>XLOOKUP(B924,Raw_Risk_Profiles!$A:$A,Raw_Risk_Profiles!$C:$C,"Missing")</f>
        <v/>
      </c>
      <c r="J924" s="2">
        <f>XLOOKUP(B924,Raw_Risk_Profiles!$A:$A,Raw_Risk_Profiles!$D:$D,"")</f>
        <v/>
      </c>
      <c r="K924" s="2">
        <f>IFERROR(INDEX(Raw_Risk_Profiles!$E:$E,MATCH(B924,Raw_Risk_Profiles!$A:$A,0)),"Unknown")</f>
        <v/>
      </c>
      <c r="L924" s="2">
        <f>IFERROR(XLOOKUP(A924,Raw_Alerts!$B:$B,Raw_Alerts!$A:$A),"No Alert")</f>
        <v/>
      </c>
      <c r="M924" s="2">
        <f>IFERROR(XLOOKUP(A924,Raw_Alerts!$B:$B,Raw_Alerts!$C:$C),"")</f>
        <v/>
      </c>
      <c r="N924" s="2">
        <f>IFERROR(XLOOKUP(A924,Raw_Alerts!$B:$B,Raw_Alerts!$D:$D),"")</f>
        <v/>
      </c>
      <c r="O924" s="2">
        <f>IFERROR(XLOOKUP(A924,Raw_Alerts!$B:$B,Raw_Alerts!$F:$F),"")</f>
        <v/>
      </c>
      <c r="P924" s="2">
        <f>IF(H924="Not Found","CRITICAL: No Risk Profile",IF(I924="Missing","WARN: Missing KYC",IF(I924="Expired","WARN: KYC Expired",IF(I924="Pending","INFO: KYC Pending","OK"))))</f>
        <v/>
      </c>
    </row>
    <row r="925">
      <c r="A925" s="4">
        <f>Raw_Transactions!A925</f>
        <v/>
      </c>
      <c r="B925" s="4">
        <f>Raw_Transactions!B925</f>
        <v/>
      </c>
      <c r="C925" s="4">
        <f>Raw_Transactions!C925</f>
        <v/>
      </c>
      <c r="D925" s="5">
        <f>Raw_Transactions!D925</f>
        <v/>
      </c>
      <c r="E925" s="4">
        <f>Raw_Transactions!E925</f>
        <v/>
      </c>
      <c r="F925" s="4">
        <f>Raw_Transactions!F925</f>
        <v/>
      </c>
      <c r="G925" s="4">
        <f>Raw_Transactions!G925</f>
        <v/>
      </c>
      <c r="H925" s="4">
        <f>XLOOKUP(B925,Raw_Risk_Profiles!$A:$A,Raw_Risk_Profiles!$B:$B,"Not Found")</f>
        <v/>
      </c>
      <c r="I925" s="4">
        <f>XLOOKUP(B925,Raw_Risk_Profiles!$A:$A,Raw_Risk_Profiles!$C:$C,"Missing")</f>
        <v/>
      </c>
      <c r="J925" s="4">
        <f>XLOOKUP(B925,Raw_Risk_Profiles!$A:$A,Raw_Risk_Profiles!$D:$D,"")</f>
        <v/>
      </c>
      <c r="K925" s="4">
        <f>IFERROR(INDEX(Raw_Risk_Profiles!$E:$E,MATCH(B925,Raw_Risk_Profiles!$A:$A,0)),"Unknown")</f>
        <v/>
      </c>
      <c r="L925" s="4">
        <f>IFERROR(XLOOKUP(A925,Raw_Alerts!$B:$B,Raw_Alerts!$A:$A),"No Alert")</f>
        <v/>
      </c>
      <c r="M925" s="4">
        <f>IFERROR(XLOOKUP(A925,Raw_Alerts!$B:$B,Raw_Alerts!$C:$C),"")</f>
        <v/>
      </c>
      <c r="N925" s="4">
        <f>IFERROR(XLOOKUP(A925,Raw_Alerts!$B:$B,Raw_Alerts!$D:$D),"")</f>
        <v/>
      </c>
      <c r="O925" s="4">
        <f>IFERROR(XLOOKUP(A925,Raw_Alerts!$B:$B,Raw_Alerts!$F:$F),"")</f>
        <v/>
      </c>
      <c r="P925" s="4">
        <f>IF(H925="Not Found","CRITICAL: No Risk Profile",IF(I925="Missing","WARN: Missing KYC",IF(I925="Expired","WARN: KYC Expired",IF(I925="Pending","INFO: KYC Pending","OK"))))</f>
        <v/>
      </c>
    </row>
    <row r="926">
      <c r="A926" s="2">
        <f>Raw_Transactions!A926</f>
        <v/>
      </c>
      <c r="B926" s="2">
        <f>Raw_Transactions!B926</f>
        <v/>
      </c>
      <c r="C926" s="2">
        <f>Raw_Transactions!C926</f>
        <v/>
      </c>
      <c r="D926" s="3">
        <f>Raw_Transactions!D926</f>
        <v/>
      </c>
      <c r="E926" s="2">
        <f>Raw_Transactions!E926</f>
        <v/>
      </c>
      <c r="F926" s="2">
        <f>Raw_Transactions!F926</f>
        <v/>
      </c>
      <c r="G926" s="2">
        <f>Raw_Transactions!G926</f>
        <v/>
      </c>
      <c r="H926" s="2">
        <f>XLOOKUP(B926,Raw_Risk_Profiles!$A:$A,Raw_Risk_Profiles!$B:$B,"Not Found")</f>
        <v/>
      </c>
      <c r="I926" s="2">
        <f>XLOOKUP(B926,Raw_Risk_Profiles!$A:$A,Raw_Risk_Profiles!$C:$C,"Missing")</f>
        <v/>
      </c>
      <c r="J926" s="2">
        <f>XLOOKUP(B926,Raw_Risk_Profiles!$A:$A,Raw_Risk_Profiles!$D:$D,"")</f>
        <v/>
      </c>
      <c r="K926" s="2">
        <f>IFERROR(INDEX(Raw_Risk_Profiles!$E:$E,MATCH(B926,Raw_Risk_Profiles!$A:$A,0)),"Unknown")</f>
        <v/>
      </c>
      <c r="L926" s="2">
        <f>IFERROR(XLOOKUP(A926,Raw_Alerts!$B:$B,Raw_Alerts!$A:$A),"No Alert")</f>
        <v/>
      </c>
      <c r="M926" s="2">
        <f>IFERROR(XLOOKUP(A926,Raw_Alerts!$B:$B,Raw_Alerts!$C:$C),"")</f>
        <v/>
      </c>
      <c r="N926" s="2">
        <f>IFERROR(XLOOKUP(A926,Raw_Alerts!$B:$B,Raw_Alerts!$D:$D),"")</f>
        <v/>
      </c>
      <c r="O926" s="2">
        <f>IFERROR(XLOOKUP(A926,Raw_Alerts!$B:$B,Raw_Alerts!$F:$F),"")</f>
        <v/>
      </c>
      <c r="P926" s="2">
        <f>IF(H926="Not Found","CRITICAL: No Risk Profile",IF(I926="Missing","WARN: Missing KYC",IF(I926="Expired","WARN: KYC Expired",IF(I926="Pending","INFO: KYC Pending","OK"))))</f>
        <v/>
      </c>
    </row>
    <row r="927">
      <c r="A927" s="4">
        <f>Raw_Transactions!A927</f>
        <v/>
      </c>
      <c r="B927" s="4">
        <f>Raw_Transactions!B927</f>
        <v/>
      </c>
      <c r="C927" s="4">
        <f>Raw_Transactions!C927</f>
        <v/>
      </c>
      <c r="D927" s="5">
        <f>Raw_Transactions!D927</f>
        <v/>
      </c>
      <c r="E927" s="4">
        <f>Raw_Transactions!E927</f>
        <v/>
      </c>
      <c r="F927" s="4">
        <f>Raw_Transactions!F927</f>
        <v/>
      </c>
      <c r="G927" s="4">
        <f>Raw_Transactions!G927</f>
        <v/>
      </c>
      <c r="H927" s="4">
        <f>XLOOKUP(B927,Raw_Risk_Profiles!$A:$A,Raw_Risk_Profiles!$B:$B,"Not Found")</f>
        <v/>
      </c>
      <c r="I927" s="4">
        <f>XLOOKUP(B927,Raw_Risk_Profiles!$A:$A,Raw_Risk_Profiles!$C:$C,"Missing")</f>
        <v/>
      </c>
      <c r="J927" s="4">
        <f>XLOOKUP(B927,Raw_Risk_Profiles!$A:$A,Raw_Risk_Profiles!$D:$D,"")</f>
        <v/>
      </c>
      <c r="K927" s="4">
        <f>IFERROR(INDEX(Raw_Risk_Profiles!$E:$E,MATCH(B927,Raw_Risk_Profiles!$A:$A,0)),"Unknown")</f>
        <v/>
      </c>
      <c r="L927" s="4">
        <f>IFERROR(XLOOKUP(A927,Raw_Alerts!$B:$B,Raw_Alerts!$A:$A),"No Alert")</f>
        <v/>
      </c>
      <c r="M927" s="4">
        <f>IFERROR(XLOOKUP(A927,Raw_Alerts!$B:$B,Raw_Alerts!$C:$C),"")</f>
        <v/>
      </c>
      <c r="N927" s="4">
        <f>IFERROR(XLOOKUP(A927,Raw_Alerts!$B:$B,Raw_Alerts!$D:$D),"")</f>
        <v/>
      </c>
      <c r="O927" s="4">
        <f>IFERROR(XLOOKUP(A927,Raw_Alerts!$B:$B,Raw_Alerts!$F:$F),"")</f>
        <v/>
      </c>
      <c r="P927" s="4">
        <f>IF(H927="Not Found","CRITICAL: No Risk Profile",IF(I927="Missing","WARN: Missing KYC",IF(I927="Expired","WARN: KYC Expired",IF(I927="Pending","INFO: KYC Pending","OK"))))</f>
        <v/>
      </c>
    </row>
    <row r="928">
      <c r="A928" s="2">
        <f>Raw_Transactions!A928</f>
        <v/>
      </c>
      <c r="B928" s="2">
        <f>Raw_Transactions!B928</f>
        <v/>
      </c>
      <c r="C928" s="2">
        <f>Raw_Transactions!C928</f>
        <v/>
      </c>
      <c r="D928" s="3">
        <f>Raw_Transactions!D928</f>
        <v/>
      </c>
      <c r="E928" s="2">
        <f>Raw_Transactions!E928</f>
        <v/>
      </c>
      <c r="F928" s="2">
        <f>Raw_Transactions!F928</f>
        <v/>
      </c>
      <c r="G928" s="2">
        <f>Raw_Transactions!G928</f>
        <v/>
      </c>
      <c r="H928" s="2">
        <f>XLOOKUP(B928,Raw_Risk_Profiles!$A:$A,Raw_Risk_Profiles!$B:$B,"Not Found")</f>
        <v/>
      </c>
      <c r="I928" s="2">
        <f>XLOOKUP(B928,Raw_Risk_Profiles!$A:$A,Raw_Risk_Profiles!$C:$C,"Missing")</f>
        <v/>
      </c>
      <c r="J928" s="2">
        <f>XLOOKUP(B928,Raw_Risk_Profiles!$A:$A,Raw_Risk_Profiles!$D:$D,"")</f>
        <v/>
      </c>
      <c r="K928" s="2">
        <f>IFERROR(INDEX(Raw_Risk_Profiles!$E:$E,MATCH(B928,Raw_Risk_Profiles!$A:$A,0)),"Unknown")</f>
        <v/>
      </c>
      <c r="L928" s="2">
        <f>IFERROR(XLOOKUP(A928,Raw_Alerts!$B:$B,Raw_Alerts!$A:$A),"No Alert")</f>
        <v/>
      </c>
      <c r="M928" s="2">
        <f>IFERROR(XLOOKUP(A928,Raw_Alerts!$B:$B,Raw_Alerts!$C:$C),"")</f>
        <v/>
      </c>
      <c r="N928" s="2">
        <f>IFERROR(XLOOKUP(A928,Raw_Alerts!$B:$B,Raw_Alerts!$D:$D),"")</f>
        <v/>
      </c>
      <c r="O928" s="2">
        <f>IFERROR(XLOOKUP(A928,Raw_Alerts!$B:$B,Raw_Alerts!$F:$F),"")</f>
        <v/>
      </c>
      <c r="P928" s="2">
        <f>IF(H928="Not Found","CRITICAL: No Risk Profile",IF(I928="Missing","WARN: Missing KYC",IF(I928="Expired","WARN: KYC Expired",IF(I928="Pending","INFO: KYC Pending","OK"))))</f>
        <v/>
      </c>
    </row>
    <row r="929">
      <c r="A929" s="4">
        <f>Raw_Transactions!A929</f>
        <v/>
      </c>
      <c r="B929" s="4">
        <f>Raw_Transactions!B929</f>
        <v/>
      </c>
      <c r="C929" s="4">
        <f>Raw_Transactions!C929</f>
        <v/>
      </c>
      <c r="D929" s="5">
        <f>Raw_Transactions!D929</f>
        <v/>
      </c>
      <c r="E929" s="4">
        <f>Raw_Transactions!E929</f>
        <v/>
      </c>
      <c r="F929" s="4">
        <f>Raw_Transactions!F929</f>
        <v/>
      </c>
      <c r="G929" s="4">
        <f>Raw_Transactions!G929</f>
        <v/>
      </c>
      <c r="H929" s="4">
        <f>XLOOKUP(B929,Raw_Risk_Profiles!$A:$A,Raw_Risk_Profiles!$B:$B,"Not Found")</f>
        <v/>
      </c>
      <c r="I929" s="4">
        <f>XLOOKUP(B929,Raw_Risk_Profiles!$A:$A,Raw_Risk_Profiles!$C:$C,"Missing")</f>
        <v/>
      </c>
      <c r="J929" s="4">
        <f>XLOOKUP(B929,Raw_Risk_Profiles!$A:$A,Raw_Risk_Profiles!$D:$D,"")</f>
        <v/>
      </c>
      <c r="K929" s="4">
        <f>IFERROR(INDEX(Raw_Risk_Profiles!$E:$E,MATCH(B929,Raw_Risk_Profiles!$A:$A,0)),"Unknown")</f>
        <v/>
      </c>
      <c r="L929" s="4">
        <f>IFERROR(XLOOKUP(A929,Raw_Alerts!$B:$B,Raw_Alerts!$A:$A),"No Alert")</f>
        <v/>
      </c>
      <c r="M929" s="4">
        <f>IFERROR(XLOOKUP(A929,Raw_Alerts!$B:$B,Raw_Alerts!$C:$C),"")</f>
        <v/>
      </c>
      <c r="N929" s="4">
        <f>IFERROR(XLOOKUP(A929,Raw_Alerts!$B:$B,Raw_Alerts!$D:$D),"")</f>
        <v/>
      </c>
      <c r="O929" s="4">
        <f>IFERROR(XLOOKUP(A929,Raw_Alerts!$B:$B,Raw_Alerts!$F:$F),"")</f>
        <v/>
      </c>
      <c r="P929" s="4">
        <f>IF(H929="Not Found","CRITICAL: No Risk Profile",IF(I929="Missing","WARN: Missing KYC",IF(I929="Expired","WARN: KYC Expired",IF(I929="Pending","INFO: KYC Pending","OK"))))</f>
        <v/>
      </c>
    </row>
    <row r="930">
      <c r="A930" s="2">
        <f>Raw_Transactions!A930</f>
        <v/>
      </c>
      <c r="B930" s="2">
        <f>Raw_Transactions!B930</f>
        <v/>
      </c>
      <c r="C930" s="2">
        <f>Raw_Transactions!C930</f>
        <v/>
      </c>
      <c r="D930" s="3">
        <f>Raw_Transactions!D930</f>
        <v/>
      </c>
      <c r="E930" s="2">
        <f>Raw_Transactions!E930</f>
        <v/>
      </c>
      <c r="F930" s="2">
        <f>Raw_Transactions!F930</f>
        <v/>
      </c>
      <c r="G930" s="2">
        <f>Raw_Transactions!G930</f>
        <v/>
      </c>
      <c r="H930" s="2">
        <f>XLOOKUP(B930,Raw_Risk_Profiles!$A:$A,Raw_Risk_Profiles!$B:$B,"Not Found")</f>
        <v/>
      </c>
      <c r="I930" s="2">
        <f>XLOOKUP(B930,Raw_Risk_Profiles!$A:$A,Raw_Risk_Profiles!$C:$C,"Missing")</f>
        <v/>
      </c>
      <c r="J930" s="2">
        <f>XLOOKUP(B930,Raw_Risk_Profiles!$A:$A,Raw_Risk_Profiles!$D:$D,"")</f>
        <v/>
      </c>
      <c r="K930" s="2">
        <f>IFERROR(INDEX(Raw_Risk_Profiles!$E:$E,MATCH(B930,Raw_Risk_Profiles!$A:$A,0)),"Unknown")</f>
        <v/>
      </c>
      <c r="L930" s="2">
        <f>IFERROR(XLOOKUP(A930,Raw_Alerts!$B:$B,Raw_Alerts!$A:$A),"No Alert")</f>
        <v/>
      </c>
      <c r="M930" s="2">
        <f>IFERROR(XLOOKUP(A930,Raw_Alerts!$B:$B,Raw_Alerts!$C:$C),"")</f>
        <v/>
      </c>
      <c r="N930" s="2">
        <f>IFERROR(XLOOKUP(A930,Raw_Alerts!$B:$B,Raw_Alerts!$D:$D),"")</f>
        <v/>
      </c>
      <c r="O930" s="2">
        <f>IFERROR(XLOOKUP(A930,Raw_Alerts!$B:$B,Raw_Alerts!$F:$F),"")</f>
        <v/>
      </c>
      <c r="P930" s="2">
        <f>IF(H930="Not Found","CRITICAL: No Risk Profile",IF(I930="Missing","WARN: Missing KYC",IF(I930="Expired","WARN: KYC Expired",IF(I930="Pending","INFO: KYC Pending","OK"))))</f>
        <v/>
      </c>
    </row>
    <row r="931">
      <c r="A931" s="4">
        <f>Raw_Transactions!A931</f>
        <v/>
      </c>
      <c r="B931" s="4">
        <f>Raw_Transactions!B931</f>
        <v/>
      </c>
      <c r="C931" s="4">
        <f>Raw_Transactions!C931</f>
        <v/>
      </c>
      <c r="D931" s="5">
        <f>Raw_Transactions!D931</f>
        <v/>
      </c>
      <c r="E931" s="4">
        <f>Raw_Transactions!E931</f>
        <v/>
      </c>
      <c r="F931" s="4">
        <f>Raw_Transactions!F931</f>
        <v/>
      </c>
      <c r="G931" s="4">
        <f>Raw_Transactions!G931</f>
        <v/>
      </c>
      <c r="H931" s="4">
        <f>XLOOKUP(B931,Raw_Risk_Profiles!$A:$A,Raw_Risk_Profiles!$B:$B,"Not Found")</f>
        <v/>
      </c>
      <c r="I931" s="4">
        <f>XLOOKUP(B931,Raw_Risk_Profiles!$A:$A,Raw_Risk_Profiles!$C:$C,"Missing")</f>
        <v/>
      </c>
      <c r="J931" s="4">
        <f>XLOOKUP(B931,Raw_Risk_Profiles!$A:$A,Raw_Risk_Profiles!$D:$D,"")</f>
        <v/>
      </c>
      <c r="K931" s="4">
        <f>IFERROR(INDEX(Raw_Risk_Profiles!$E:$E,MATCH(B931,Raw_Risk_Profiles!$A:$A,0)),"Unknown")</f>
        <v/>
      </c>
      <c r="L931" s="4">
        <f>IFERROR(XLOOKUP(A931,Raw_Alerts!$B:$B,Raw_Alerts!$A:$A),"No Alert")</f>
        <v/>
      </c>
      <c r="M931" s="4">
        <f>IFERROR(XLOOKUP(A931,Raw_Alerts!$B:$B,Raw_Alerts!$C:$C),"")</f>
        <v/>
      </c>
      <c r="N931" s="4">
        <f>IFERROR(XLOOKUP(A931,Raw_Alerts!$B:$B,Raw_Alerts!$D:$D),"")</f>
        <v/>
      </c>
      <c r="O931" s="4">
        <f>IFERROR(XLOOKUP(A931,Raw_Alerts!$B:$B,Raw_Alerts!$F:$F),"")</f>
        <v/>
      </c>
      <c r="P931" s="4">
        <f>IF(H931="Not Found","CRITICAL: No Risk Profile",IF(I931="Missing","WARN: Missing KYC",IF(I931="Expired","WARN: KYC Expired",IF(I931="Pending","INFO: KYC Pending","OK"))))</f>
        <v/>
      </c>
    </row>
    <row r="932">
      <c r="A932" s="2">
        <f>Raw_Transactions!A932</f>
        <v/>
      </c>
      <c r="B932" s="2">
        <f>Raw_Transactions!B932</f>
        <v/>
      </c>
      <c r="C932" s="2">
        <f>Raw_Transactions!C932</f>
        <v/>
      </c>
      <c r="D932" s="3">
        <f>Raw_Transactions!D932</f>
        <v/>
      </c>
      <c r="E932" s="2">
        <f>Raw_Transactions!E932</f>
        <v/>
      </c>
      <c r="F932" s="2">
        <f>Raw_Transactions!F932</f>
        <v/>
      </c>
      <c r="G932" s="2">
        <f>Raw_Transactions!G932</f>
        <v/>
      </c>
      <c r="H932" s="2">
        <f>XLOOKUP(B932,Raw_Risk_Profiles!$A:$A,Raw_Risk_Profiles!$B:$B,"Not Found")</f>
        <v/>
      </c>
      <c r="I932" s="2">
        <f>XLOOKUP(B932,Raw_Risk_Profiles!$A:$A,Raw_Risk_Profiles!$C:$C,"Missing")</f>
        <v/>
      </c>
      <c r="J932" s="2">
        <f>XLOOKUP(B932,Raw_Risk_Profiles!$A:$A,Raw_Risk_Profiles!$D:$D,"")</f>
        <v/>
      </c>
      <c r="K932" s="2">
        <f>IFERROR(INDEX(Raw_Risk_Profiles!$E:$E,MATCH(B932,Raw_Risk_Profiles!$A:$A,0)),"Unknown")</f>
        <v/>
      </c>
      <c r="L932" s="2">
        <f>IFERROR(XLOOKUP(A932,Raw_Alerts!$B:$B,Raw_Alerts!$A:$A),"No Alert")</f>
        <v/>
      </c>
      <c r="M932" s="2">
        <f>IFERROR(XLOOKUP(A932,Raw_Alerts!$B:$B,Raw_Alerts!$C:$C),"")</f>
        <v/>
      </c>
      <c r="N932" s="2">
        <f>IFERROR(XLOOKUP(A932,Raw_Alerts!$B:$B,Raw_Alerts!$D:$D),"")</f>
        <v/>
      </c>
      <c r="O932" s="2">
        <f>IFERROR(XLOOKUP(A932,Raw_Alerts!$B:$B,Raw_Alerts!$F:$F),"")</f>
        <v/>
      </c>
      <c r="P932" s="2">
        <f>IF(H932="Not Found","CRITICAL: No Risk Profile",IF(I932="Missing","WARN: Missing KYC",IF(I932="Expired","WARN: KYC Expired",IF(I932="Pending","INFO: KYC Pending","OK"))))</f>
        <v/>
      </c>
    </row>
    <row r="933">
      <c r="A933" s="4">
        <f>Raw_Transactions!A933</f>
        <v/>
      </c>
      <c r="B933" s="4">
        <f>Raw_Transactions!B933</f>
        <v/>
      </c>
      <c r="C933" s="4">
        <f>Raw_Transactions!C933</f>
        <v/>
      </c>
      <c r="D933" s="5">
        <f>Raw_Transactions!D933</f>
        <v/>
      </c>
      <c r="E933" s="4">
        <f>Raw_Transactions!E933</f>
        <v/>
      </c>
      <c r="F933" s="4">
        <f>Raw_Transactions!F933</f>
        <v/>
      </c>
      <c r="G933" s="4">
        <f>Raw_Transactions!G933</f>
        <v/>
      </c>
      <c r="H933" s="4">
        <f>XLOOKUP(B933,Raw_Risk_Profiles!$A:$A,Raw_Risk_Profiles!$B:$B,"Not Found")</f>
        <v/>
      </c>
      <c r="I933" s="4">
        <f>XLOOKUP(B933,Raw_Risk_Profiles!$A:$A,Raw_Risk_Profiles!$C:$C,"Missing")</f>
        <v/>
      </c>
      <c r="J933" s="4">
        <f>XLOOKUP(B933,Raw_Risk_Profiles!$A:$A,Raw_Risk_Profiles!$D:$D,"")</f>
        <v/>
      </c>
      <c r="K933" s="4">
        <f>IFERROR(INDEX(Raw_Risk_Profiles!$E:$E,MATCH(B933,Raw_Risk_Profiles!$A:$A,0)),"Unknown")</f>
        <v/>
      </c>
      <c r="L933" s="4">
        <f>IFERROR(XLOOKUP(A933,Raw_Alerts!$B:$B,Raw_Alerts!$A:$A),"No Alert")</f>
        <v/>
      </c>
      <c r="M933" s="4">
        <f>IFERROR(XLOOKUP(A933,Raw_Alerts!$B:$B,Raw_Alerts!$C:$C),"")</f>
        <v/>
      </c>
      <c r="N933" s="4">
        <f>IFERROR(XLOOKUP(A933,Raw_Alerts!$B:$B,Raw_Alerts!$D:$D),"")</f>
        <v/>
      </c>
      <c r="O933" s="4">
        <f>IFERROR(XLOOKUP(A933,Raw_Alerts!$B:$B,Raw_Alerts!$F:$F),"")</f>
        <v/>
      </c>
      <c r="P933" s="4">
        <f>IF(H933="Not Found","CRITICAL: No Risk Profile",IF(I933="Missing","WARN: Missing KYC",IF(I933="Expired","WARN: KYC Expired",IF(I933="Pending","INFO: KYC Pending","OK"))))</f>
        <v/>
      </c>
    </row>
    <row r="934">
      <c r="A934" s="2">
        <f>Raw_Transactions!A934</f>
        <v/>
      </c>
      <c r="B934" s="2">
        <f>Raw_Transactions!B934</f>
        <v/>
      </c>
      <c r="C934" s="2">
        <f>Raw_Transactions!C934</f>
        <v/>
      </c>
      <c r="D934" s="3">
        <f>Raw_Transactions!D934</f>
        <v/>
      </c>
      <c r="E934" s="2">
        <f>Raw_Transactions!E934</f>
        <v/>
      </c>
      <c r="F934" s="2">
        <f>Raw_Transactions!F934</f>
        <v/>
      </c>
      <c r="G934" s="2">
        <f>Raw_Transactions!G934</f>
        <v/>
      </c>
      <c r="H934" s="2">
        <f>XLOOKUP(B934,Raw_Risk_Profiles!$A:$A,Raw_Risk_Profiles!$B:$B,"Not Found")</f>
        <v/>
      </c>
      <c r="I934" s="2">
        <f>XLOOKUP(B934,Raw_Risk_Profiles!$A:$A,Raw_Risk_Profiles!$C:$C,"Missing")</f>
        <v/>
      </c>
      <c r="J934" s="2">
        <f>XLOOKUP(B934,Raw_Risk_Profiles!$A:$A,Raw_Risk_Profiles!$D:$D,"")</f>
        <v/>
      </c>
      <c r="K934" s="2">
        <f>IFERROR(INDEX(Raw_Risk_Profiles!$E:$E,MATCH(B934,Raw_Risk_Profiles!$A:$A,0)),"Unknown")</f>
        <v/>
      </c>
      <c r="L934" s="2">
        <f>IFERROR(XLOOKUP(A934,Raw_Alerts!$B:$B,Raw_Alerts!$A:$A),"No Alert")</f>
        <v/>
      </c>
      <c r="M934" s="2">
        <f>IFERROR(XLOOKUP(A934,Raw_Alerts!$B:$B,Raw_Alerts!$C:$C),"")</f>
        <v/>
      </c>
      <c r="N934" s="2">
        <f>IFERROR(XLOOKUP(A934,Raw_Alerts!$B:$B,Raw_Alerts!$D:$D),"")</f>
        <v/>
      </c>
      <c r="O934" s="2">
        <f>IFERROR(XLOOKUP(A934,Raw_Alerts!$B:$B,Raw_Alerts!$F:$F),"")</f>
        <v/>
      </c>
      <c r="P934" s="2">
        <f>IF(H934="Not Found","CRITICAL: No Risk Profile",IF(I934="Missing","WARN: Missing KYC",IF(I934="Expired","WARN: KYC Expired",IF(I934="Pending","INFO: KYC Pending","OK"))))</f>
        <v/>
      </c>
    </row>
    <row r="935">
      <c r="A935" s="4">
        <f>Raw_Transactions!A935</f>
        <v/>
      </c>
      <c r="B935" s="4">
        <f>Raw_Transactions!B935</f>
        <v/>
      </c>
      <c r="C935" s="4">
        <f>Raw_Transactions!C935</f>
        <v/>
      </c>
      <c r="D935" s="5">
        <f>Raw_Transactions!D935</f>
        <v/>
      </c>
      <c r="E935" s="4">
        <f>Raw_Transactions!E935</f>
        <v/>
      </c>
      <c r="F935" s="4">
        <f>Raw_Transactions!F935</f>
        <v/>
      </c>
      <c r="G935" s="4">
        <f>Raw_Transactions!G935</f>
        <v/>
      </c>
      <c r="H935" s="4">
        <f>XLOOKUP(B935,Raw_Risk_Profiles!$A:$A,Raw_Risk_Profiles!$B:$B,"Not Found")</f>
        <v/>
      </c>
      <c r="I935" s="4">
        <f>XLOOKUP(B935,Raw_Risk_Profiles!$A:$A,Raw_Risk_Profiles!$C:$C,"Missing")</f>
        <v/>
      </c>
      <c r="J935" s="4">
        <f>XLOOKUP(B935,Raw_Risk_Profiles!$A:$A,Raw_Risk_Profiles!$D:$D,"")</f>
        <v/>
      </c>
      <c r="K935" s="4">
        <f>IFERROR(INDEX(Raw_Risk_Profiles!$E:$E,MATCH(B935,Raw_Risk_Profiles!$A:$A,0)),"Unknown")</f>
        <v/>
      </c>
      <c r="L935" s="4">
        <f>IFERROR(XLOOKUP(A935,Raw_Alerts!$B:$B,Raw_Alerts!$A:$A),"No Alert")</f>
        <v/>
      </c>
      <c r="M935" s="4">
        <f>IFERROR(XLOOKUP(A935,Raw_Alerts!$B:$B,Raw_Alerts!$C:$C),"")</f>
        <v/>
      </c>
      <c r="N935" s="4">
        <f>IFERROR(XLOOKUP(A935,Raw_Alerts!$B:$B,Raw_Alerts!$D:$D),"")</f>
        <v/>
      </c>
      <c r="O935" s="4">
        <f>IFERROR(XLOOKUP(A935,Raw_Alerts!$B:$B,Raw_Alerts!$F:$F),"")</f>
        <v/>
      </c>
      <c r="P935" s="4">
        <f>IF(H935="Not Found","CRITICAL: No Risk Profile",IF(I935="Missing","WARN: Missing KYC",IF(I935="Expired","WARN: KYC Expired",IF(I935="Pending","INFO: KYC Pending","OK"))))</f>
        <v/>
      </c>
    </row>
    <row r="936">
      <c r="A936" s="2">
        <f>Raw_Transactions!A936</f>
        <v/>
      </c>
      <c r="B936" s="2">
        <f>Raw_Transactions!B936</f>
        <v/>
      </c>
      <c r="C936" s="2">
        <f>Raw_Transactions!C936</f>
        <v/>
      </c>
      <c r="D936" s="3">
        <f>Raw_Transactions!D936</f>
        <v/>
      </c>
      <c r="E936" s="2">
        <f>Raw_Transactions!E936</f>
        <v/>
      </c>
      <c r="F936" s="2">
        <f>Raw_Transactions!F936</f>
        <v/>
      </c>
      <c r="G936" s="2">
        <f>Raw_Transactions!G936</f>
        <v/>
      </c>
      <c r="H936" s="2">
        <f>XLOOKUP(B936,Raw_Risk_Profiles!$A:$A,Raw_Risk_Profiles!$B:$B,"Not Found")</f>
        <v/>
      </c>
      <c r="I936" s="2">
        <f>XLOOKUP(B936,Raw_Risk_Profiles!$A:$A,Raw_Risk_Profiles!$C:$C,"Missing")</f>
        <v/>
      </c>
      <c r="J936" s="2">
        <f>XLOOKUP(B936,Raw_Risk_Profiles!$A:$A,Raw_Risk_Profiles!$D:$D,"")</f>
        <v/>
      </c>
      <c r="K936" s="2">
        <f>IFERROR(INDEX(Raw_Risk_Profiles!$E:$E,MATCH(B936,Raw_Risk_Profiles!$A:$A,0)),"Unknown")</f>
        <v/>
      </c>
      <c r="L936" s="2">
        <f>IFERROR(XLOOKUP(A936,Raw_Alerts!$B:$B,Raw_Alerts!$A:$A),"No Alert")</f>
        <v/>
      </c>
      <c r="M936" s="2">
        <f>IFERROR(XLOOKUP(A936,Raw_Alerts!$B:$B,Raw_Alerts!$C:$C),"")</f>
        <v/>
      </c>
      <c r="N936" s="2">
        <f>IFERROR(XLOOKUP(A936,Raw_Alerts!$B:$B,Raw_Alerts!$D:$D),"")</f>
        <v/>
      </c>
      <c r="O936" s="2">
        <f>IFERROR(XLOOKUP(A936,Raw_Alerts!$B:$B,Raw_Alerts!$F:$F),"")</f>
        <v/>
      </c>
      <c r="P936" s="2">
        <f>IF(H936="Not Found","CRITICAL: No Risk Profile",IF(I936="Missing","WARN: Missing KYC",IF(I936="Expired","WARN: KYC Expired",IF(I936="Pending","INFO: KYC Pending","OK"))))</f>
        <v/>
      </c>
    </row>
    <row r="937">
      <c r="A937" s="4">
        <f>Raw_Transactions!A937</f>
        <v/>
      </c>
      <c r="B937" s="4">
        <f>Raw_Transactions!B937</f>
        <v/>
      </c>
      <c r="C937" s="4">
        <f>Raw_Transactions!C937</f>
        <v/>
      </c>
      <c r="D937" s="5">
        <f>Raw_Transactions!D937</f>
        <v/>
      </c>
      <c r="E937" s="4">
        <f>Raw_Transactions!E937</f>
        <v/>
      </c>
      <c r="F937" s="4">
        <f>Raw_Transactions!F937</f>
        <v/>
      </c>
      <c r="G937" s="4">
        <f>Raw_Transactions!G937</f>
        <v/>
      </c>
      <c r="H937" s="4">
        <f>XLOOKUP(B937,Raw_Risk_Profiles!$A:$A,Raw_Risk_Profiles!$B:$B,"Not Found")</f>
        <v/>
      </c>
      <c r="I937" s="4">
        <f>XLOOKUP(B937,Raw_Risk_Profiles!$A:$A,Raw_Risk_Profiles!$C:$C,"Missing")</f>
        <v/>
      </c>
      <c r="J937" s="4">
        <f>XLOOKUP(B937,Raw_Risk_Profiles!$A:$A,Raw_Risk_Profiles!$D:$D,"")</f>
        <v/>
      </c>
      <c r="K937" s="4">
        <f>IFERROR(INDEX(Raw_Risk_Profiles!$E:$E,MATCH(B937,Raw_Risk_Profiles!$A:$A,0)),"Unknown")</f>
        <v/>
      </c>
      <c r="L937" s="4">
        <f>IFERROR(XLOOKUP(A937,Raw_Alerts!$B:$B,Raw_Alerts!$A:$A),"No Alert")</f>
        <v/>
      </c>
      <c r="M937" s="4">
        <f>IFERROR(XLOOKUP(A937,Raw_Alerts!$B:$B,Raw_Alerts!$C:$C),"")</f>
        <v/>
      </c>
      <c r="N937" s="4">
        <f>IFERROR(XLOOKUP(A937,Raw_Alerts!$B:$B,Raw_Alerts!$D:$D),"")</f>
        <v/>
      </c>
      <c r="O937" s="4">
        <f>IFERROR(XLOOKUP(A937,Raw_Alerts!$B:$B,Raw_Alerts!$F:$F),"")</f>
        <v/>
      </c>
      <c r="P937" s="4">
        <f>IF(H937="Not Found","CRITICAL: No Risk Profile",IF(I937="Missing","WARN: Missing KYC",IF(I937="Expired","WARN: KYC Expired",IF(I937="Pending","INFO: KYC Pending","OK"))))</f>
        <v/>
      </c>
    </row>
    <row r="938">
      <c r="A938" s="2">
        <f>Raw_Transactions!A938</f>
        <v/>
      </c>
      <c r="B938" s="2">
        <f>Raw_Transactions!B938</f>
        <v/>
      </c>
      <c r="C938" s="2">
        <f>Raw_Transactions!C938</f>
        <v/>
      </c>
      <c r="D938" s="3">
        <f>Raw_Transactions!D938</f>
        <v/>
      </c>
      <c r="E938" s="2">
        <f>Raw_Transactions!E938</f>
        <v/>
      </c>
      <c r="F938" s="2">
        <f>Raw_Transactions!F938</f>
        <v/>
      </c>
      <c r="G938" s="2">
        <f>Raw_Transactions!G938</f>
        <v/>
      </c>
      <c r="H938" s="2">
        <f>XLOOKUP(B938,Raw_Risk_Profiles!$A:$A,Raw_Risk_Profiles!$B:$B,"Not Found")</f>
        <v/>
      </c>
      <c r="I938" s="2">
        <f>XLOOKUP(B938,Raw_Risk_Profiles!$A:$A,Raw_Risk_Profiles!$C:$C,"Missing")</f>
        <v/>
      </c>
      <c r="J938" s="2">
        <f>XLOOKUP(B938,Raw_Risk_Profiles!$A:$A,Raw_Risk_Profiles!$D:$D,"")</f>
        <v/>
      </c>
      <c r="K938" s="2">
        <f>IFERROR(INDEX(Raw_Risk_Profiles!$E:$E,MATCH(B938,Raw_Risk_Profiles!$A:$A,0)),"Unknown")</f>
        <v/>
      </c>
      <c r="L938" s="2">
        <f>IFERROR(XLOOKUP(A938,Raw_Alerts!$B:$B,Raw_Alerts!$A:$A),"No Alert")</f>
        <v/>
      </c>
      <c r="M938" s="2">
        <f>IFERROR(XLOOKUP(A938,Raw_Alerts!$B:$B,Raw_Alerts!$C:$C),"")</f>
        <v/>
      </c>
      <c r="N938" s="2">
        <f>IFERROR(XLOOKUP(A938,Raw_Alerts!$B:$B,Raw_Alerts!$D:$D),"")</f>
        <v/>
      </c>
      <c r="O938" s="2">
        <f>IFERROR(XLOOKUP(A938,Raw_Alerts!$B:$B,Raw_Alerts!$F:$F),"")</f>
        <v/>
      </c>
      <c r="P938" s="2">
        <f>IF(H938="Not Found","CRITICAL: No Risk Profile",IF(I938="Missing","WARN: Missing KYC",IF(I938="Expired","WARN: KYC Expired",IF(I938="Pending","INFO: KYC Pending","OK"))))</f>
        <v/>
      </c>
    </row>
    <row r="939">
      <c r="A939" s="4">
        <f>Raw_Transactions!A939</f>
        <v/>
      </c>
      <c r="B939" s="4">
        <f>Raw_Transactions!B939</f>
        <v/>
      </c>
      <c r="C939" s="4">
        <f>Raw_Transactions!C939</f>
        <v/>
      </c>
      <c r="D939" s="5">
        <f>Raw_Transactions!D939</f>
        <v/>
      </c>
      <c r="E939" s="4">
        <f>Raw_Transactions!E939</f>
        <v/>
      </c>
      <c r="F939" s="4">
        <f>Raw_Transactions!F939</f>
        <v/>
      </c>
      <c r="G939" s="4">
        <f>Raw_Transactions!G939</f>
        <v/>
      </c>
      <c r="H939" s="4">
        <f>XLOOKUP(B939,Raw_Risk_Profiles!$A:$A,Raw_Risk_Profiles!$B:$B,"Not Found")</f>
        <v/>
      </c>
      <c r="I939" s="4">
        <f>XLOOKUP(B939,Raw_Risk_Profiles!$A:$A,Raw_Risk_Profiles!$C:$C,"Missing")</f>
        <v/>
      </c>
      <c r="J939" s="4">
        <f>XLOOKUP(B939,Raw_Risk_Profiles!$A:$A,Raw_Risk_Profiles!$D:$D,"")</f>
        <v/>
      </c>
      <c r="K939" s="4">
        <f>IFERROR(INDEX(Raw_Risk_Profiles!$E:$E,MATCH(B939,Raw_Risk_Profiles!$A:$A,0)),"Unknown")</f>
        <v/>
      </c>
      <c r="L939" s="4">
        <f>IFERROR(XLOOKUP(A939,Raw_Alerts!$B:$B,Raw_Alerts!$A:$A),"No Alert")</f>
        <v/>
      </c>
      <c r="M939" s="4">
        <f>IFERROR(XLOOKUP(A939,Raw_Alerts!$B:$B,Raw_Alerts!$C:$C),"")</f>
        <v/>
      </c>
      <c r="N939" s="4">
        <f>IFERROR(XLOOKUP(A939,Raw_Alerts!$B:$B,Raw_Alerts!$D:$D),"")</f>
        <v/>
      </c>
      <c r="O939" s="4">
        <f>IFERROR(XLOOKUP(A939,Raw_Alerts!$B:$B,Raw_Alerts!$F:$F),"")</f>
        <v/>
      </c>
      <c r="P939" s="4">
        <f>IF(H939="Not Found","CRITICAL: No Risk Profile",IF(I939="Missing","WARN: Missing KYC",IF(I939="Expired","WARN: KYC Expired",IF(I939="Pending","INFO: KYC Pending","OK"))))</f>
        <v/>
      </c>
    </row>
    <row r="940">
      <c r="A940" s="2">
        <f>Raw_Transactions!A940</f>
        <v/>
      </c>
      <c r="B940" s="2">
        <f>Raw_Transactions!B940</f>
        <v/>
      </c>
      <c r="C940" s="2">
        <f>Raw_Transactions!C940</f>
        <v/>
      </c>
      <c r="D940" s="3">
        <f>Raw_Transactions!D940</f>
        <v/>
      </c>
      <c r="E940" s="2">
        <f>Raw_Transactions!E940</f>
        <v/>
      </c>
      <c r="F940" s="2">
        <f>Raw_Transactions!F940</f>
        <v/>
      </c>
      <c r="G940" s="2">
        <f>Raw_Transactions!G940</f>
        <v/>
      </c>
      <c r="H940" s="2">
        <f>XLOOKUP(B940,Raw_Risk_Profiles!$A:$A,Raw_Risk_Profiles!$B:$B,"Not Found")</f>
        <v/>
      </c>
      <c r="I940" s="2">
        <f>XLOOKUP(B940,Raw_Risk_Profiles!$A:$A,Raw_Risk_Profiles!$C:$C,"Missing")</f>
        <v/>
      </c>
      <c r="J940" s="2">
        <f>XLOOKUP(B940,Raw_Risk_Profiles!$A:$A,Raw_Risk_Profiles!$D:$D,"")</f>
        <v/>
      </c>
      <c r="K940" s="2">
        <f>IFERROR(INDEX(Raw_Risk_Profiles!$E:$E,MATCH(B940,Raw_Risk_Profiles!$A:$A,0)),"Unknown")</f>
        <v/>
      </c>
      <c r="L940" s="2">
        <f>IFERROR(XLOOKUP(A940,Raw_Alerts!$B:$B,Raw_Alerts!$A:$A),"No Alert")</f>
        <v/>
      </c>
      <c r="M940" s="2">
        <f>IFERROR(XLOOKUP(A940,Raw_Alerts!$B:$B,Raw_Alerts!$C:$C),"")</f>
        <v/>
      </c>
      <c r="N940" s="2">
        <f>IFERROR(XLOOKUP(A940,Raw_Alerts!$B:$B,Raw_Alerts!$D:$D),"")</f>
        <v/>
      </c>
      <c r="O940" s="2">
        <f>IFERROR(XLOOKUP(A940,Raw_Alerts!$B:$B,Raw_Alerts!$F:$F),"")</f>
        <v/>
      </c>
      <c r="P940" s="2">
        <f>IF(H940="Not Found","CRITICAL: No Risk Profile",IF(I940="Missing","WARN: Missing KYC",IF(I940="Expired","WARN: KYC Expired",IF(I940="Pending","INFO: KYC Pending","OK"))))</f>
        <v/>
      </c>
    </row>
    <row r="941">
      <c r="A941" s="4">
        <f>Raw_Transactions!A941</f>
        <v/>
      </c>
      <c r="B941" s="4">
        <f>Raw_Transactions!B941</f>
        <v/>
      </c>
      <c r="C941" s="4">
        <f>Raw_Transactions!C941</f>
        <v/>
      </c>
      <c r="D941" s="5">
        <f>Raw_Transactions!D941</f>
        <v/>
      </c>
      <c r="E941" s="4">
        <f>Raw_Transactions!E941</f>
        <v/>
      </c>
      <c r="F941" s="4">
        <f>Raw_Transactions!F941</f>
        <v/>
      </c>
      <c r="G941" s="4">
        <f>Raw_Transactions!G941</f>
        <v/>
      </c>
      <c r="H941" s="4">
        <f>XLOOKUP(B941,Raw_Risk_Profiles!$A:$A,Raw_Risk_Profiles!$B:$B,"Not Found")</f>
        <v/>
      </c>
      <c r="I941" s="4">
        <f>XLOOKUP(B941,Raw_Risk_Profiles!$A:$A,Raw_Risk_Profiles!$C:$C,"Missing")</f>
        <v/>
      </c>
      <c r="J941" s="4">
        <f>XLOOKUP(B941,Raw_Risk_Profiles!$A:$A,Raw_Risk_Profiles!$D:$D,"")</f>
        <v/>
      </c>
      <c r="K941" s="4">
        <f>IFERROR(INDEX(Raw_Risk_Profiles!$E:$E,MATCH(B941,Raw_Risk_Profiles!$A:$A,0)),"Unknown")</f>
        <v/>
      </c>
      <c r="L941" s="4">
        <f>IFERROR(XLOOKUP(A941,Raw_Alerts!$B:$B,Raw_Alerts!$A:$A),"No Alert")</f>
        <v/>
      </c>
      <c r="M941" s="4">
        <f>IFERROR(XLOOKUP(A941,Raw_Alerts!$B:$B,Raw_Alerts!$C:$C),"")</f>
        <v/>
      </c>
      <c r="N941" s="4">
        <f>IFERROR(XLOOKUP(A941,Raw_Alerts!$B:$B,Raw_Alerts!$D:$D),"")</f>
        <v/>
      </c>
      <c r="O941" s="4">
        <f>IFERROR(XLOOKUP(A941,Raw_Alerts!$B:$B,Raw_Alerts!$F:$F),"")</f>
        <v/>
      </c>
      <c r="P941" s="4">
        <f>IF(H941="Not Found","CRITICAL: No Risk Profile",IF(I941="Missing","WARN: Missing KYC",IF(I941="Expired","WARN: KYC Expired",IF(I941="Pending","INFO: KYC Pending","OK"))))</f>
        <v/>
      </c>
    </row>
    <row r="942">
      <c r="A942" s="2">
        <f>Raw_Transactions!A942</f>
        <v/>
      </c>
      <c r="B942" s="2">
        <f>Raw_Transactions!B942</f>
        <v/>
      </c>
      <c r="C942" s="2">
        <f>Raw_Transactions!C942</f>
        <v/>
      </c>
      <c r="D942" s="3">
        <f>Raw_Transactions!D942</f>
        <v/>
      </c>
      <c r="E942" s="2">
        <f>Raw_Transactions!E942</f>
        <v/>
      </c>
      <c r="F942" s="2">
        <f>Raw_Transactions!F942</f>
        <v/>
      </c>
      <c r="G942" s="2">
        <f>Raw_Transactions!G942</f>
        <v/>
      </c>
      <c r="H942" s="2">
        <f>XLOOKUP(B942,Raw_Risk_Profiles!$A:$A,Raw_Risk_Profiles!$B:$B,"Not Found")</f>
        <v/>
      </c>
      <c r="I942" s="2">
        <f>XLOOKUP(B942,Raw_Risk_Profiles!$A:$A,Raw_Risk_Profiles!$C:$C,"Missing")</f>
        <v/>
      </c>
      <c r="J942" s="2">
        <f>XLOOKUP(B942,Raw_Risk_Profiles!$A:$A,Raw_Risk_Profiles!$D:$D,"")</f>
        <v/>
      </c>
      <c r="K942" s="2">
        <f>IFERROR(INDEX(Raw_Risk_Profiles!$E:$E,MATCH(B942,Raw_Risk_Profiles!$A:$A,0)),"Unknown")</f>
        <v/>
      </c>
      <c r="L942" s="2">
        <f>IFERROR(XLOOKUP(A942,Raw_Alerts!$B:$B,Raw_Alerts!$A:$A),"No Alert")</f>
        <v/>
      </c>
      <c r="M942" s="2">
        <f>IFERROR(XLOOKUP(A942,Raw_Alerts!$B:$B,Raw_Alerts!$C:$C),"")</f>
        <v/>
      </c>
      <c r="N942" s="2">
        <f>IFERROR(XLOOKUP(A942,Raw_Alerts!$B:$B,Raw_Alerts!$D:$D),"")</f>
        <v/>
      </c>
      <c r="O942" s="2">
        <f>IFERROR(XLOOKUP(A942,Raw_Alerts!$B:$B,Raw_Alerts!$F:$F),"")</f>
        <v/>
      </c>
      <c r="P942" s="2">
        <f>IF(H942="Not Found","CRITICAL: No Risk Profile",IF(I942="Missing","WARN: Missing KYC",IF(I942="Expired","WARN: KYC Expired",IF(I942="Pending","INFO: KYC Pending","OK"))))</f>
        <v/>
      </c>
    </row>
    <row r="943">
      <c r="A943" s="4">
        <f>Raw_Transactions!A943</f>
        <v/>
      </c>
      <c r="B943" s="4">
        <f>Raw_Transactions!B943</f>
        <v/>
      </c>
      <c r="C943" s="4">
        <f>Raw_Transactions!C943</f>
        <v/>
      </c>
      <c r="D943" s="5">
        <f>Raw_Transactions!D943</f>
        <v/>
      </c>
      <c r="E943" s="4">
        <f>Raw_Transactions!E943</f>
        <v/>
      </c>
      <c r="F943" s="4">
        <f>Raw_Transactions!F943</f>
        <v/>
      </c>
      <c r="G943" s="4">
        <f>Raw_Transactions!G943</f>
        <v/>
      </c>
      <c r="H943" s="4">
        <f>XLOOKUP(B943,Raw_Risk_Profiles!$A:$A,Raw_Risk_Profiles!$B:$B,"Not Found")</f>
        <v/>
      </c>
      <c r="I943" s="4">
        <f>XLOOKUP(B943,Raw_Risk_Profiles!$A:$A,Raw_Risk_Profiles!$C:$C,"Missing")</f>
        <v/>
      </c>
      <c r="J943" s="4">
        <f>XLOOKUP(B943,Raw_Risk_Profiles!$A:$A,Raw_Risk_Profiles!$D:$D,"")</f>
        <v/>
      </c>
      <c r="K943" s="4">
        <f>IFERROR(INDEX(Raw_Risk_Profiles!$E:$E,MATCH(B943,Raw_Risk_Profiles!$A:$A,0)),"Unknown")</f>
        <v/>
      </c>
      <c r="L943" s="4">
        <f>IFERROR(XLOOKUP(A943,Raw_Alerts!$B:$B,Raw_Alerts!$A:$A),"No Alert")</f>
        <v/>
      </c>
      <c r="M943" s="4">
        <f>IFERROR(XLOOKUP(A943,Raw_Alerts!$B:$B,Raw_Alerts!$C:$C),"")</f>
        <v/>
      </c>
      <c r="N943" s="4">
        <f>IFERROR(XLOOKUP(A943,Raw_Alerts!$B:$B,Raw_Alerts!$D:$D),"")</f>
        <v/>
      </c>
      <c r="O943" s="4">
        <f>IFERROR(XLOOKUP(A943,Raw_Alerts!$B:$B,Raw_Alerts!$F:$F),"")</f>
        <v/>
      </c>
      <c r="P943" s="4">
        <f>IF(H943="Not Found","CRITICAL: No Risk Profile",IF(I943="Missing","WARN: Missing KYC",IF(I943="Expired","WARN: KYC Expired",IF(I943="Pending","INFO: KYC Pending","OK"))))</f>
        <v/>
      </c>
    </row>
    <row r="944">
      <c r="A944" s="2">
        <f>Raw_Transactions!A944</f>
        <v/>
      </c>
      <c r="B944" s="2">
        <f>Raw_Transactions!B944</f>
        <v/>
      </c>
      <c r="C944" s="2">
        <f>Raw_Transactions!C944</f>
        <v/>
      </c>
      <c r="D944" s="3">
        <f>Raw_Transactions!D944</f>
        <v/>
      </c>
      <c r="E944" s="2">
        <f>Raw_Transactions!E944</f>
        <v/>
      </c>
      <c r="F944" s="2">
        <f>Raw_Transactions!F944</f>
        <v/>
      </c>
      <c r="G944" s="2">
        <f>Raw_Transactions!G944</f>
        <v/>
      </c>
      <c r="H944" s="2">
        <f>XLOOKUP(B944,Raw_Risk_Profiles!$A:$A,Raw_Risk_Profiles!$B:$B,"Not Found")</f>
        <v/>
      </c>
      <c r="I944" s="2">
        <f>XLOOKUP(B944,Raw_Risk_Profiles!$A:$A,Raw_Risk_Profiles!$C:$C,"Missing")</f>
        <v/>
      </c>
      <c r="J944" s="2">
        <f>XLOOKUP(B944,Raw_Risk_Profiles!$A:$A,Raw_Risk_Profiles!$D:$D,"")</f>
        <v/>
      </c>
      <c r="K944" s="2">
        <f>IFERROR(INDEX(Raw_Risk_Profiles!$E:$E,MATCH(B944,Raw_Risk_Profiles!$A:$A,0)),"Unknown")</f>
        <v/>
      </c>
      <c r="L944" s="2">
        <f>IFERROR(XLOOKUP(A944,Raw_Alerts!$B:$B,Raw_Alerts!$A:$A),"No Alert")</f>
        <v/>
      </c>
      <c r="M944" s="2">
        <f>IFERROR(XLOOKUP(A944,Raw_Alerts!$B:$B,Raw_Alerts!$C:$C),"")</f>
        <v/>
      </c>
      <c r="N944" s="2">
        <f>IFERROR(XLOOKUP(A944,Raw_Alerts!$B:$B,Raw_Alerts!$D:$D),"")</f>
        <v/>
      </c>
      <c r="O944" s="2">
        <f>IFERROR(XLOOKUP(A944,Raw_Alerts!$B:$B,Raw_Alerts!$F:$F),"")</f>
        <v/>
      </c>
      <c r="P944" s="2">
        <f>IF(H944="Not Found","CRITICAL: No Risk Profile",IF(I944="Missing","WARN: Missing KYC",IF(I944="Expired","WARN: KYC Expired",IF(I944="Pending","INFO: KYC Pending","OK"))))</f>
        <v/>
      </c>
    </row>
    <row r="945">
      <c r="A945" s="4">
        <f>Raw_Transactions!A945</f>
        <v/>
      </c>
      <c r="B945" s="4">
        <f>Raw_Transactions!B945</f>
        <v/>
      </c>
      <c r="C945" s="4">
        <f>Raw_Transactions!C945</f>
        <v/>
      </c>
      <c r="D945" s="5">
        <f>Raw_Transactions!D945</f>
        <v/>
      </c>
      <c r="E945" s="4">
        <f>Raw_Transactions!E945</f>
        <v/>
      </c>
      <c r="F945" s="4">
        <f>Raw_Transactions!F945</f>
        <v/>
      </c>
      <c r="G945" s="4">
        <f>Raw_Transactions!G945</f>
        <v/>
      </c>
      <c r="H945" s="4">
        <f>XLOOKUP(B945,Raw_Risk_Profiles!$A:$A,Raw_Risk_Profiles!$B:$B,"Not Found")</f>
        <v/>
      </c>
      <c r="I945" s="4">
        <f>XLOOKUP(B945,Raw_Risk_Profiles!$A:$A,Raw_Risk_Profiles!$C:$C,"Missing")</f>
        <v/>
      </c>
      <c r="J945" s="4">
        <f>XLOOKUP(B945,Raw_Risk_Profiles!$A:$A,Raw_Risk_Profiles!$D:$D,"")</f>
        <v/>
      </c>
      <c r="K945" s="4">
        <f>IFERROR(INDEX(Raw_Risk_Profiles!$E:$E,MATCH(B945,Raw_Risk_Profiles!$A:$A,0)),"Unknown")</f>
        <v/>
      </c>
      <c r="L945" s="4">
        <f>IFERROR(XLOOKUP(A945,Raw_Alerts!$B:$B,Raw_Alerts!$A:$A),"No Alert")</f>
        <v/>
      </c>
      <c r="M945" s="4">
        <f>IFERROR(XLOOKUP(A945,Raw_Alerts!$B:$B,Raw_Alerts!$C:$C),"")</f>
        <v/>
      </c>
      <c r="N945" s="4">
        <f>IFERROR(XLOOKUP(A945,Raw_Alerts!$B:$B,Raw_Alerts!$D:$D),"")</f>
        <v/>
      </c>
      <c r="O945" s="4">
        <f>IFERROR(XLOOKUP(A945,Raw_Alerts!$B:$B,Raw_Alerts!$F:$F),"")</f>
        <v/>
      </c>
      <c r="P945" s="4">
        <f>IF(H945="Not Found","CRITICAL: No Risk Profile",IF(I945="Missing","WARN: Missing KYC",IF(I945="Expired","WARN: KYC Expired",IF(I945="Pending","INFO: KYC Pending","OK"))))</f>
        <v/>
      </c>
    </row>
    <row r="946">
      <c r="A946" s="2">
        <f>Raw_Transactions!A946</f>
        <v/>
      </c>
      <c r="B946" s="2">
        <f>Raw_Transactions!B946</f>
        <v/>
      </c>
      <c r="C946" s="2">
        <f>Raw_Transactions!C946</f>
        <v/>
      </c>
      <c r="D946" s="3">
        <f>Raw_Transactions!D946</f>
        <v/>
      </c>
      <c r="E946" s="2">
        <f>Raw_Transactions!E946</f>
        <v/>
      </c>
      <c r="F946" s="2">
        <f>Raw_Transactions!F946</f>
        <v/>
      </c>
      <c r="G946" s="2">
        <f>Raw_Transactions!G946</f>
        <v/>
      </c>
      <c r="H946" s="2">
        <f>XLOOKUP(B946,Raw_Risk_Profiles!$A:$A,Raw_Risk_Profiles!$B:$B,"Not Found")</f>
        <v/>
      </c>
      <c r="I946" s="2">
        <f>XLOOKUP(B946,Raw_Risk_Profiles!$A:$A,Raw_Risk_Profiles!$C:$C,"Missing")</f>
        <v/>
      </c>
      <c r="J946" s="2">
        <f>XLOOKUP(B946,Raw_Risk_Profiles!$A:$A,Raw_Risk_Profiles!$D:$D,"")</f>
        <v/>
      </c>
      <c r="K946" s="2">
        <f>IFERROR(INDEX(Raw_Risk_Profiles!$E:$E,MATCH(B946,Raw_Risk_Profiles!$A:$A,0)),"Unknown")</f>
        <v/>
      </c>
      <c r="L946" s="2">
        <f>IFERROR(XLOOKUP(A946,Raw_Alerts!$B:$B,Raw_Alerts!$A:$A),"No Alert")</f>
        <v/>
      </c>
      <c r="M946" s="2">
        <f>IFERROR(XLOOKUP(A946,Raw_Alerts!$B:$B,Raw_Alerts!$C:$C),"")</f>
        <v/>
      </c>
      <c r="N946" s="2">
        <f>IFERROR(XLOOKUP(A946,Raw_Alerts!$B:$B,Raw_Alerts!$D:$D),"")</f>
        <v/>
      </c>
      <c r="O946" s="2">
        <f>IFERROR(XLOOKUP(A946,Raw_Alerts!$B:$B,Raw_Alerts!$F:$F),"")</f>
        <v/>
      </c>
      <c r="P946" s="2">
        <f>IF(H946="Not Found","CRITICAL: No Risk Profile",IF(I946="Missing","WARN: Missing KYC",IF(I946="Expired","WARN: KYC Expired",IF(I946="Pending","INFO: KYC Pending","OK"))))</f>
        <v/>
      </c>
    </row>
    <row r="947">
      <c r="A947" s="4">
        <f>Raw_Transactions!A947</f>
        <v/>
      </c>
      <c r="B947" s="4">
        <f>Raw_Transactions!B947</f>
        <v/>
      </c>
      <c r="C947" s="4">
        <f>Raw_Transactions!C947</f>
        <v/>
      </c>
      <c r="D947" s="5">
        <f>Raw_Transactions!D947</f>
        <v/>
      </c>
      <c r="E947" s="4">
        <f>Raw_Transactions!E947</f>
        <v/>
      </c>
      <c r="F947" s="4">
        <f>Raw_Transactions!F947</f>
        <v/>
      </c>
      <c r="G947" s="4">
        <f>Raw_Transactions!G947</f>
        <v/>
      </c>
      <c r="H947" s="4">
        <f>XLOOKUP(B947,Raw_Risk_Profiles!$A:$A,Raw_Risk_Profiles!$B:$B,"Not Found")</f>
        <v/>
      </c>
      <c r="I947" s="4">
        <f>XLOOKUP(B947,Raw_Risk_Profiles!$A:$A,Raw_Risk_Profiles!$C:$C,"Missing")</f>
        <v/>
      </c>
      <c r="J947" s="4">
        <f>XLOOKUP(B947,Raw_Risk_Profiles!$A:$A,Raw_Risk_Profiles!$D:$D,"")</f>
        <v/>
      </c>
      <c r="K947" s="4">
        <f>IFERROR(INDEX(Raw_Risk_Profiles!$E:$E,MATCH(B947,Raw_Risk_Profiles!$A:$A,0)),"Unknown")</f>
        <v/>
      </c>
      <c r="L947" s="4">
        <f>IFERROR(XLOOKUP(A947,Raw_Alerts!$B:$B,Raw_Alerts!$A:$A),"No Alert")</f>
        <v/>
      </c>
      <c r="M947" s="4">
        <f>IFERROR(XLOOKUP(A947,Raw_Alerts!$B:$B,Raw_Alerts!$C:$C),"")</f>
        <v/>
      </c>
      <c r="N947" s="4">
        <f>IFERROR(XLOOKUP(A947,Raw_Alerts!$B:$B,Raw_Alerts!$D:$D),"")</f>
        <v/>
      </c>
      <c r="O947" s="4">
        <f>IFERROR(XLOOKUP(A947,Raw_Alerts!$B:$B,Raw_Alerts!$F:$F),"")</f>
        <v/>
      </c>
      <c r="P947" s="4">
        <f>IF(H947="Not Found","CRITICAL: No Risk Profile",IF(I947="Missing","WARN: Missing KYC",IF(I947="Expired","WARN: KYC Expired",IF(I947="Pending","INFO: KYC Pending","OK"))))</f>
        <v/>
      </c>
    </row>
    <row r="948">
      <c r="A948" s="2">
        <f>Raw_Transactions!A948</f>
        <v/>
      </c>
      <c r="B948" s="2">
        <f>Raw_Transactions!B948</f>
        <v/>
      </c>
      <c r="C948" s="2">
        <f>Raw_Transactions!C948</f>
        <v/>
      </c>
      <c r="D948" s="3">
        <f>Raw_Transactions!D948</f>
        <v/>
      </c>
      <c r="E948" s="2">
        <f>Raw_Transactions!E948</f>
        <v/>
      </c>
      <c r="F948" s="2">
        <f>Raw_Transactions!F948</f>
        <v/>
      </c>
      <c r="G948" s="2">
        <f>Raw_Transactions!G948</f>
        <v/>
      </c>
      <c r="H948" s="2">
        <f>XLOOKUP(B948,Raw_Risk_Profiles!$A:$A,Raw_Risk_Profiles!$B:$B,"Not Found")</f>
        <v/>
      </c>
      <c r="I948" s="2">
        <f>XLOOKUP(B948,Raw_Risk_Profiles!$A:$A,Raw_Risk_Profiles!$C:$C,"Missing")</f>
        <v/>
      </c>
      <c r="J948" s="2">
        <f>XLOOKUP(B948,Raw_Risk_Profiles!$A:$A,Raw_Risk_Profiles!$D:$D,"")</f>
        <v/>
      </c>
      <c r="K948" s="2">
        <f>IFERROR(INDEX(Raw_Risk_Profiles!$E:$E,MATCH(B948,Raw_Risk_Profiles!$A:$A,0)),"Unknown")</f>
        <v/>
      </c>
      <c r="L948" s="2">
        <f>IFERROR(XLOOKUP(A948,Raw_Alerts!$B:$B,Raw_Alerts!$A:$A),"No Alert")</f>
        <v/>
      </c>
      <c r="M948" s="2">
        <f>IFERROR(XLOOKUP(A948,Raw_Alerts!$B:$B,Raw_Alerts!$C:$C),"")</f>
        <v/>
      </c>
      <c r="N948" s="2">
        <f>IFERROR(XLOOKUP(A948,Raw_Alerts!$B:$B,Raw_Alerts!$D:$D),"")</f>
        <v/>
      </c>
      <c r="O948" s="2">
        <f>IFERROR(XLOOKUP(A948,Raw_Alerts!$B:$B,Raw_Alerts!$F:$F),"")</f>
        <v/>
      </c>
      <c r="P948" s="2">
        <f>IF(H948="Not Found","CRITICAL: No Risk Profile",IF(I948="Missing","WARN: Missing KYC",IF(I948="Expired","WARN: KYC Expired",IF(I948="Pending","INFO: KYC Pending","OK"))))</f>
        <v/>
      </c>
    </row>
    <row r="949">
      <c r="A949" s="4">
        <f>Raw_Transactions!A949</f>
        <v/>
      </c>
      <c r="B949" s="4">
        <f>Raw_Transactions!B949</f>
        <v/>
      </c>
      <c r="C949" s="4">
        <f>Raw_Transactions!C949</f>
        <v/>
      </c>
      <c r="D949" s="5">
        <f>Raw_Transactions!D949</f>
        <v/>
      </c>
      <c r="E949" s="4">
        <f>Raw_Transactions!E949</f>
        <v/>
      </c>
      <c r="F949" s="4">
        <f>Raw_Transactions!F949</f>
        <v/>
      </c>
      <c r="G949" s="4">
        <f>Raw_Transactions!G949</f>
        <v/>
      </c>
      <c r="H949" s="4">
        <f>XLOOKUP(B949,Raw_Risk_Profiles!$A:$A,Raw_Risk_Profiles!$B:$B,"Not Found")</f>
        <v/>
      </c>
      <c r="I949" s="4">
        <f>XLOOKUP(B949,Raw_Risk_Profiles!$A:$A,Raw_Risk_Profiles!$C:$C,"Missing")</f>
        <v/>
      </c>
      <c r="J949" s="4">
        <f>XLOOKUP(B949,Raw_Risk_Profiles!$A:$A,Raw_Risk_Profiles!$D:$D,"")</f>
        <v/>
      </c>
      <c r="K949" s="4">
        <f>IFERROR(INDEX(Raw_Risk_Profiles!$E:$E,MATCH(B949,Raw_Risk_Profiles!$A:$A,0)),"Unknown")</f>
        <v/>
      </c>
      <c r="L949" s="4">
        <f>IFERROR(XLOOKUP(A949,Raw_Alerts!$B:$B,Raw_Alerts!$A:$A),"No Alert")</f>
        <v/>
      </c>
      <c r="M949" s="4">
        <f>IFERROR(XLOOKUP(A949,Raw_Alerts!$B:$B,Raw_Alerts!$C:$C),"")</f>
        <v/>
      </c>
      <c r="N949" s="4">
        <f>IFERROR(XLOOKUP(A949,Raw_Alerts!$B:$B,Raw_Alerts!$D:$D),"")</f>
        <v/>
      </c>
      <c r="O949" s="4">
        <f>IFERROR(XLOOKUP(A949,Raw_Alerts!$B:$B,Raw_Alerts!$F:$F),"")</f>
        <v/>
      </c>
      <c r="P949" s="4">
        <f>IF(H949="Not Found","CRITICAL: No Risk Profile",IF(I949="Missing","WARN: Missing KYC",IF(I949="Expired","WARN: KYC Expired",IF(I949="Pending","INFO: KYC Pending","OK"))))</f>
        <v/>
      </c>
    </row>
    <row r="950">
      <c r="A950" s="2">
        <f>Raw_Transactions!A950</f>
        <v/>
      </c>
      <c r="B950" s="2">
        <f>Raw_Transactions!B950</f>
        <v/>
      </c>
      <c r="C950" s="2">
        <f>Raw_Transactions!C950</f>
        <v/>
      </c>
      <c r="D950" s="3">
        <f>Raw_Transactions!D950</f>
        <v/>
      </c>
      <c r="E950" s="2">
        <f>Raw_Transactions!E950</f>
        <v/>
      </c>
      <c r="F950" s="2">
        <f>Raw_Transactions!F950</f>
        <v/>
      </c>
      <c r="G950" s="2">
        <f>Raw_Transactions!G950</f>
        <v/>
      </c>
      <c r="H950" s="2">
        <f>XLOOKUP(B950,Raw_Risk_Profiles!$A:$A,Raw_Risk_Profiles!$B:$B,"Not Found")</f>
        <v/>
      </c>
      <c r="I950" s="2">
        <f>XLOOKUP(B950,Raw_Risk_Profiles!$A:$A,Raw_Risk_Profiles!$C:$C,"Missing")</f>
        <v/>
      </c>
      <c r="J950" s="2">
        <f>XLOOKUP(B950,Raw_Risk_Profiles!$A:$A,Raw_Risk_Profiles!$D:$D,"")</f>
        <v/>
      </c>
      <c r="K950" s="2">
        <f>IFERROR(INDEX(Raw_Risk_Profiles!$E:$E,MATCH(B950,Raw_Risk_Profiles!$A:$A,0)),"Unknown")</f>
        <v/>
      </c>
      <c r="L950" s="2">
        <f>IFERROR(XLOOKUP(A950,Raw_Alerts!$B:$B,Raw_Alerts!$A:$A),"No Alert")</f>
        <v/>
      </c>
      <c r="M950" s="2">
        <f>IFERROR(XLOOKUP(A950,Raw_Alerts!$B:$B,Raw_Alerts!$C:$C),"")</f>
        <v/>
      </c>
      <c r="N950" s="2">
        <f>IFERROR(XLOOKUP(A950,Raw_Alerts!$B:$B,Raw_Alerts!$D:$D),"")</f>
        <v/>
      </c>
      <c r="O950" s="2">
        <f>IFERROR(XLOOKUP(A950,Raw_Alerts!$B:$B,Raw_Alerts!$F:$F),"")</f>
        <v/>
      </c>
      <c r="P950" s="2">
        <f>IF(H950="Not Found","CRITICAL: No Risk Profile",IF(I950="Missing","WARN: Missing KYC",IF(I950="Expired","WARN: KYC Expired",IF(I950="Pending","INFO: KYC Pending","OK"))))</f>
        <v/>
      </c>
    </row>
    <row r="951">
      <c r="A951" s="4">
        <f>Raw_Transactions!A951</f>
        <v/>
      </c>
      <c r="B951" s="4">
        <f>Raw_Transactions!B951</f>
        <v/>
      </c>
      <c r="C951" s="4">
        <f>Raw_Transactions!C951</f>
        <v/>
      </c>
      <c r="D951" s="5">
        <f>Raw_Transactions!D951</f>
        <v/>
      </c>
      <c r="E951" s="4">
        <f>Raw_Transactions!E951</f>
        <v/>
      </c>
      <c r="F951" s="4">
        <f>Raw_Transactions!F951</f>
        <v/>
      </c>
      <c r="G951" s="4">
        <f>Raw_Transactions!G951</f>
        <v/>
      </c>
      <c r="H951" s="4">
        <f>XLOOKUP(B951,Raw_Risk_Profiles!$A:$A,Raw_Risk_Profiles!$B:$B,"Not Found")</f>
        <v/>
      </c>
      <c r="I951" s="4">
        <f>XLOOKUP(B951,Raw_Risk_Profiles!$A:$A,Raw_Risk_Profiles!$C:$C,"Missing")</f>
        <v/>
      </c>
      <c r="J951" s="4">
        <f>XLOOKUP(B951,Raw_Risk_Profiles!$A:$A,Raw_Risk_Profiles!$D:$D,"")</f>
        <v/>
      </c>
      <c r="K951" s="4">
        <f>IFERROR(INDEX(Raw_Risk_Profiles!$E:$E,MATCH(B951,Raw_Risk_Profiles!$A:$A,0)),"Unknown")</f>
        <v/>
      </c>
      <c r="L951" s="4">
        <f>IFERROR(XLOOKUP(A951,Raw_Alerts!$B:$B,Raw_Alerts!$A:$A),"No Alert")</f>
        <v/>
      </c>
      <c r="M951" s="4">
        <f>IFERROR(XLOOKUP(A951,Raw_Alerts!$B:$B,Raw_Alerts!$C:$C),"")</f>
        <v/>
      </c>
      <c r="N951" s="4">
        <f>IFERROR(XLOOKUP(A951,Raw_Alerts!$B:$B,Raw_Alerts!$D:$D),"")</f>
        <v/>
      </c>
      <c r="O951" s="4">
        <f>IFERROR(XLOOKUP(A951,Raw_Alerts!$B:$B,Raw_Alerts!$F:$F),"")</f>
        <v/>
      </c>
      <c r="P951" s="4">
        <f>IF(H951="Not Found","CRITICAL: No Risk Profile",IF(I951="Missing","WARN: Missing KYC",IF(I951="Expired","WARN: KYC Expired",IF(I951="Pending","INFO: KYC Pending","OK"))))</f>
        <v/>
      </c>
    </row>
    <row r="952">
      <c r="A952" s="2">
        <f>Raw_Transactions!A952</f>
        <v/>
      </c>
      <c r="B952" s="2">
        <f>Raw_Transactions!B952</f>
        <v/>
      </c>
      <c r="C952" s="2">
        <f>Raw_Transactions!C952</f>
        <v/>
      </c>
      <c r="D952" s="3">
        <f>Raw_Transactions!D952</f>
        <v/>
      </c>
      <c r="E952" s="2">
        <f>Raw_Transactions!E952</f>
        <v/>
      </c>
      <c r="F952" s="2">
        <f>Raw_Transactions!F952</f>
        <v/>
      </c>
      <c r="G952" s="2">
        <f>Raw_Transactions!G952</f>
        <v/>
      </c>
      <c r="H952" s="2">
        <f>XLOOKUP(B952,Raw_Risk_Profiles!$A:$A,Raw_Risk_Profiles!$B:$B,"Not Found")</f>
        <v/>
      </c>
      <c r="I952" s="2">
        <f>XLOOKUP(B952,Raw_Risk_Profiles!$A:$A,Raw_Risk_Profiles!$C:$C,"Missing")</f>
        <v/>
      </c>
      <c r="J952" s="2">
        <f>XLOOKUP(B952,Raw_Risk_Profiles!$A:$A,Raw_Risk_Profiles!$D:$D,"")</f>
        <v/>
      </c>
      <c r="K952" s="2">
        <f>IFERROR(INDEX(Raw_Risk_Profiles!$E:$E,MATCH(B952,Raw_Risk_Profiles!$A:$A,0)),"Unknown")</f>
        <v/>
      </c>
      <c r="L952" s="2">
        <f>IFERROR(XLOOKUP(A952,Raw_Alerts!$B:$B,Raw_Alerts!$A:$A),"No Alert")</f>
        <v/>
      </c>
      <c r="M952" s="2">
        <f>IFERROR(XLOOKUP(A952,Raw_Alerts!$B:$B,Raw_Alerts!$C:$C),"")</f>
        <v/>
      </c>
      <c r="N952" s="2">
        <f>IFERROR(XLOOKUP(A952,Raw_Alerts!$B:$B,Raw_Alerts!$D:$D),"")</f>
        <v/>
      </c>
      <c r="O952" s="2">
        <f>IFERROR(XLOOKUP(A952,Raw_Alerts!$B:$B,Raw_Alerts!$F:$F),"")</f>
        <v/>
      </c>
      <c r="P952" s="2">
        <f>IF(H952="Not Found","CRITICAL: No Risk Profile",IF(I952="Missing","WARN: Missing KYC",IF(I952="Expired","WARN: KYC Expired",IF(I952="Pending","INFO: KYC Pending","OK"))))</f>
        <v/>
      </c>
    </row>
    <row r="953">
      <c r="A953" s="4">
        <f>Raw_Transactions!A953</f>
        <v/>
      </c>
      <c r="B953" s="4">
        <f>Raw_Transactions!B953</f>
        <v/>
      </c>
      <c r="C953" s="4">
        <f>Raw_Transactions!C953</f>
        <v/>
      </c>
      <c r="D953" s="5">
        <f>Raw_Transactions!D953</f>
        <v/>
      </c>
      <c r="E953" s="4">
        <f>Raw_Transactions!E953</f>
        <v/>
      </c>
      <c r="F953" s="4">
        <f>Raw_Transactions!F953</f>
        <v/>
      </c>
      <c r="G953" s="4">
        <f>Raw_Transactions!G953</f>
        <v/>
      </c>
      <c r="H953" s="4">
        <f>XLOOKUP(B953,Raw_Risk_Profiles!$A:$A,Raw_Risk_Profiles!$B:$B,"Not Found")</f>
        <v/>
      </c>
      <c r="I953" s="4">
        <f>XLOOKUP(B953,Raw_Risk_Profiles!$A:$A,Raw_Risk_Profiles!$C:$C,"Missing")</f>
        <v/>
      </c>
      <c r="J953" s="4">
        <f>XLOOKUP(B953,Raw_Risk_Profiles!$A:$A,Raw_Risk_Profiles!$D:$D,"")</f>
        <v/>
      </c>
      <c r="K953" s="4">
        <f>IFERROR(INDEX(Raw_Risk_Profiles!$E:$E,MATCH(B953,Raw_Risk_Profiles!$A:$A,0)),"Unknown")</f>
        <v/>
      </c>
      <c r="L953" s="4">
        <f>IFERROR(XLOOKUP(A953,Raw_Alerts!$B:$B,Raw_Alerts!$A:$A),"No Alert")</f>
        <v/>
      </c>
      <c r="M953" s="4">
        <f>IFERROR(XLOOKUP(A953,Raw_Alerts!$B:$B,Raw_Alerts!$C:$C),"")</f>
        <v/>
      </c>
      <c r="N953" s="4">
        <f>IFERROR(XLOOKUP(A953,Raw_Alerts!$B:$B,Raw_Alerts!$D:$D),"")</f>
        <v/>
      </c>
      <c r="O953" s="4">
        <f>IFERROR(XLOOKUP(A953,Raw_Alerts!$B:$B,Raw_Alerts!$F:$F),"")</f>
        <v/>
      </c>
      <c r="P953" s="4">
        <f>IF(H953="Not Found","CRITICAL: No Risk Profile",IF(I953="Missing","WARN: Missing KYC",IF(I953="Expired","WARN: KYC Expired",IF(I953="Pending","INFO: KYC Pending","OK"))))</f>
        <v/>
      </c>
    </row>
    <row r="954">
      <c r="A954" s="2">
        <f>Raw_Transactions!A954</f>
        <v/>
      </c>
      <c r="B954" s="2">
        <f>Raw_Transactions!B954</f>
        <v/>
      </c>
      <c r="C954" s="2">
        <f>Raw_Transactions!C954</f>
        <v/>
      </c>
      <c r="D954" s="3">
        <f>Raw_Transactions!D954</f>
        <v/>
      </c>
      <c r="E954" s="2">
        <f>Raw_Transactions!E954</f>
        <v/>
      </c>
      <c r="F954" s="2">
        <f>Raw_Transactions!F954</f>
        <v/>
      </c>
      <c r="G954" s="2">
        <f>Raw_Transactions!G954</f>
        <v/>
      </c>
      <c r="H954" s="2">
        <f>XLOOKUP(B954,Raw_Risk_Profiles!$A:$A,Raw_Risk_Profiles!$B:$B,"Not Found")</f>
        <v/>
      </c>
      <c r="I954" s="2">
        <f>XLOOKUP(B954,Raw_Risk_Profiles!$A:$A,Raw_Risk_Profiles!$C:$C,"Missing")</f>
        <v/>
      </c>
      <c r="J954" s="2">
        <f>XLOOKUP(B954,Raw_Risk_Profiles!$A:$A,Raw_Risk_Profiles!$D:$D,"")</f>
        <v/>
      </c>
      <c r="K954" s="2">
        <f>IFERROR(INDEX(Raw_Risk_Profiles!$E:$E,MATCH(B954,Raw_Risk_Profiles!$A:$A,0)),"Unknown")</f>
        <v/>
      </c>
      <c r="L954" s="2">
        <f>IFERROR(XLOOKUP(A954,Raw_Alerts!$B:$B,Raw_Alerts!$A:$A),"No Alert")</f>
        <v/>
      </c>
      <c r="M954" s="2">
        <f>IFERROR(XLOOKUP(A954,Raw_Alerts!$B:$B,Raw_Alerts!$C:$C),"")</f>
        <v/>
      </c>
      <c r="N954" s="2">
        <f>IFERROR(XLOOKUP(A954,Raw_Alerts!$B:$B,Raw_Alerts!$D:$D),"")</f>
        <v/>
      </c>
      <c r="O954" s="2">
        <f>IFERROR(XLOOKUP(A954,Raw_Alerts!$B:$B,Raw_Alerts!$F:$F),"")</f>
        <v/>
      </c>
      <c r="P954" s="2">
        <f>IF(H954="Not Found","CRITICAL: No Risk Profile",IF(I954="Missing","WARN: Missing KYC",IF(I954="Expired","WARN: KYC Expired",IF(I954="Pending","INFO: KYC Pending","OK"))))</f>
        <v/>
      </c>
    </row>
    <row r="955">
      <c r="A955" s="4">
        <f>Raw_Transactions!A955</f>
        <v/>
      </c>
      <c r="B955" s="4">
        <f>Raw_Transactions!B955</f>
        <v/>
      </c>
      <c r="C955" s="4">
        <f>Raw_Transactions!C955</f>
        <v/>
      </c>
      <c r="D955" s="5">
        <f>Raw_Transactions!D955</f>
        <v/>
      </c>
      <c r="E955" s="4">
        <f>Raw_Transactions!E955</f>
        <v/>
      </c>
      <c r="F955" s="4">
        <f>Raw_Transactions!F955</f>
        <v/>
      </c>
      <c r="G955" s="4">
        <f>Raw_Transactions!G955</f>
        <v/>
      </c>
      <c r="H955" s="4">
        <f>XLOOKUP(B955,Raw_Risk_Profiles!$A:$A,Raw_Risk_Profiles!$B:$B,"Not Found")</f>
        <v/>
      </c>
      <c r="I955" s="4">
        <f>XLOOKUP(B955,Raw_Risk_Profiles!$A:$A,Raw_Risk_Profiles!$C:$C,"Missing")</f>
        <v/>
      </c>
      <c r="J955" s="4">
        <f>XLOOKUP(B955,Raw_Risk_Profiles!$A:$A,Raw_Risk_Profiles!$D:$D,"")</f>
        <v/>
      </c>
      <c r="K955" s="4">
        <f>IFERROR(INDEX(Raw_Risk_Profiles!$E:$E,MATCH(B955,Raw_Risk_Profiles!$A:$A,0)),"Unknown")</f>
        <v/>
      </c>
      <c r="L955" s="4">
        <f>IFERROR(XLOOKUP(A955,Raw_Alerts!$B:$B,Raw_Alerts!$A:$A),"No Alert")</f>
        <v/>
      </c>
      <c r="M955" s="4">
        <f>IFERROR(XLOOKUP(A955,Raw_Alerts!$B:$B,Raw_Alerts!$C:$C),"")</f>
        <v/>
      </c>
      <c r="N955" s="4">
        <f>IFERROR(XLOOKUP(A955,Raw_Alerts!$B:$B,Raw_Alerts!$D:$D),"")</f>
        <v/>
      </c>
      <c r="O955" s="4">
        <f>IFERROR(XLOOKUP(A955,Raw_Alerts!$B:$B,Raw_Alerts!$F:$F),"")</f>
        <v/>
      </c>
      <c r="P955" s="4">
        <f>IF(H955="Not Found","CRITICAL: No Risk Profile",IF(I955="Missing","WARN: Missing KYC",IF(I955="Expired","WARN: KYC Expired",IF(I955="Pending","INFO: KYC Pending","OK"))))</f>
        <v/>
      </c>
    </row>
    <row r="956">
      <c r="A956" s="2">
        <f>Raw_Transactions!A956</f>
        <v/>
      </c>
      <c r="B956" s="2">
        <f>Raw_Transactions!B956</f>
        <v/>
      </c>
      <c r="C956" s="2">
        <f>Raw_Transactions!C956</f>
        <v/>
      </c>
      <c r="D956" s="3">
        <f>Raw_Transactions!D956</f>
        <v/>
      </c>
      <c r="E956" s="2">
        <f>Raw_Transactions!E956</f>
        <v/>
      </c>
      <c r="F956" s="2">
        <f>Raw_Transactions!F956</f>
        <v/>
      </c>
      <c r="G956" s="2">
        <f>Raw_Transactions!G956</f>
        <v/>
      </c>
      <c r="H956" s="2">
        <f>XLOOKUP(B956,Raw_Risk_Profiles!$A:$A,Raw_Risk_Profiles!$B:$B,"Not Found")</f>
        <v/>
      </c>
      <c r="I956" s="2">
        <f>XLOOKUP(B956,Raw_Risk_Profiles!$A:$A,Raw_Risk_Profiles!$C:$C,"Missing")</f>
        <v/>
      </c>
      <c r="J956" s="2">
        <f>XLOOKUP(B956,Raw_Risk_Profiles!$A:$A,Raw_Risk_Profiles!$D:$D,"")</f>
        <v/>
      </c>
      <c r="K956" s="2">
        <f>IFERROR(INDEX(Raw_Risk_Profiles!$E:$E,MATCH(B956,Raw_Risk_Profiles!$A:$A,0)),"Unknown")</f>
        <v/>
      </c>
      <c r="L956" s="2">
        <f>IFERROR(XLOOKUP(A956,Raw_Alerts!$B:$B,Raw_Alerts!$A:$A),"No Alert")</f>
        <v/>
      </c>
      <c r="M956" s="2">
        <f>IFERROR(XLOOKUP(A956,Raw_Alerts!$B:$B,Raw_Alerts!$C:$C),"")</f>
        <v/>
      </c>
      <c r="N956" s="2">
        <f>IFERROR(XLOOKUP(A956,Raw_Alerts!$B:$B,Raw_Alerts!$D:$D),"")</f>
        <v/>
      </c>
      <c r="O956" s="2">
        <f>IFERROR(XLOOKUP(A956,Raw_Alerts!$B:$B,Raw_Alerts!$F:$F),"")</f>
        <v/>
      </c>
      <c r="P956" s="2">
        <f>IF(H956="Not Found","CRITICAL: No Risk Profile",IF(I956="Missing","WARN: Missing KYC",IF(I956="Expired","WARN: KYC Expired",IF(I956="Pending","INFO: KYC Pending","OK"))))</f>
        <v/>
      </c>
    </row>
    <row r="957">
      <c r="A957" s="4">
        <f>Raw_Transactions!A957</f>
        <v/>
      </c>
      <c r="B957" s="4">
        <f>Raw_Transactions!B957</f>
        <v/>
      </c>
      <c r="C957" s="4">
        <f>Raw_Transactions!C957</f>
        <v/>
      </c>
      <c r="D957" s="5">
        <f>Raw_Transactions!D957</f>
        <v/>
      </c>
      <c r="E957" s="4">
        <f>Raw_Transactions!E957</f>
        <v/>
      </c>
      <c r="F957" s="4">
        <f>Raw_Transactions!F957</f>
        <v/>
      </c>
      <c r="G957" s="4">
        <f>Raw_Transactions!G957</f>
        <v/>
      </c>
      <c r="H957" s="4">
        <f>XLOOKUP(B957,Raw_Risk_Profiles!$A:$A,Raw_Risk_Profiles!$B:$B,"Not Found")</f>
        <v/>
      </c>
      <c r="I957" s="4">
        <f>XLOOKUP(B957,Raw_Risk_Profiles!$A:$A,Raw_Risk_Profiles!$C:$C,"Missing")</f>
        <v/>
      </c>
      <c r="J957" s="4">
        <f>XLOOKUP(B957,Raw_Risk_Profiles!$A:$A,Raw_Risk_Profiles!$D:$D,"")</f>
        <v/>
      </c>
      <c r="K957" s="4">
        <f>IFERROR(INDEX(Raw_Risk_Profiles!$E:$E,MATCH(B957,Raw_Risk_Profiles!$A:$A,0)),"Unknown")</f>
        <v/>
      </c>
      <c r="L957" s="4">
        <f>IFERROR(XLOOKUP(A957,Raw_Alerts!$B:$B,Raw_Alerts!$A:$A),"No Alert")</f>
        <v/>
      </c>
      <c r="M957" s="4">
        <f>IFERROR(XLOOKUP(A957,Raw_Alerts!$B:$B,Raw_Alerts!$C:$C),"")</f>
        <v/>
      </c>
      <c r="N957" s="4">
        <f>IFERROR(XLOOKUP(A957,Raw_Alerts!$B:$B,Raw_Alerts!$D:$D),"")</f>
        <v/>
      </c>
      <c r="O957" s="4">
        <f>IFERROR(XLOOKUP(A957,Raw_Alerts!$B:$B,Raw_Alerts!$F:$F),"")</f>
        <v/>
      </c>
      <c r="P957" s="4">
        <f>IF(H957="Not Found","CRITICAL: No Risk Profile",IF(I957="Missing","WARN: Missing KYC",IF(I957="Expired","WARN: KYC Expired",IF(I957="Pending","INFO: KYC Pending","OK"))))</f>
        <v/>
      </c>
    </row>
    <row r="958">
      <c r="A958" s="2">
        <f>Raw_Transactions!A958</f>
        <v/>
      </c>
      <c r="B958" s="2">
        <f>Raw_Transactions!B958</f>
        <v/>
      </c>
      <c r="C958" s="2">
        <f>Raw_Transactions!C958</f>
        <v/>
      </c>
      <c r="D958" s="3">
        <f>Raw_Transactions!D958</f>
        <v/>
      </c>
      <c r="E958" s="2">
        <f>Raw_Transactions!E958</f>
        <v/>
      </c>
      <c r="F958" s="2">
        <f>Raw_Transactions!F958</f>
        <v/>
      </c>
      <c r="G958" s="2">
        <f>Raw_Transactions!G958</f>
        <v/>
      </c>
      <c r="H958" s="2">
        <f>XLOOKUP(B958,Raw_Risk_Profiles!$A:$A,Raw_Risk_Profiles!$B:$B,"Not Found")</f>
        <v/>
      </c>
      <c r="I958" s="2">
        <f>XLOOKUP(B958,Raw_Risk_Profiles!$A:$A,Raw_Risk_Profiles!$C:$C,"Missing")</f>
        <v/>
      </c>
      <c r="J958" s="2">
        <f>XLOOKUP(B958,Raw_Risk_Profiles!$A:$A,Raw_Risk_Profiles!$D:$D,"")</f>
        <v/>
      </c>
      <c r="K958" s="2">
        <f>IFERROR(INDEX(Raw_Risk_Profiles!$E:$E,MATCH(B958,Raw_Risk_Profiles!$A:$A,0)),"Unknown")</f>
        <v/>
      </c>
      <c r="L958" s="2">
        <f>IFERROR(XLOOKUP(A958,Raw_Alerts!$B:$B,Raw_Alerts!$A:$A),"No Alert")</f>
        <v/>
      </c>
      <c r="M958" s="2">
        <f>IFERROR(XLOOKUP(A958,Raw_Alerts!$B:$B,Raw_Alerts!$C:$C),"")</f>
        <v/>
      </c>
      <c r="N958" s="2">
        <f>IFERROR(XLOOKUP(A958,Raw_Alerts!$B:$B,Raw_Alerts!$D:$D),"")</f>
        <v/>
      </c>
      <c r="O958" s="2">
        <f>IFERROR(XLOOKUP(A958,Raw_Alerts!$B:$B,Raw_Alerts!$F:$F),"")</f>
        <v/>
      </c>
      <c r="P958" s="2">
        <f>IF(H958="Not Found","CRITICAL: No Risk Profile",IF(I958="Missing","WARN: Missing KYC",IF(I958="Expired","WARN: KYC Expired",IF(I958="Pending","INFO: KYC Pending","OK"))))</f>
        <v/>
      </c>
    </row>
    <row r="959">
      <c r="A959" s="4">
        <f>Raw_Transactions!A959</f>
        <v/>
      </c>
      <c r="B959" s="4">
        <f>Raw_Transactions!B959</f>
        <v/>
      </c>
      <c r="C959" s="4">
        <f>Raw_Transactions!C959</f>
        <v/>
      </c>
      <c r="D959" s="5">
        <f>Raw_Transactions!D959</f>
        <v/>
      </c>
      <c r="E959" s="4">
        <f>Raw_Transactions!E959</f>
        <v/>
      </c>
      <c r="F959" s="4">
        <f>Raw_Transactions!F959</f>
        <v/>
      </c>
      <c r="G959" s="4">
        <f>Raw_Transactions!G959</f>
        <v/>
      </c>
      <c r="H959" s="4">
        <f>XLOOKUP(B959,Raw_Risk_Profiles!$A:$A,Raw_Risk_Profiles!$B:$B,"Not Found")</f>
        <v/>
      </c>
      <c r="I959" s="4">
        <f>XLOOKUP(B959,Raw_Risk_Profiles!$A:$A,Raw_Risk_Profiles!$C:$C,"Missing")</f>
        <v/>
      </c>
      <c r="J959" s="4">
        <f>XLOOKUP(B959,Raw_Risk_Profiles!$A:$A,Raw_Risk_Profiles!$D:$D,"")</f>
        <v/>
      </c>
      <c r="K959" s="4">
        <f>IFERROR(INDEX(Raw_Risk_Profiles!$E:$E,MATCH(B959,Raw_Risk_Profiles!$A:$A,0)),"Unknown")</f>
        <v/>
      </c>
      <c r="L959" s="4">
        <f>IFERROR(XLOOKUP(A959,Raw_Alerts!$B:$B,Raw_Alerts!$A:$A),"No Alert")</f>
        <v/>
      </c>
      <c r="M959" s="4">
        <f>IFERROR(XLOOKUP(A959,Raw_Alerts!$B:$B,Raw_Alerts!$C:$C),"")</f>
        <v/>
      </c>
      <c r="N959" s="4">
        <f>IFERROR(XLOOKUP(A959,Raw_Alerts!$B:$B,Raw_Alerts!$D:$D),"")</f>
        <v/>
      </c>
      <c r="O959" s="4">
        <f>IFERROR(XLOOKUP(A959,Raw_Alerts!$B:$B,Raw_Alerts!$F:$F),"")</f>
        <v/>
      </c>
      <c r="P959" s="4">
        <f>IF(H959="Not Found","CRITICAL: No Risk Profile",IF(I959="Missing","WARN: Missing KYC",IF(I959="Expired","WARN: KYC Expired",IF(I959="Pending","INFO: KYC Pending","OK"))))</f>
        <v/>
      </c>
    </row>
    <row r="960">
      <c r="A960" s="2">
        <f>Raw_Transactions!A960</f>
        <v/>
      </c>
      <c r="B960" s="2">
        <f>Raw_Transactions!B960</f>
        <v/>
      </c>
      <c r="C960" s="2">
        <f>Raw_Transactions!C960</f>
        <v/>
      </c>
      <c r="D960" s="3">
        <f>Raw_Transactions!D960</f>
        <v/>
      </c>
      <c r="E960" s="2">
        <f>Raw_Transactions!E960</f>
        <v/>
      </c>
      <c r="F960" s="2">
        <f>Raw_Transactions!F960</f>
        <v/>
      </c>
      <c r="G960" s="2">
        <f>Raw_Transactions!G960</f>
        <v/>
      </c>
      <c r="H960" s="2">
        <f>XLOOKUP(B960,Raw_Risk_Profiles!$A:$A,Raw_Risk_Profiles!$B:$B,"Not Found")</f>
        <v/>
      </c>
      <c r="I960" s="2">
        <f>XLOOKUP(B960,Raw_Risk_Profiles!$A:$A,Raw_Risk_Profiles!$C:$C,"Missing")</f>
        <v/>
      </c>
      <c r="J960" s="2">
        <f>XLOOKUP(B960,Raw_Risk_Profiles!$A:$A,Raw_Risk_Profiles!$D:$D,"")</f>
        <v/>
      </c>
      <c r="K960" s="2">
        <f>IFERROR(INDEX(Raw_Risk_Profiles!$E:$E,MATCH(B960,Raw_Risk_Profiles!$A:$A,0)),"Unknown")</f>
        <v/>
      </c>
      <c r="L960" s="2">
        <f>IFERROR(XLOOKUP(A960,Raw_Alerts!$B:$B,Raw_Alerts!$A:$A),"No Alert")</f>
        <v/>
      </c>
      <c r="M960" s="2">
        <f>IFERROR(XLOOKUP(A960,Raw_Alerts!$B:$B,Raw_Alerts!$C:$C),"")</f>
        <v/>
      </c>
      <c r="N960" s="2">
        <f>IFERROR(XLOOKUP(A960,Raw_Alerts!$B:$B,Raw_Alerts!$D:$D),"")</f>
        <v/>
      </c>
      <c r="O960" s="2">
        <f>IFERROR(XLOOKUP(A960,Raw_Alerts!$B:$B,Raw_Alerts!$F:$F),"")</f>
        <v/>
      </c>
      <c r="P960" s="2">
        <f>IF(H960="Not Found","CRITICAL: No Risk Profile",IF(I960="Missing","WARN: Missing KYC",IF(I960="Expired","WARN: KYC Expired",IF(I960="Pending","INFO: KYC Pending","OK"))))</f>
        <v/>
      </c>
    </row>
    <row r="961">
      <c r="A961" s="4">
        <f>Raw_Transactions!A961</f>
        <v/>
      </c>
      <c r="B961" s="4">
        <f>Raw_Transactions!B961</f>
        <v/>
      </c>
      <c r="C961" s="4">
        <f>Raw_Transactions!C961</f>
        <v/>
      </c>
      <c r="D961" s="5">
        <f>Raw_Transactions!D961</f>
        <v/>
      </c>
      <c r="E961" s="4">
        <f>Raw_Transactions!E961</f>
        <v/>
      </c>
      <c r="F961" s="4">
        <f>Raw_Transactions!F961</f>
        <v/>
      </c>
      <c r="G961" s="4">
        <f>Raw_Transactions!G961</f>
        <v/>
      </c>
      <c r="H961" s="4">
        <f>XLOOKUP(B961,Raw_Risk_Profiles!$A:$A,Raw_Risk_Profiles!$B:$B,"Not Found")</f>
        <v/>
      </c>
      <c r="I961" s="4">
        <f>XLOOKUP(B961,Raw_Risk_Profiles!$A:$A,Raw_Risk_Profiles!$C:$C,"Missing")</f>
        <v/>
      </c>
      <c r="J961" s="4">
        <f>XLOOKUP(B961,Raw_Risk_Profiles!$A:$A,Raw_Risk_Profiles!$D:$D,"")</f>
        <v/>
      </c>
      <c r="K961" s="4">
        <f>IFERROR(INDEX(Raw_Risk_Profiles!$E:$E,MATCH(B961,Raw_Risk_Profiles!$A:$A,0)),"Unknown")</f>
        <v/>
      </c>
      <c r="L961" s="4">
        <f>IFERROR(XLOOKUP(A961,Raw_Alerts!$B:$B,Raw_Alerts!$A:$A),"No Alert")</f>
        <v/>
      </c>
      <c r="M961" s="4">
        <f>IFERROR(XLOOKUP(A961,Raw_Alerts!$B:$B,Raw_Alerts!$C:$C),"")</f>
        <v/>
      </c>
      <c r="N961" s="4">
        <f>IFERROR(XLOOKUP(A961,Raw_Alerts!$B:$B,Raw_Alerts!$D:$D),"")</f>
        <v/>
      </c>
      <c r="O961" s="4">
        <f>IFERROR(XLOOKUP(A961,Raw_Alerts!$B:$B,Raw_Alerts!$F:$F),"")</f>
        <v/>
      </c>
      <c r="P961" s="4">
        <f>IF(H961="Not Found","CRITICAL: No Risk Profile",IF(I961="Missing","WARN: Missing KYC",IF(I961="Expired","WARN: KYC Expired",IF(I961="Pending","INFO: KYC Pending","OK"))))</f>
        <v/>
      </c>
    </row>
    <row r="962">
      <c r="A962" s="2">
        <f>Raw_Transactions!A962</f>
        <v/>
      </c>
      <c r="B962" s="2">
        <f>Raw_Transactions!B962</f>
        <v/>
      </c>
      <c r="C962" s="2">
        <f>Raw_Transactions!C962</f>
        <v/>
      </c>
      <c r="D962" s="3">
        <f>Raw_Transactions!D962</f>
        <v/>
      </c>
      <c r="E962" s="2">
        <f>Raw_Transactions!E962</f>
        <v/>
      </c>
      <c r="F962" s="2">
        <f>Raw_Transactions!F962</f>
        <v/>
      </c>
      <c r="G962" s="2">
        <f>Raw_Transactions!G962</f>
        <v/>
      </c>
      <c r="H962" s="2">
        <f>XLOOKUP(B962,Raw_Risk_Profiles!$A:$A,Raw_Risk_Profiles!$B:$B,"Not Found")</f>
        <v/>
      </c>
      <c r="I962" s="2">
        <f>XLOOKUP(B962,Raw_Risk_Profiles!$A:$A,Raw_Risk_Profiles!$C:$C,"Missing")</f>
        <v/>
      </c>
      <c r="J962" s="2">
        <f>XLOOKUP(B962,Raw_Risk_Profiles!$A:$A,Raw_Risk_Profiles!$D:$D,"")</f>
        <v/>
      </c>
      <c r="K962" s="2">
        <f>IFERROR(INDEX(Raw_Risk_Profiles!$E:$E,MATCH(B962,Raw_Risk_Profiles!$A:$A,0)),"Unknown")</f>
        <v/>
      </c>
      <c r="L962" s="2">
        <f>IFERROR(XLOOKUP(A962,Raw_Alerts!$B:$B,Raw_Alerts!$A:$A),"No Alert")</f>
        <v/>
      </c>
      <c r="M962" s="2">
        <f>IFERROR(XLOOKUP(A962,Raw_Alerts!$B:$B,Raw_Alerts!$C:$C),"")</f>
        <v/>
      </c>
      <c r="N962" s="2">
        <f>IFERROR(XLOOKUP(A962,Raw_Alerts!$B:$B,Raw_Alerts!$D:$D),"")</f>
        <v/>
      </c>
      <c r="O962" s="2">
        <f>IFERROR(XLOOKUP(A962,Raw_Alerts!$B:$B,Raw_Alerts!$F:$F),"")</f>
        <v/>
      </c>
      <c r="P962" s="2">
        <f>IF(H962="Not Found","CRITICAL: No Risk Profile",IF(I962="Missing","WARN: Missing KYC",IF(I962="Expired","WARN: KYC Expired",IF(I962="Pending","INFO: KYC Pending","OK"))))</f>
        <v/>
      </c>
    </row>
    <row r="963">
      <c r="A963" s="4">
        <f>Raw_Transactions!A963</f>
        <v/>
      </c>
      <c r="B963" s="4">
        <f>Raw_Transactions!B963</f>
        <v/>
      </c>
      <c r="C963" s="4">
        <f>Raw_Transactions!C963</f>
        <v/>
      </c>
      <c r="D963" s="5">
        <f>Raw_Transactions!D963</f>
        <v/>
      </c>
      <c r="E963" s="4">
        <f>Raw_Transactions!E963</f>
        <v/>
      </c>
      <c r="F963" s="4">
        <f>Raw_Transactions!F963</f>
        <v/>
      </c>
      <c r="G963" s="4">
        <f>Raw_Transactions!G963</f>
        <v/>
      </c>
      <c r="H963" s="4">
        <f>XLOOKUP(B963,Raw_Risk_Profiles!$A:$A,Raw_Risk_Profiles!$B:$B,"Not Found")</f>
        <v/>
      </c>
      <c r="I963" s="4">
        <f>XLOOKUP(B963,Raw_Risk_Profiles!$A:$A,Raw_Risk_Profiles!$C:$C,"Missing")</f>
        <v/>
      </c>
      <c r="J963" s="4">
        <f>XLOOKUP(B963,Raw_Risk_Profiles!$A:$A,Raw_Risk_Profiles!$D:$D,"")</f>
        <v/>
      </c>
      <c r="K963" s="4">
        <f>IFERROR(INDEX(Raw_Risk_Profiles!$E:$E,MATCH(B963,Raw_Risk_Profiles!$A:$A,0)),"Unknown")</f>
        <v/>
      </c>
      <c r="L963" s="4">
        <f>IFERROR(XLOOKUP(A963,Raw_Alerts!$B:$B,Raw_Alerts!$A:$A),"No Alert")</f>
        <v/>
      </c>
      <c r="M963" s="4">
        <f>IFERROR(XLOOKUP(A963,Raw_Alerts!$B:$B,Raw_Alerts!$C:$C),"")</f>
        <v/>
      </c>
      <c r="N963" s="4">
        <f>IFERROR(XLOOKUP(A963,Raw_Alerts!$B:$B,Raw_Alerts!$D:$D),"")</f>
        <v/>
      </c>
      <c r="O963" s="4">
        <f>IFERROR(XLOOKUP(A963,Raw_Alerts!$B:$B,Raw_Alerts!$F:$F),"")</f>
        <v/>
      </c>
      <c r="P963" s="4">
        <f>IF(H963="Not Found","CRITICAL: No Risk Profile",IF(I963="Missing","WARN: Missing KYC",IF(I963="Expired","WARN: KYC Expired",IF(I963="Pending","INFO: KYC Pending","OK"))))</f>
        <v/>
      </c>
    </row>
    <row r="964">
      <c r="A964" s="2">
        <f>Raw_Transactions!A964</f>
        <v/>
      </c>
      <c r="B964" s="2">
        <f>Raw_Transactions!B964</f>
        <v/>
      </c>
      <c r="C964" s="2">
        <f>Raw_Transactions!C964</f>
        <v/>
      </c>
      <c r="D964" s="3">
        <f>Raw_Transactions!D964</f>
        <v/>
      </c>
      <c r="E964" s="2">
        <f>Raw_Transactions!E964</f>
        <v/>
      </c>
      <c r="F964" s="2">
        <f>Raw_Transactions!F964</f>
        <v/>
      </c>
      <c r="G964" s="2">
        <f>Raw_Transactions!G964</f>
        <v/>
      </c>
      <c r="H964" s="2">
        <f>XLOOKUP(B964,Raw_Risk_Profiles!$A:$A,Raw_Risk_Profiles!$B:$B,"Not Found")</f>
        <v/>
      </c>
      <c r="I964" s="2">
        <f>XLOOKUP(B964,Raw_Risk_Profiles!$A:$A,Raw_Risk_Profiles!$C:$C,"Missing")</f>
        <v/>
      </c>
      <c r="J964" s="2">
        <f>XLOOKUP(B964,Raw_Risk_Profiles!$A:$A,Raw_Risk_Profiles!$D:$D,"")</f>
        <v/>
      </c>
      <c r="K964" s="2">
        <f>IFERROR(INDEX(Raw_Risk_Profiles!$E:$E,MATCH(B964,Raw_Risk_Profiles!$A:$A,0)),"Unknown")</f>
        <v/>
      </c>
      <c r="L964" s="2">
        <f>IFERROR(XLOOKUP(A964,Raw_Alerts!$B:$B,Raw_Alerts!$A:$A),"No Alert")</f>
        <v/>
      </c>
      <c r="M964" s="2">
        <f>IFERROR(XLOOKUP(A964,Raw_Alerts!$B:$B,Raw_Alerts!$C:$C),"")</f>
        <v/>
      </c>
      <c r="N964" s="2">
        <f>IFERROR(XLOOKUP(A964,Raw_Alerts!$B:$B,Raw_Alerts!$D:$D),"")</f>
        <v/>
      </c>
      <c r="O964" s="2">
        <f>IFERROR(XLOOKUP(A964,Raw_Alerts!$B:$B,Raw_Alerts!$F:$F),"")</f>
        <v/>
      </c>
      <c r="P964" s="2">
        <f>IF(H964="Not Found","CRITICAL: No Risk Profile",IF(I964="Missing","WARN: Missing KYC",IF(I964="Expired","WARN: KYC Expired",IF(I964="Pending","INFO: KYC Pending","OK"))))</f>
        <v/>
      </c>
    </row>
    <row r="965">
      <c r="A965" s="4">
        <f>Raw_Transactions!A965</f>
        <v/>
      </c>
      <c r="B965" s="4">
        <f>Raw_Transactions!B965</f>
        <v/>
      </c>
      <c r="C965" s="4">
        <f>Raw_Transactions!C965</f>
        <v/>
      </c>
      <c r="D965" s="5">
        <f>Raw_Transactions!D965</f>
        <v/>
      </c>
      <c r="E965" s="4">
        <f>Raw_Transactions!E965</f>
        <v/>
      </c>
      <c r="F965" s="4">
        <f>Raw_Transactions!F965</f>
        <v/>
      </c>
      <c r="G965" s="4">
        <f>Raw_Transactions!G965</f>
        <v/>
      </c>
      <c r="H965" s="4">
        <f>XLOOKUP(B965,Raw_Risk_Profiles!$A:$A,Raw_Risk_Profiles!$B:$B,"Not Found")</f>
        <v/>
      </c>
      <c r="I965" s="4">
        <f>XLOOKUP(B965,Raw_Risk_Profiles!$A:$A,Raw_Risk_Profiles!$C:$C,"Missing")</f>
        <v/>
      </c>
      <c r="J965" s="4">
        <f>XLOOKUP(B965,Raw_Risk_Profiles!$A:$A,Raw_Risk_Profiles!$D:$D,"")</f>
        <v/>
      </c>
      <c r="K965" s="4">
        <f>IFERROR(INDEX(Raw_Risk_Profiles!$E:$E,MATCH(B965,Raw_Risk_Profiles!$A:$A,0)),"Unknown")</f>
        <v/>
      </c>
      <c r="L965" s="4">
        <f>IFERROR(XLOOKUP(A965,Raw_Alerts!$B:$B,Raw_Alerts!$A:$A),"No Alert")</f>
        <v/>
      </c>
      <c r="M965" s="4">
        <f>IFERROR(XLOOKUP(A965,Raw_Alerts!$B:$B,Raw_Alerts!$C:$C),"")</f>
        <v/>
      </c>
      <c r="N965" s="4">
        <f>IFERROR(XLOOKUP(A965,Raw_Alerts!$B:$B,Raw_Alerts!$D:$D),"")</f>
        <v/>
      </c>
      <c r="O965" s="4">
        <f>IFERROR(XLOOKUP(A965,Raw_Alerts!$B:$B,Raw_Alerts!$F:$F),"")</f>
        <v/>
      </c>
      <c r="P965" s="4">
        <f>IF(H965="Not Found","CRITICAL: No Risk Profile",IF(I965="Missing","WARN: Missing KYC",IF(I965="Expired","WARN: KYC Expired",IF(I965="Pending","INFO: KYC Pending","OK"))))</f>
        <v/>
      </c>
    </row>
    <row r="966">
      <c r="A966" s="2">
        <f>Raw_Transactions!A966</f>
        <v/>
      </c>
      <c r="B966" s="2">
        <f>Raw_Transactions!B966</f>
        <v/>
      </c>
      <c r="C966" s="2">
        <f>Raw_Transactions!C966</f>
        <v/>
      </c>
      <c r="D966" s="3">
        <f>Raw_Transactions!D966</f>
        <v/>
      </c>
      <c r="E966" s="2">
        <f>Raw_Transactions!E966</f>
        <v/>
      </c>
      <c r="F966" s="2">
        <f>Raw_Transactions!F966</f>
        <v/>
      </c>
      <c r="G966" s="2">
        <f>Raw_Transactions!G966</f>
        <v/>
      </c>
      <c r="H966" s="2">
        <f>XLOOKUP(B966,Raw_Risk_Profiles!$A:$A,Raw_Risk_Profiles!$B:$B,"Not Found")</f>
        <v/>
      </c>
      <c r="I966" s="2">
        <f>XLOOKUP(B966,Raw_Risk_Profiles!$A:$A,Raw_Risk_Profiles!$C:$C,"Missing")</f>
        <v/>
      </c>
      <c r="J966" s="2">
        <f>XLOOKUP(B966,Raw_Risk_Profiles!$A:$A,Raw_Risk_Profiles!$D:$D,"")</f>
        <v/>
      </c>
      <c r="K966" s="2">
        <f>IFERROR(INDEX(Raw_Risk_Profiles!$E:$E,MATCH(B966,Raw_Risk_Profiles!$A:$A,0)),"Unknown")</f>
        <v/>
      </c>
      <c r="L966" s="2">
        <f>IFERROR(XLOOKUP(A966,Raw_Alerts!$B:$B,Raw_Alerts!$A:$A),"No Alert")</f>
        <v/>
      </c>
      <c r="M966" s="2">
        <f>IFERROR(XLOOKUP(A966,Raw_Alerts!$B:$B,Raw_Alerts!$C:$C),"")</f>
        <v/>
      </c>
      <c r="N966" s="2">
        <f>IFERROR(XLOOKUP(A966,Raw_Alerts!$B:$B,Raw_Alerts!$D:$D),"")</f>
        <v/>
      </c>
      <c r="O966" s="2">
        <f>IFERROR(XLOOKUP(A966,Raw_Alerts!$B:$B,Raw_Alerts!$F:$F),"")</f>
        <v/>
      </c>
      <c r="P966" s="2">
        <f>IF(H966="Not Found","CRITICAL: No Risk Profile",IF(I966="Missing","WARN: Missing KYC",IF(I966="Expired","WARN: KYC Expired",IF(I966="Pending","INFO: KYC Pending","OK"))))</f>
        <v/>
      </c>
    </row>
    <row r="967">
      <c r="A967" s="4">
        <f>Raw_Transactions!A967</f>
        <v/>
      </c>
      <c r="B967" s="4">
        <f>Raw_Transactions!B967</f>
        <v/>
      </c>
      <c r="C967" s="4">
        <f>Raw_Transactions!C967</f>
        <v/>
      </c>
      <c r="D967" s="5">
        <f>Raw_Transactions!D967</f>
        <v/>
      </c>
      <c r="E967" s="4">
        <f>Raw_Transactions!E967</f>
        <v/>
      </c>
      <c r="F967" s="4">
        <f>Raw_Transactions!F967</f>
        <v/>
      </c>
      <c r="G967" s="4">
        <f>Raw_Transactions!G967</f>
        <v/>
      </c>
      <c r="H967" s="4">
        <f>XLOOKUP(B967,Raw_Risk_Profiles!$A:$A,Raw_Risk_Profiles!$B:$B,"Not Found")</f>
        <v/>
      </c>
      <c r="I967" s="4">
        <f>XLOOKUP(B967,Raw_Risk_Profiles!$A:$A,Raw_Risk_Profiles!$C:$C,"Missing")</f>
        <v/>
      </c>
      <c r="J967" s="4">
        <f>XLOOKUP(B967,Raw_Risk_Profiles!$A:$A,Raw_Risk_Profiles!$D:$D,"")</f>
        <v/>
      </c>
      <c r="K967" s="4">
        <f>IFERROR(INDEX(Raw_Risk_Profiles!$E:$E,MATCH(B967,Raw_Risk_Profiles!$A:$A,0)),"Unknown")</f>
        <v/>
      </c>
      <c r="L967" s="4">
        <f>IFERROR(XLOOKUP(A967,Raw_Alerts!$B:$B,Raw_Alerts!$A:$A),"No Alert")</f>
        <v/>
      </c>
      <c r="M967" s="4">
        <f>IFERROR(XLOOKUP(A967,Raw_Alerts!$B:$B,Raw_Alerts!$C:$C),"")</f>
        <v/>
      </c>
      <c r="N967" s="4">
        <f>IFERROR(XLOOKUP(A967,Raw_Alerts!$B:$B,Raw_Alerts!$D:$D),"")</f>
        <v/>
      </c>
      <c r="O967" s="4">
        <f>IFERROR(XLOOKUP(A967,Raw_Alerts!$B:$B,Raw_Alerts!$F:$F),"")</f>
        <v/>
      </c>
      <c r="P967" s="4">
        <f>IF(H967="Not Found","CRITICAL: No Risk Profile",IF(I967="Missing","WARN: Missing KYC",IF(I967="Expired","WARN: KYC Expired",IF(I967="Pending","INFO: KYC Pending","OK"))))</f>
        <v/>
      </c>
    </row>
    <row r="968">
      <c r="A968" s="2">
        <f>Raw_Transactions!A968</f>
        <v/>
      </c>
      <c r="B968" s="2">
        <f>Raw_Transactions!B968</f>
        <v/>
      </c>
      <c r="C968" s="2">
        <f>Raw_Transactions!C968</f>
        <v/>
      </c>
      <c r="D968" s="3">
        <f>Raw_Transactions!D968</f>
        <v/>
      </c>
      <c r="E968" s="2">
        <f>Raw_Transactions!E968</f>
        <v/>
      </c>
      <c r="F968" s="2">
        <f>Raw_Transactions!F968</f>
        <v/>
      </c>
      <c r="G968" s="2">
        <f>Raw_Transactions!G968</f>
        <v/>
      </c>
      <c r="H968" s="2">
        <f>XLOOKUP(B968,Raw_Risk_Profiles!$A:$A,Raw_Risk_Profiles!$B:$B,"Not Found")</f>
        <v/>
      </c>
      <c r="I968" s="2">
        <f>XLOOKUP(B968,Raw_Risk_Profiles!$A:$A,Raw_Risk_Profiles!$C:$C,"Missing")</f>
        <v/>
      </c>
      <c r="J968" s="2">
        <f>XLOOKUP(B968,Raw_Risk_Profiles!$A:$A,Raw_Risk_Profiles!$D:$D,"")</f>
        <v/>
      </c>
      <c r="K968" s="2">
        <f>IFERROR(INDEX(Raw_Risk_Profiles!$E:$E,MATCH(B968,Raw_Risk_Profiles!$A:$A,0)),"Unknown")</f>
        <v/>
      </c>
      <c r="L968" s="2">
        <f>IFERROR(XLOOKUP(A968,Raw_Alerts!$B:$B,Raw_Alerts!$A:$A),"No Alert")</f>
        <v/>
      </c>
      <c r="M968" s="2">
        <f>IFERROR(XLOOKUP(A968,Raw_Alerts!$B:$B,Raw_Alerts!$C:$C),"")</f>
        <v/>
      </c>
      <c r="N968" s="2">
        <f>IFERROR(XLOOKUP(A968,Raw_Alerts!$B:$B,Raw_Alerts!$D:$D),"")</f>
        <v/>
      </c>
      <c r="O968" s="2">
        <f>IFERROR(XLOOKUP(A968,Raw_Alerts!$B:$B,Raw_Alerts!$F:$F),"")</f>
        <v/>
      </c>
      <c r="P968" s="2">
        <f>IF(H968="Not Found","CRITICAL: No Risk Profile",IF(I968="Missing","WARN: Missing KYC",IF(I968="Expired","WARN: KYC Expired",IF(I968="Pending","INFO: KYC Pending","OK"))))</f>
        <v/>
      </c>
    </row>
    <row r="969">
      <c r="A969" s="4">
        <f>Raw_Transactions!A969</f>
        <v/>
      </c>
      <c r="B969" s="4">
        <f>Raw_Transactions!B969</f>
        <v/>
      </c>
      <c r="C969" s="4">
        <f>Raw_Transactions!C969</f>
        <v/>
      </c>
      <c r="D969" s="5">
        <f>Raw_Transactions!D969</f>
        <v/>
      </c>
      <c r="E969" s="4">
        <f>Raw_Transactions!E969</f>
        <v/>
      </c>
      <c r="F969" s="4">
        <f>Raw_Transactions!F969</f>
        <v/>
      </c>
      <c r="G969" s="4">
        <f>Raw_Transactions!G969</f>
        <v/>
      </c>
      <c r="H969" s="4">
        <f>XLOOKUP(B969,Raw_Risk_Profiles!$A:$A,Raw_Risk_Profiles!$B:$B,"Not Found")</f>
        <v/>
      </c>
      <c r="I969" s="4">
        <f>XLOOKUP(B969,Raw_Risk_Profiles!$A:$A,Raw_Risk_Profiles!$C:$C,"Missing")</f>
        <v/>
      </c>
      <c r="J969" s="4">
        <f>XLOOKUP(B969,Raw_Risk_Profiles!$A:$A,Raw_Risk_Profiles!$D:$D,"")</f>
        <v/>
      </c>
      <c r="K969" s="4">
        <f>IFERROR(INDEX(Raw_Risk_Profiles!$E:$E,MATCH(B969,Raw_Risk_Profiles!$A:$A,0)),"Unknown")</f>
        <v/>
      </c>
      <c r="L969" s="4">
        <f>IFERROR(XLOOKUP(A969,Raw_Alerts!$B:$B,Raw_Alerts!$A:$A),"No Alert")</f>
        <v/>
      </c>
      <c r="M969" s="4">
        <f>IFERROR(XLOOKUP(A969,Raw_Alerts!$B:$B,Raw_Alerts!$C:$C),"")</f>
        <v/>
      </c>
      <c r="N969" s="4">
        <f>IFERROR(XLOOKUP(A969,Raw_Alerts!$B:$B,Raw_Alerts!$D:$D),"")</f>
        <v/>
      </c>
      <c r="O969" s="4">
        <f>IFERROR(XLOOKUP(A969,Raw_Alerts!$B:$B,Raw_Alerts!$F:$F),"")</f>
        <v/>
      </c>
      <c r="P969" s="4">
        <f>IF(H969="Not Found","CRITICAL: No Risk Profile",IF(I969="Missing","WARN: Missing KYC",IF(I969="Expired","WARN: KYC Expired",IF(I969="Pending","INFO: KYC Pending","OK"))))</f>
        <v/>
      </c>
    </row>
    <row r="970">
      <c r="A970" s="2">
        <f>Raw_Transactions!A970</f>
        <v/>
      </c>
      <c r="B970" s="2">
        <f>Raw_Transactions!B970</f>
        <v/>
      </c>
      <c r="C970" s="2">
        <f>Raw_Transactions!C970</f>
        <v/>
      </c>
      <c r="D970" s="3">
        <f>Raw_Transactions!D970</f>
        <v/>
      </c>
      <c r="E970" s="2">
        <f>Raw_Transactions!E970</f>
        <v/>
      </c>
      <c r="F970" s="2">
        <f>Raw_Transactions!F970</f>
        <v/>
      </c>
      <c r="G970" s="2">
        <f>Raw_Transactions!G970</f>
        <v/>
      </c>
      <c r="H970" s="2">
        <f>XLOOKUP(B970,Raw_Risk_Profiles!$A:$A,Raw_Risk_Profiles!$B:$B,"Not Found")</f>
        <v/>
      </c>
      <c r="I970" s="2">
        <f>XLOOKUP(B970,Raw_Risk_Profiles!$A:$A,Raw_Risk_Profiles!$C:$C,"Missing")</f>
        <v/>
      </c>
      <c r="J970" s="2">
        <f>XLOOKUP(B970,Raw_Risk_Profiles!$A:$A,Raw_Risk_Profiles!$D:$D,"")</f>
        <v/>
      </c>
      <c r="K970" s="2">
        <f>IFERROR(INDEX(Raw_Risk_Profiles!$E:$E,MATCH(B970,Raw_Risk_Profiles!$A:$A,0)),"Unknown")</f>
        <v/>
      </c>
      <c r="L970" s="2">
        <f>IFERROR(XLOOKUP(A970,Raw_Alerts!$B:$B,Raw_Alerts!$A:$A),"No Alert")</f>
        <v/>
      </c>
      <c r="M970" s="2">
        <f>IFERROR(XLOOKUP(A970,Raw_Alerts!$B:$B,Raw_Alerts!$C:$C),"")</f>
        <v/>
      </c>
      <c r="N970" s="2">
        <f>IFERROR(XLOOKUP(A970,Raw_Alerts!$B:$B,Raw_Alerts!$D:$D),"")</f>
        <v/>
      </c>
      <c r="O970" s="2">
        <f>IFERROR(XLOOKUP(A970,Raw_Alerts!$B:$B,Raw_Alerts!$F:$F),"")</f>
        <v/>
      </c>
      <c r="P970" s="2">
        <f>IF(H970="Not Found","CRITICAL: No Risk Profile",IF(I970="Missing","WARN: Missing KYC",IF(I970="Expired","WARN: KYC Expired",IF(I970="Pending","INFO: KYC Pending","OK"))))</f>
        <v/>
      </c>
    </row>
    <row r="971">
      <c r="A971" s="4">
        <f>Raw_Transactions!A971</f>
        <v/>
      </c>
      <c r="B971" s="4">
        <f>Raw_Transactions!B971</f>
        <v/>
      </c>
      <c r="C971" s="4">
        <f>Raw_Transactions!C971</f>
        <v/>
      </c>
      <c r="D971" s="5">
        <f>Raw_Transactions!D971</f>
        <v/>
      </c>
      <c r="E971" s="4">
        <f>Raw_Transactions!E971</f>
        <v/>
      </c>
      <c r="F971" s="4">
        <f>Raw_Transactions!F971</f>
        <v/>
      </c>
      <c r="G971" s="4">
        <f>Raw_Transactions!G971</f>
        <v/>
      </c>
      <c r="H971" s="4">
        <f>XLOOKUP(B971,Raw_Risk_Profiles!$A:$A,Raw_Risk_Profiles!$B:$B,"Not Found")</f>
        <v/>
      </c>
      <c r="I971" s="4">
        <f>XLOOKUP(B971,Raw_Risk_Profiles!$A:$A,Raw_Risk_Profiles!$C:$C,"Missing")</f>
        <v/>
      </c>
      <c r="J971" s="4">
        <f>XLOOKUP(B971,Raw_Risk_Profiles!$A:$A,Raw_Risk_Profiles!$D:$D,"")</f>
        <v/>
      </c>
      <c r="K971" s="4">
        <f>IFERROR(INDEX(Raw_Risk_Profiles!$E:$E,MATCH(B971,Raw_Risk_Profiles!$A:$A,0)),"Unknown")</f>
        <v/>
      </c>
      <c r="L971" s="4">
        <f>IFERROR(XLOOKUP(A971,Raw_Alerts!$B:$B,Raw_Alerts!$A:$A),"No Alert")</f>
        <v/>
      </c>
      <c r="M971" s="4">
        <f>IFERROR(XLOOKUP(A971,Raw_Alerts!$B:$B,Raw_Alerts!$C:$C),"")</f>
        <v/>
      </c>
      <c r="N971" s="4">
        <f>IFERROR(XLOOKUP(A971,Raw_Alerts!$B:$B,Raw_Alerts!$D:$D),"")</f>
        <v/>
      </c>
      <c r="O971" s="4">
        <f>IFERROR(XLOOKUP(A971,Raw_Alerts!$B:$B,Raw_Alerts!$F:$F),"")</f>
        <v/>
      </c>
      <c r="P971" s="4">
        <f>IF(H971="Not Found","CRITICAL: No Risk Profile",IF(I971="Missing","WARN: Missing KYC",IF(I971="Expired","WARN: KYC Expired",IF(I971="Pending","INFO: KYC Pending","OK"))))</f>
        <v/>
      </c>
    </row>
    <row r="972">
      <c r="A972" s="2">
        <f>Raw_Transactions!A972</f>
        <v/>
      </c>
      <c r="B972" s="2">
        <f>Raw_Transactions!B972</f>
        <v/>
      </c>
      <c r="C972" s="2">
        <f>Raw_Transactions!C972</f>
        <v/>
      </c>
      <c r="D972" s="3">
        <f>Raw_Transactions!D972</f>
        <v/>
      </c>
      <c r="E972" s="2">
        <f>Raw_Transactions!E972</f>
        <v/>
      </c>
      <c r="F972" s="2">
        <f>Raw_Transactions!F972</f>
        <v/>
      </c>
      <c r="G972" s="2">
        <f>Raw_Transactions!G972</f>
        <v/>
      </c>
      <c r="H972" s="2">
        <f>XLOOKUP(B972,Raw_Risk_Profiles!$A:$A,Raw_Risk_Profiles!$B:$B,"Not Found")</f>
        <v/>
      </c>
      <c r="I972" s="2">
        <f>XLOOKUP(B972,Raw_Risk_Profiles!$A:$A,Raw_Risk_Profiles!$C:$C,"Missing")</f>
        <v/>
      </c>
      <c r="J972" s="2">
        <f>XLOOKUP(B972,Raw_Risk_Profiles!$A:$A,Raw_Risk_Profiles!$D:$D,"")</f>
        <v/>
      </c>
      <c r="K972" s="2">
        <f>IFERROR(INDEX(Raw_Risk_Profiles!$E:$E,MATCH(B972,Raw_Risk_Profiles!$A:$A,0)),"Unknown")</f>
        <v/>
      </c>
      <c r="L972" s="2">
        <f>IFERROR(XLOOKUP(A972,Raw_Alerts!$B:$B,Raw_Alerts!$A:$A),"No Alert")</f>
        <v/>
      </c>
      <c r="M972" s="2">
        <f>IFERROR(XLOOKUP(A972,Raw_Alerts!$B:$B,Raw_Alerts!$C:$C),"")</f>
        <v/>
      </c>
      <c r="N972" s="2">
        <f>IFERROR(XLOOKUP(A972,Raw_Alerts!$B:$B,Raw_Alerts!$D:$D),"")</f>
        <v/>
      </c>
      <c r="O972" s="2">
        <f>IFERROR(XLOOKUP(A972,Raw_Alerts!$B:$B,Raw_Alerts!$F:$F),"")</f>
        <v/>
      </c>
      <c r="P972" s="2">
        <f>IF(H972="Not Found","CRITICAL: No Risk Profile",IF(I972="Missing","WARN: Missing KYC",IF(I972="Expired","WARN: KYC Expired",IF(I972="Pending","INFO: KYC Pending","OK"))))</f>
        <v/>
      </c>
    </row>
    <row r="973">
      <c r="A973" s="4">
        <f>Raw_Transactions!A973</f>
        <v/>
      </c>
      <c r="B973" s="4">
        <f>Raw_Transactions!B973</f>
        <v/>
      </c>
      <c r="C973" s="4">
        <f>Raw_Transactions!C973</f>
        <v/>
      </c>
      <c r="D973" s="5">
        <f>Raw_Transactions!D973</f>
        <v/>
      </c>
      <c r="E973" s="4">
        <f>Raw_Transactions!E973</f>
        <v/>
      </c>
      <c r="F973" s="4">
        <f>Raw_Transactions!F973</f>
        <v/>
      </c>
      <c r="G973" s="4">
        <f>Raw_Transactions!G973</f>
        <v/>
      </c>
      <c r="H973" s="4">
        <f>XLOOKUP(B973,Raw_Risk_Profiles!$A:$A,Raw_Risk_Profiles!$B:$B,"Not Found")</f>
        <v/>
      </c>
      <c r="I973" s="4">
        <f>XLOOKUP(B973,Raw_Risk_Profiles!$A:$A,Raw_Risk_Profiles!$C:$C,"Missing")</f>
        <v/>
      </c>
      <c r="J973" s="4">
        <f>XLOOKUP(B973,Raw_Risk_Profiles!$A:$A,Raw_Risk_Profiles!$D:$D,"")</f>
        <v/>
      </c>
      <c r="K973" s="4">
        <f>IFERROR(INDEX(Raw_Risk_Profiles!$E:$E,MATCH(B973,Raw_Risk_Profiles!$A:$A,0)),"Unknown")</f>
        <v/>
      </c>
      <c r="L973" s="4">
        <f>IFERROR(XLOOKUP(A973,Raw_Alerts!$B:$B,Raw_Alerts!$A:$A),"No Alert")</f>
        <v/>
      </c>
      <c r="M973" s="4">
        <f>IFERROR(XLOOKUP(A973,Raw_Alerts!$B:$B,Raw_Alerts!$C:$C),"")</f>
        <v/>
      </c>
      <c r="N973" s="4">
        <f>IFERROR(XLOOKUP(A973,Raw_Alerts!$B:$B,Raw_Alerts!$D:$D),"")</f>
        <v/>
      </c>
      <c r="O973" s="4">
        <f>IFERROR(XLOOKUP(A973,Raw_Alerts!$B:$B,Raw_Alerts!$F:$F),"")</f>
        <v/>
      </c>
      <c r="P973" s="4">
        <f>IF(H973="Not Found","CRITICAL: No Risk Profile",IF(I973="Missing","WARN: Missing KYC",IF(I973="Expired","WARN: KYC Expired",IF(I973="Pending","INFO: KYC Pending","OK"))))</f>
        <v/>
      </c>
    </row>
    <row r="974">
      <c r="A974" s="2">
        <f>Raw_Transactions!A974</f>
        <v/>
      </c>
      <c r="B974" s="2">
        <f>Raw_Transactions!B974</f>
        <v/>
      </c>
      <c r="C974" s="2">
        <f>Raw_Transactions!C974</f>
        <v/>
      </c>
      <c r="D974" s="3">
        <f>Raw_Transactions!D974</f>
        <v/>
      </c>
      <c r="E974" s="2">
        <f>Raw_Transactions!E974</f>
        <v/>
      </c>
      <c r="F974" s="2">
        <f>Raw_Transactions!F974</f>
        <v/>
      </c>
      <c r="G974" s="2">
        <f>Raw_Transactions!G974</f>
        <v/>
      </c>
      <c r="H974" s="2">
        <f>XLOOKUP(B974,Raw_Risk_Profiles!$A:$A,Raw_Risk_Profiles!$B:$B,"Not Found")</f>
        <v/>
      </c>
      <c r="I974" s="2">
        <f>XLOOKUP(B974,Raw_Risk_Profiles!$A:$A,Raw_Risk_Profiles!$C:$C,"Missing")</f>
        <v/>
      </c>
      <c r="J974" s="2">
        <f>XLOOKUP(B974,Raw_Risk_Profiles!$A:$A,Raw_Risk_Profiles!$D:$D,"")</f>
        <v/>
      </c>
      <c r="K974" s="2">
        <f>IFERROR(INDEX(Raw_Risk_Profiles!$E:$E,MATCH(B974,Raw_Risk_Profiles!$A:$A,0)),"Unknown")</f>
        <v/>
      </c>
      <c r="L974" s="2">
        <f>IFERROR(XLOOKUP(A974,Raw_Alerts!$B:$B,Raw_Alerts!$A:$A),"No Alert")</f>
        <v/>
      </c>
      <c r="M974" s="2">
        <f>IFERROR(XLOOKUP(A974,Raw_Alerts!$B:$B,Raw_Alerts!$C:$C),"")</f>
        <v/>
      </c>
      <c r="N974" s="2">
        <f>IFERROR(XLOOKUP(A974,Raw_Alerts!$B:$B,Raw_Alerts!$D:$D),"")</f>
        <v/>
      </c>
      <c r="O974" s="2">
        <f>IFERROR(XLOOKUP(A974,Raw_Alerts!$B:$B,Raw_Alerts!$F:$F),"")</f>
        <v/>
      </c>
      <c r="P974" s="2">
        <f>IF(H974="Not Found","CRITICAL: No Risk Profile",IF(I974="Missing","WARN: Missing KYC",IF(I974="Expired","WARN: KYC Expired",IF(I974="Pending","INFO: KYC Pending","OK"))))</f>
        <v/>
      </c>
    </row>
    <row r="975">
      <c r="A975" s="4">
        <f>Raw_Transactions!A975</f>
        <v/>
      </c>
      <c r="B975" s="4">
        <f>Raw_Transactions!B975</f>
        <v/>
      </c>
      <c r="C975" s="4">
        <f>Raw_Transactions!C975</f>
        <v/>
      </c>
      <c r="D975" s="5">
        <f>Raw_Transactions!D975</f>
        <v/>
      </c>
      <c r="E975" s="4">
        <f>Raw_Transactions!E975</f>
        <v/>
      </c>
      <c r="F975" s="4">
        <f>Raw_Transactions!F975</f>
        <v/>
      </c>
      <c r="G975" s="4">
        <f>Raw_Transactions!G975</f>
        <v/>
      </c>
      <c r="H975" s="4">
        <f>XLOOKUP(B975,Raw_Risk_Profiles!$A:$A,Raw_Risk_Profiles!$B:$B,"Not Found")</f>
        <v/>
      </c>
      <c r="I975" s="4">
        <f>XLOOKUP(B975,Raw_Risk_Profiles!$A:$A,Raw_Risk_Profiles!$C:$C,"Missing")</f>
        <v/>
      </c>
      <c r="J975" s="4">
        <f>XLOOKUP(B975,Raw_Risk_Profiles!$A:$A,Raw_Risk_Profiles!$D:$D,"")</f>
        <v/>
      </c>
      <c r="K975" s="4">
        <f>IFERROR(INDEX(Raw_Risk_Profiles!$E:$E,MATCH(B975,Raw_Risk_Profiles!$A:$A,0)),"Unknown")</f>
        <v/>
      </c>
      <c r="L975" s="4">
        <f>IFERROR(XLOOKUP(A975,Raw_Alerts!$B:$B,Raw_Alerts!$A:$A),"No Alert")</f>
        <v/>
      </c>
      <c r="M975" s="4">
        <f>IFERROR(XLOOKUP(A975,Raw_Alerts!$B:$B,Raw_Alerts!$C:$C),"")</f>
        <v/>
      </c>
      <c r="N975" s="4">
        <f>IFERROR(XLOOKUP(A975,Raw_Alerts!$B:$B,Raw_Alerts!$D:$D),"")</f>
        <v/>
      </c>
      <c r="O975" s="4">
        <f>IFERROR(XLOOKUP(A975,Raw_Alerts!$B:$B,Raw_Alerts!$F:$F),"")</f>
        <v/>
      </c>
      <c r="P975" s="4">
        <f>IF(H975="Not Found","CRITICAL: No Risk Profile",IF(I975="Missing","WARN: Missing KYC",IF(I975="Expired","WARN: KYC Expired",IF(I975="Pending","INFO: KYC Pending","OK"))))</f>
        <v/>
      </c>
    </row>
    <row r="976">
      <c r="A976" s="2">
        <f>Raw_Transactions!A976</f>
        <v/>
      </c>
      <c r="B976" s="2">
        <f>Raw_Transactions!B976</f>
        <v/>
      </c>
      <c r="C976" s="2">
        <f>Raw_Transactions!C976</f>
        <v/>
      </c>
      <c r="D976" s="3">
        <f>Raw_Transactions!D976</f>
        <v/>
      </c>
      <c r="E976" s="2">
        <f>Raw_Transactions!E976</f>
        <v/>
      </c>
      <c r="F976" s="2">
        <f>Raw_Transactions!F976</f>
        <v/>
      </c>
      <c r="G976" s="2">
        <f>Raw_Transactions!G976</f>
        <v/>
      </c>
      <c r="H976" s="2">
        <f>XLOOKUP(B976,Raw_Risk_Profiles!$A:$A,Raw_Risk_Profiles!$B:$B,"Not Found")</f>
        <v/>
      </c>
      <c r="I976" s="2">
        <f>XLOOKUP(B976,Raw_Risk_Profiles!$A:$A,Raw_Risk_Profiles!$C:$C,"Missing")</f>
        <v/>
      </c>
      <c r="J976" s="2">
        <f>XLOOKUP(B976,Raw_Risk_Profiles!$A:$A,Raw_Risk_Profiles!$D:$D,"")</f>
        <v/>
      </c>
      <c r="K976" s="2">
        <f>IFERROR(INDEX(Raw_Risk_Profiles!$E:$E,MATCH(B976,Raw_Risk_Profiles!$A:$A,0)),"Unknown")</f>
        <v/>
      </c>
      <c r="L976" s="2">
        <f>IFERROR(XLOOKUP(A976,Raw_Alerts!$B:$B,Raw_Alerts!$A:$A),"No Alert")</f>
        <v/>
      </c>
      <c r="M976" s="2">
        <f>IFERROR(XLOOKUP(A976,Raw_Alerts!$B:$B,Raw_Alerts!$C:$C),"")</f>
        <v/>
      </c>
      <c r="N976" s="2">
        <f>IFERROR(XLOOKUP(A976,Raw_Alerts!$B:$B,Raw_Alerts!$D:$D),"")</f>
        <v/>
      </c>
      <c r="O976" s="2">
        <f>IFERROR(XLOOKUP(A976,Raw_Alerts!$B:$B,Raw_Alerts!$F:$F),"")</f>
        <v/>
      </c>
      <c r="P976" s="2">
        <f>IF(H976="Not Found","CRITICAL: No Risk Profile",IF(I976="Missing","WARN: Missing KYC",IF(I976="Expired","WARN: KYC Expired",IF(I976="Pending","INFO: KYC Pending","OK"))))</f>
        <v/>
      </c>
    </row>
    <row r="977">
      <c r="A977" s="4">
        <f>Raw_Transactions!A977</f>
        <v/>
      </c>
      <c r="B977" s="4">
        <f>Raw_Transactions!B977</f>
        <v/>
      </c>
      <c r="C977" s="4">
        <f>Raw_Transactions!C977</f>
        <v/>
      </c>
      <c r="D977" s="5">
        <f>Raw_Transactions!D977</f>
        <v/>
      </c>
      <c r="E977" s="4">
        <f>Raw_Transactions!E977</f>
        <v/>
      </c>
      <c r="F977" s="4">
        <f>Raw_Transactions!F977</f>
        <v/>
      </c>
      <c r="G977" s="4">
        <f>Raw_Transactions!G977</f>
        <v/>
      </c>
      <c r="H977" s="4">
        <f>XLOOKUP(B977,Raw_Risk_Profiles!$A:$A,Raw_Risk_Profiles!$B:$B,"Not Found")</f>
        <v/>
      </c>
      <c r="I977" s="4">
        <f>XLOOKUP(B977,Raw_Risk_Profiles!$A:$A,Raw_Risk_Profiles!$C:$C,"Missing")</f>
        <v/>
      </c>
      <c r="J977" s="4">
        <f>XLOOKUP(B977,Raw_Risk_Profiles!$A:$A,Raw_Risk_Profiles!$D:$D,"")</f>
        <v/>
      </c>
      <c r="K977" s="4">
        <f>IFERROR(INDEX(Raw_Risk_Profiles!$E:$E,MATCH(B977,Raw_Risk_Profiles!$A:$A,0)),"Unknown")</f>
        <v/>
      </c>
      <c r="L977" s="4">
        <f>IFERROR(XLOOKUP(A977,Raw_Alerts!$B:$B,Raw_Alerts!$A:$A),"No Alert")</f>
        <v/>
      </c>
      <c r="M977" s="4">
        <f>IFERROR(XLOOKUP(A977,Raw_Alerts!$B:$B,Raw_Alerts!$C:$C),"")</f>
        <v/>
      </c>
      <c r="N977" s="4">
        <f>IFERROR(XLOOKUP(A977,Raw_Alerts!$B:$B,Raw_Alerts!$D:$D),"")</f>
        <v/>
      </c>
      <c r="O977" s="4">
        <f>IFERROR(XLOOKUP(A977,Raw_Alerts!$B:$B,Raw_Alerts!$F:$F),"")</f>
        <v/>
      </c>
      <c r="P977" s="4">
        <f>IF(H977="Not Found","CRITICAL: No Risk Profile",IF(I977="Missing","WARN: Missing KYC",IF(I977="Expired","WARN: KYC Expired",IF(I977="Pending","INFO: KYC Pending","OK"))))</f>
        <v/>
      </c>
    </row>
    <row r="978">
      <c r="A978" s="2">
        <f>Raw_Transactions!A978</f>
        <v/>
      </c>
      <c r="B978" s="2">
        <f>Raw_Transactions!B978</f>
        <v/>
      </c>
      <c r="C978" s="2">
        <f>Raw_Transactions!C978</f>
        <v/>
      </c>
      <c r="D978" s="3">
        <f>Raw_Transactions!D978</f>
        <v/>
      </c>
      <c r="E978" s="2">
        <f>Raw_Transactions!E978</f>
        <v/>
      </c>
      <c r="F978" s="2">
        <f>Raw_Transactions!F978</f>
        <v/>
      </c>
      <c r="G978" s="2">
        <f>Raw_Transactions!G978</f>
        <v/>
      </c>
      <c r="H978" s="2">
        <f>XLOOKUP(B978,Raw_Risk_Profiles!$A:$A,Raw_Risk_Profiles!$B:$B,"Not Found")</f>
        <v/>
      </c>
      <c r="I978" s="2">
        <f>XLOOKUP(B978,Raw_Risk_Profiles!$A:$A,Raw_Risk_Profiles!$C:$C,"Missing")</f>
        <v/>
      </c>
      <c r="J978" s="2">
        <f>XLOOKUP(B978,Raw_Risk_Profiles!$A:$A,Raw_Risk_Profiles!$D:$D,"")</f>
        <v/>
      </c>
      <c r="K978" s="2">
        <f>IFERROR(INDEX(Raw_Risk_Profiles!$E:$E,MATCH(B978,Raw_Risk_Profiles!$A:$A,0)),"Unknown")</f>
        <v/>
      </c>
      <c r="L978" s="2">
        <f>IFERROR(XLOOKUP(A978,Raw_Alerts!$B:$B,Raw_Alerts!$A:$A),"No Alert")</f>
        <v/>
      </c>
      <c r="M978" s="2">
        <f>IFERROR(XLOOKUP(A978,Raw_Alerts!$B:$B,Raw_Alerts!$C:$C),"")</f>
        <v/>
      </c>
      <c r="N978" s="2">
        <f>IFERROR(XLOOKUP(A978,Raw_Alerts!$B:$B,Raw_Alerts!$D:$D),"")</f>
        <v/>
      </c>
      <c r="O978" s="2">
        <f>IFERROR(XLOOKUP(A978,Raw_Alerts!$B:$B,Raw_Alerts!$F:$F),"")</f>
        <v/>
      </c>
      <c r="P978" s="2">
        <f>IF(H978="Not Found","CRITICAL: No Risk Profile",IF(I978="Missing","WARN: Missing KYC",IF(I978="Expired","WARN: KYC Expired",IF(I978="Pending","INFO: KYC Pending","OK"))))</f>
        <v/>
      </c>
    </row>
    <row r="979">
      <c r="A979" s="4">
        <f>Raw_Transactions!A979</f>
        <v/>
      </c>
      <c r="B979" s="4">
        <f>Raw_Transactions!B979</f>
        <v/>
      </c>
      <c r="C979" s="4">
        <f>Raw_Transactions!C979</f>
        <v/>
      </c>
      <c r="D979" s="5">
        <f>Raw_Transactions!D979</f>
        <v/>
      </c>
      <c r="E979" s="4">
        <f>Raw_Transactions!E979</f>
        <v/>
      </c>
      <c r="F979" s="4">
        <f>Raw_Transactions!F979</f>
        <v/>
      </c>
      <c r="G979" s="4">
        <f>Raw_Transactions!G979</f>
        <v/>
      </c>
      <c r="H979" s="4">
        <f>XLOOKUP(B979,Raw_Risk_Profiles!$A:$A,Raw_Risk_Profiles!$B:$B,"Not Found")</f>
        <v/>
      </c>
      <c r="I979" s="4">
        <f>XLOOKUP(B979,Raw_Risk_Profiles!$A:$A,Raw_Risk_Profiles!$C:$C,"Missing")</f>
        <v/>
      </c>
      <c r="J979" s="4">
        <f>XLOOKUP(B979,Raw_Risk_Profiles!$A:$A,Raw_Risk_Profiles!$D:$D,"")</f>
        <v/>
      </c>
      <c r="K979" s="4">
        <f>IFERROR(INDEX(Raw_Risk_Profiles!$E:$E,MATCH(B979,Raw_Risk_Profiles!$A:$A,0)),"Unknown")</f>
        <v/>
      </c>
      <c r="L979" s="4">
        <f>IFERROR(XLOOKUP(A979,Raw_Alerts!$B:$B,Raw_Alerts!$A:$A),"No Alert")</f>
        <v/>
      </c>
      <c r="M979" s="4">
        <f>IFERROR(XLOOKUP(A979,Raw_Alerts!$B:$B,Raw_Alerts!$C:$C),"")</f>
        <v/>
      </c>
      <c r="N979" s="4">
        <f>IFERROR(XLOOKUP(A979,Raw_Alerts!$B:$B,Raw_Alerts!$D:$D),"")</f>
        <v/>
      </c>
      <c r="O979" s="4">
        <f>IFERROR(XLOOKUP(A979,Raw_Alerts!$B:$B,Raw_Alerts!$F:$F),"")</f>
        <v/>
      </c>
      <c r="P979" s="4">
        <f>IF(H979="Not Found","CRITICAL: No Risk Profile",IF(I979="Missing","WARN: Missing KYC",IF(I979="Expired","WARN: KYC Expired",IF(I979="Pending","INFO: KYC Pending","OK"))))</f>
        <v/>
      </c>
    </row>
    <row r="980">
      <c r="A980" s="2">
        <f>Raw_Transactions!A980</f>
        <v/>
      </c>
      <c r="B980" s="2">
        <f>Raw_Transactions!B980</f>
        <v/>
      </c>
      <c r="C980" s="2">
        <f>Raw_Transactions!C980</f>
        <v/>
      </c>
      <c r="D980" s="3">
        <f>Raw_Transactions!D980</f>
        <v/>
      </c>
      <c r="E980" s="2">
        <f>Raw_Transactions!E980</f>
        <v/>
      </c>
      <c r="F980" s="2">
        <f>Raw_Transactions!F980</f>
        <v/>
      </c>
      <c r="G980" s="2">
        <f>Raw_Transactions!G980</f>
        <v/>
      </c>
      <c r="H980" s="2">
        <f>XLOOKUP(B980,Raw_Risk_Profiles!$A:$A,Raw_Risk_Profiles!$B:$B,"Not Found")</f>
        <v/>
      </c>
      <c r="I980" s="2">
        <f>XLOOKUP(B980,Raw_Risk_Profiles!$A:$A,Raw_Risk_Profiles!$C:$C,"Missing")</f>
        <v/>
      </c>
      <c r="J980" s="2">
        <f>XLOOKUP(B980,Raw_Risk_Profiles!$A:$A,Raw_Risk_Profiles!$D:$D,"")</f>
        <v/>
      </c>
      <c r="K980" s="2">
        <f>IFERROR(INDEX(Raw_Risk_Profiles!$E:$E,MATCH(B980,Raw_Risk_Profiles!$A:$A,0)),"Unknown")</f>
        <v/>
      </c>
      <c r="L980" s="2">
        <f>IFERROR(XLOOKUP(A980,Raw_Alerts!$B:$B,Raw_Alerts!$A:$A),"No Alert")</f>
        <v/>
      </c>
      <c r="M980" s="2">
        <f>IFERROR(XLOOKUP(A980,Raw_Alerts!$B:$B,Raw_Alerts!$C:$C),"")</f>
        <v/>
      </c>
      <c r="N980" s="2">
        <f>IFERROR(XLOOKUP(A980,Raw_Alerts!$B:$B,Raw_Alerts!$D:$D),"")</f>
        <v/>
      </c>
      <c r="O980" s="2">
        <f>IFERROR(XLOOKUP(A980,Raw_Alerts!$B:$B,Raw_Alerts!$F:$F),"")</f>
        <v/>
      </c>
      <c r="P980" s="2">
        <f>IF(H980="Not Found","CRITICAL: No Risk Profile",IF(I980="Missing","WARN: Missing KYC",IF(I980="Expired","WARN: KYC Expired",IF(I980="Pending","INFO: KYC Pending","OK"))))</f>
        <v/>
      </c>
    </row>
    <row r="981">
      <c r="A981" s="4">
        <f>Raw_Transactions!A981</f>
        <v/>
      </c>
      <c r="B981" s="4">
        <f>Raw_Transactions!B981</f>
        <v/>
      </c>
      <c r="C981" s="4">
        <f>Raw_Transactions!C981</f>
        <v/>
      </c>
      <c r="D981" s="5">
        <f>Raw_Transactions!D981</f>
        <v/>
      </c>
      <c r="E981" s="4">
        <f>Raw_Transactions!E981</f>
        <v/>
      </c>
      <c r="F981" s="4">
        <f>Raw_Transactions!F981</f>
        <v/>
      </c>
      <c r="G981" s="4">
        <f>Raw_Transactions!G981</f>
        <v/>
      </c>
      <c r="H981" s="4">
        <f>XLOOKUP(B981,Raw_Risk_Profiles!$A:$A,Raw_Risk_Profiles!$B:$B,"Not Found")</f>
        <v/>
      </c>
      <c r="I981" s="4">
        <f>XLOOKUP(B981,Raw_Risk_Profiles!$A:$A,Raw_Risk_Profiles!$C:$C,"Missing")</f>
        <v/>
      </c>
      <c r="J981" s="4">
        <f>XLOOKUP(B981,Raw_Risk_Profiles!$A:$A,Raw_Risk_Profiles!$D:$D,"")</f>
        <v/>
      </c>
      <c r="K981" s="4">
        <f>IFERROR(INDEX(Raw_Risk_Profiles!$E:$E,MATCH(B981,Raw_Risk_Profiles!$A:$A,0)),"Unknown")</f>
        <v/>
      </c>
      <c r="L981" s="4">
        <f>IFERROR(XLOOKUP(A981,Raw_Alerts!$B:$B,Raw_Alerts!$A:$A),"No Alert")</f>
        <v/>
      </c>
      <c r="M981" s="4">
        <f>IFERROR(XLOOKUP(A981,Raw_Alerts!$B:$B,Raw_Alerts!$C:$C),"")</f>
        <v/>
      </c>
      <c r="N981" s="4">
        <f>IFERROR(XLOOKUP(A981,Raw_Alerts!$B:$B,Raw_Alerts!$D:$D),"")</f>
        <v/>
      </c>
      <c r="O981" s="4">
        <f>IFERROR(XLOOKUP(A981,Raw_Alerts!$B:$B,Raw_Alerts!$F:$F),"")</f>
        <v/>
      </c>
      <c r="P981" s="4">
        <f>IF(H981="Not Found","CRITICAL: No Risk Profile",IF(I981="Missing","WARN: Missing KYC",IF(I981="Expired","WARN: KYC Expired",IF(I981="Pending","INFO: KYC Pending","OK"))))</f>
        <v/>
      </c>
    </row>
    <row r="982">
      <c r="A982" s="2">
        <f>Raw_Transactions!A982</f>
        <v/>
      </c>
      <c r="B982" s="2">
        <f>Raw_Transactions!B982</f>
        <v/>
      </c>
      <c r="C982" s="2">
        <f>Raw_Transactions!C982</f>
        <v/>
      </c>
      <c r="D982" s="3">
        <f>Raw_Transactions!D982</f>
        <v/>
      </c>
      <c r="E982" s="2">
        <f>Raw_Transactions!E982</f>
        <v/>
      </c>
      <c r="F982" s="2">
        <f>Raw_Transactions!F982</f>
        <v/>
      </c>
      <c r="G982" s="2">
        <f>Raw_Transactions!G982</f>
        <v/>
      </c>
      <c r="H982" s="2">
        <f>XLOOKUP(B982,Raw_Risk_Profiles!$A:$A,Raw_Risk_Profiles!$B:$B,"Not Found")</f>
        <v/>
      </c>
      <c r="I982" s="2">
        <f>XLOOKUP(B982,Raw_Risk_Profiles!$A:$A,Raw_Risk_Profiles!$C:$C,"Missing")</f>
        <v/>
      </c>
      <c r="J982" s="2">
        <f>XLOOKUP(B982,Raw_Risk_Profiles!$A:$A,Raw_Risk_Profiles!$D:$D,"")</f>
        <v/>
      </c>
      <c r="K982" s="2">
        <f>IFERROR(INDEX(Raw_Risk_Profiles!$E:$E,MATCH(B982,Raw_Risk_Profiles!$A:$A,0)),"Unknown")</f>
        <v/>
      </c>
      <c r="L982" s="2">
        <f>IFERROR(XLOOKUP(A982,Raw_Alerts!$B:$B,Raw_Alerts!$A:$A),"No Alert")</f>
        <v/>
      </c>
      <c r="M982" s="2">
        <f>IFERROR(XLOOKUP(A982,Raw_Alerts!$B:$B,Raw_Alerts!$C:$C),"")</f>
        <v/>
      </c>
      <c r="N982" s="2">
        <f>IFERROR(XLOOKUP(A982,Raw_Alerts!$B:$B,Raw_Alerts!$D:$D),"")</f>
        <v/>
      </c>
      <c r="O982" s="2">
        <f>IFERROR(XLOOKUP(A982,Raw_Alerts!$B:$B,Raw_Alerts!$F:$F),"")</f>
        <v/>
      </c>
      <c r="P982" s="2">
        <f>IF(H982="Not Found","CRITICAL: No Risk Profile",IF(I982="Missing","WARN: Missing KYC",IF(I982="Expired","WARN: KYC Expired",IF(I982="Pending","INFO: KYC Pending","OK"))))</f>
        <v/>
      </c>
    </row>
    <row r="983">
      <c r="A983" s="4">
        <f>Raw_Transactions!A983</f>
        <v/>
      </c>
      <c r="B983" s="4">
        <f>Raw_Transactions!B983</f>
        <v/>
      </c>
      <c r="C983" s="4">
        <f>Raw_Transactions!C983</f>
        <v/>
      </c>
      <c r="D983" s="5">
        <f>Raw_Transactions!D983</f>
        <v/>
      </c>
      <c r="E983" s="4">
        <f>Raw_Transactions!E983</f>
        <v/>
      </c>
      <c r="F983" s="4">
        <f>Raw_Transactions!F983</f>
        <v/>
      </c>
      <c r="G983" s="4">
        <f>Raw_Transactions!G983</f>
        <v/>
      </c>
      <c r="H983" s="4">
        <f>XLOOKUP(B983,Raw_Risk_Profiles!$A:$A,Raw_Risk_Profiles!$B:$B,"Not Found")</f>
        <v/>
      </c>
      <c r="I983" s="4">
        <f>XLOOKUP(B983,Raw_Risk_Profiles!$A:$A,Raw_Risk_Profiles!$C:$C,"Missing")</f>
        <v/>
      </c>
      <c r="J983" s="4">
        <f>XLOOKUP(B983,Raw_Risk_Profiles!$A:$A,Raw_Risk_Profiles!$D:$D,"")</f>
        <v/>
      </c>
      <c r="K983" s="4">
        <f>IFERROR(INDEX(Raw_Risk_Profiles!$E:$E,MATCH(B983,Raw_Risk_Profiles!$A:$A,0)),"Unknown")</f>
        <v/>
      </c>
      <c r="L983" s="4">
        <f>IFERROR(XLOOKUP(A983,Raw_Alerts!$B:$B,Raw_Alerts!$A:$A),"No Alert")</f>
        <v/>
      </c>
      <c r="M983" s="4">
        <f>IFERROR(XLOOKUP(A983,Raw_Alerts!$B:$B,Raw_Alerts!$C:$C),"")</f>
        <v/>
      </c>
      <c r="N983" s="4">
        <f>IFERROR(XLOOKUP(A983,Raw_Alerts!$B:$B,Raw_Alerts!$D:$D),"")</f>
        <v/>
      </c>
      <c r="O983" s="4">
        <f>IFERROR(XLOOKUP(A983,Raw_Alerts!$B:$B,Raw_Alerts!$F:$F),"")</f>
        <v/>
      </c>
      <c r="P983" s="4">
        <f>IF(H983="Not Found","CRITICAL: No Risk Profile",IF(I983="Missing","WARN: Missing KYC",IF(I983="Expired","WARN: KYC Expired",IF(I983="Pending","INFO: KYC Pending","OK"))))</f>
        <v/>
      </c>
    </row>
    <row r="984">
      <c r="A984" s="2">
        <f>Raw_Transactions!A984</f>
        <v/>
      </c>
      <c r="B984" s="2">
        <f>Raw_Transactions!B984</f>
        <v/>
      </c>
      <c r="C984" s="2">
        <f>Raw_Transactions!C984</f>
        <v/>
      </c>
      <c r="D984" s="3">
        <f>Raw_Transactions!D984</f>
        <v/>
      </c>
      <c r="E984" s="2">
        <f>Raw_Transactions!E984</f>
        <v/>
      </c>
      <c r="F984" s="2">
        <f>Raw_Transactions!F984</f>
        <v/>
      </c>
      <c r="G984" s="2">
        <f>Raw_Transactions!G984</f>
        <v/>
      </c>
      <c r="H984" s="2">
        <f>XLOOKUP(B984,Raw_Risk_Profiles!$A:$A,Raw_Risk_Profiles!$B:$B,"Not Found")</f>
        <v/>
      </c>
      <c r="I984" s="2">
        <f>XLOOKUP(B984,Raw_Risk_Profiles!$A:$A,Raw_Risk_Profiles!$C:$C,"Missing")</f>
        <v/>
      </c>
      <c r="J984" s="2">
        <f>XLOOKUP(B984,Raw_Risk_Profiles!$A:$A,Raw_Risk_Profiles!$D:$D,"")</f>
        <v/>
      </c>
      <c r="K984" s="2">
        <f>IFERROR(INDEX(Raw_Risk_Profiles!$E:$E,MATCH(B984,Raw_Risk_Profiles!$A:$A,0)),"Unknown")</f>
        <v/>
      </c>
      <c r="L984" s="2">
        <f>IFERROR(XLOOKUP(A984,Raw_Alerts!$B:$B,Raw_Alerts!$A:$A),"No Alert")</f>
        <v/>
      </c>
      <c r="M984" s="2">
        <f>IFERROR(XLOOKUP(A984,Raw_Alerts!$B:$B,Raw_Alerts!$C:$C),"")</f>
        <v/>
      </c>
      <c r="N984" s="2">
        <f>IFERROR(XLOOKUP(A984,Raw_Alerts!$B:$B,Raw_Alerts!$D:$D),"")</f>
        <v/>
      </c>
      <c r="O984" s="2">
        <f>IFERROR(XLOOKUP(A984,Raw_Alerts!$B:$B,Raw_Alerts!$F:$F),"")</f>
        <v/>
      </c>
      <c r="P984" s="2">
        <f>IF(H984="Not Found","CRITICAL: No Risk Profile",IF(I984="Missing","WARN: Missing KYC",IF(I984="Expired","WARN: KYC Expired",IF(I984="Pending","INFO: KYC Pending","OK"))))</f>
        <v/>
      </c>
    </row>
    <row r="985">
      <c r="A985" s="4">
        <f>Raw_Transactions!A985</f>
        <v/>
      </c>
      <c r="B985" s="4">
        <f>Raw_Transactions!B985</f>
        <v/>
      </c>
      <c r="C985" s="4">
        <f>Raw_Transactions!C985</f>
        <v/>
      </c>
      <c r="D985" s="5">
        <f>Raw_Transactions!D985</f>
        <v/>
      </c>
      <c r="E985" s="4">
        <f>Raw_Transactions!E985</f>
        <v/>
      </c>
      <c r="F985" s="4">
        <f>Raw_Transactions!F985</f>
        <v/>
      </c>
      <c r="G985" s="4">
        <f>Raw_Transactions!G985</f>
        <v/>
      </c>
      <c r="H985" s="4">
        <f>XLOOKUP(B985,Raw_Risk_Profiles!$A:$A,Raw_Risk_Profiles!$B:$B,"Not Found")</f>
        <v/>
      </c>
      <c r="I985" s="4">
        <f>XLOOKUP(B985,Raw_Risk_Profiles!$A:$A,Raw_Risk_Profiles!$C:$C,"Missing")</f>
        <v/>
      </c>
      <c r="J985" s="4">
        <f>XLOOKUP(B985,Raw_Risk_Profiles!$A:$A,Raw_Risk_Profiles!$D:$D,"")</f>
        <v/>
      </c>
      <c r="K985" s="4">
        <f>IFERROR(INDEX(Raw_Risk_Profiles!$E:$E,MATCH(B985,Raw_Risk_Profiles!$A:$A,0)),"Unknown")</f>
        <v/>
      </c>
      <c r="L985" s="4">
        <f>IFERROR(XLOOKUP(A985,Raw_Alerts!$B:$B,Raw_Alerts!$A:$A),"No Alert")</f>
        <v/>
      </c>
      <c r="M985" s="4">
        <f>IFERROR(XLOOKUP(A985,Raw_Alerts!$B:$B,Raw_Alerts!$C:$C),"")</f>
        <v/>
      </c>
      <c r="N985" s="4">
        <f>IFERROR(XLOOKUP(A985,Raw_Alerts!$B:$B,Raw_Alerts!$D:$D),"")</f>
        <v/>
      </c>
      <c r="O985" s="4">
        <f>IFERROR(XLOOKUP(A985,Raw_Alerts!$B:$B,Raw_Alerts!$F:$F),"")</f>
        <v/>
      </c>
      <c r="P985" s="4">
        <f>IF(H985="Not Found","CRITICAL: No Risk Profile",IF(I985="Missing","WARN: Missing KYC",IF(I985="Expired","WARN: KYC Expired",IF(I985="Pending","INFO: KYC Pending","OK"))))</f>
        <v/>
      </c>
    </row>
    <row r="986">
      <c r="A986" s="2">
        <f>Raw_Transactions!A986</f>
        <v/>
      </c>
      <c r="B986" s="2">
        <f>Raw_Transactions!B986</f>
        <v/>
      </c>
      <c r="C986" s="2">
        <f>Raw_Transactions!C986</f>
        <v/>
      </c>
      <c r="D986" s="3">
        <f>Raw_Transactions!D986</f>
        <v/>
      </c>
      <c r="E986" s="2">
        <f>Raw_Transactions!E986</f>
        <v/>
      </c>
      <c r="F986" s="2">
        <f>Raw_Transactions!F986</f>
        <v/>
      </c>
      <c r="G986" s="2">
        <f>Raw_Transactions!G986</f>
        <v/>
      </c>
      <c r="H986" s="2">
        <f>XLOOKUP(B986,Raw_Risk_Profiles!$A:$A,Raw_Risk_Profiles!$B:$B,"Not Found")</f>
        <v/>
      </c>
      <c r="I986" s="2">
        <f>XLOOKUP(B986,Raw_Risk_Profiles!$A:$A,Raw_Risk_Profiles!$C:$C,"Missing")</f>
        <v/>
      </c>
      <c r="J986" s="2">
        <f>XLOOKUP(B986,Raw_Risk_Profiles!$A:$A,Raw_Risk_Profiles!$D:$D,"")</f>
        <v/>
      </c>
      <c r="K986" s="2">
        <f>IFERROR(INDEX(Raw_Risk_Profiles!$E:$E,MATCH(B986,Raw_Risk_Profiles!$A:$A,0)),"Unknown")</f>
        <v/>
      </c>
      <c r="L986" s="2">
        <f>IFERROR(XLOOKUP(A986,Raw_Alerts!$B:$B,Raw_Alerts!$A:$A),"No Alert")</f>
        <v/>
      </c>
      <c r="M986" s="2">
        <f>IFERROR(XLOOKUP(A986,Raw_Alerts!$B:$B,Raw_Alerts!$C:$C),"")</f>
        <v/>
      </c>
      <c r="N986" s="2">
        <f>IFERROR(XLOOKUP(A986,Raw_Alerts!$B:$B,Raw_Alerts!$D:$D),"")</f>
        <v/>
      </c>
      <c r="O986" s="2">
        <f>IFERROR(XLOOKUP(A986,Raw_Alerts!$B:$B,Raw_Alerts!$F:$F),"")</f>
        <v/>
      </c>
      <c r="P986" s="2">
        <f>IF(H986="Not Found","CRITICAL: No Risk Profile",IF(I986="Missing","WARN: Missing KYC",IF(I986="Expired","WARN: KYC Expired",IF(I986="Pending","INFO: KYC Pending","OK"))))</f>
        <v/>
      </c>
    </row>
    <row r="987">
      <c r="A987" s="4">
        <f>Raw_Transactions!A987</f>
        <v/>
      </c>
      <c r="B987" s="4">
        <f>Raw_Transactions!B987</f>
        <v/>
      </c>
      <c r="C987" s="4">
        <f>Raw_Transactions!C987</f>
        <v/>
      </c>
      <c r="D987" s="5">
        <f>Raw_Transactions!D987</f>
        <v/>
      </c>
      <c r="E987" s="4">
        <f>Raw_Transactions!E987</f>
        <v/>
      </c>
      <c r="F987" s="4">
        <f>Raw_Transactions!F987</f>
        <v/>
      </c>
      <c r="G987" s="4">
        <f>Raw_Transactions!G987</f>
        <v/>
      </c>
      <c r="H987" s="4">
        <f>XLOOKUP(B987,Raw_Risk_Profiles!$A:$A,Raw_Risk_Profiles!$B:$B,"Not Found")</f>
        <v/>
      </c>
      <c r="I987" s="4">
        <f>XLOOKUP(B987,Raw_Risk_Profiles!$A:$A,Raw_Risk_Profiles!$C:$C,"Missing")</f>
        <v/>
      </c>
      <c r="J987" s="4">
        <f>XLOOKUP(B987,Raw_Risk_Profiles!$A:$A,Raw_Risk_Profiles!$D:$D,"")</f>
        <v/>
      </c>
      <c r="K987" s="4">
        <f>IFERROR(INDEX(Raw_Risk_Profiles!$E:$E,MATCH(B987,Raw_Risk_Profiles!$A:$A,0)),"Unknown")</f>
        <v/>
      </c>
      <c r="L987" s="4">
        <f>IFERROR(XLOOKUP(A987,Raw_Alerts!$B:$B,Raw_Alerts!$A:$A),"No Alert")</f>
        <v/>
      </c>
      <c r="M987" s="4">
        <f>IFERROR(XLOOKUP(A987,Raw_Alerts!$B:$B,Raw_Alerts!$C:$C),"")</f>
        <v/>
      </c>
      <c r="N987" s="4">
        <f>IFERROR(XLOOKUP(A987,Raw_Alerts!$B:$B,Raw_Alerts!$D:$D),"")</f>
        <v/>
      </c>
      <c r="O987" s="4">
        <f>IFERROR(XLOOKUP(A987,Raw_Alerts!$B:$B,Raw_Alerts!$F:$F),"")</f>
        <v/>
      </c>
      <c r="P987" s="4">
        <f>IF(H987="Not Found","CRITICAL: No Risk Profile",IF(I987="Missing","WARN: Missing KYC",IF(I987="Expired","WARN: KYC Expired",IF(I987="Pending","INFO: KYC Pending","OK"))))</f>
        <v/>
      </c>
    </row>
    <row r="988">
      <c r="A988" s="2">
        <f>Raw_Transactions!A988</f>
        <v/>
      </c>
      <c r="B988" s="2">
        <f>Raw_Transactions!B988</f>
        <v/>
      </c>
      <c r="C988" s="2">
        <f>Raw_Transactions!C988</f>
        <v/>
      </c>
      <c r="D988" s="3">
        <f>Raw_Transactions!D988</f>
        <v/>
      </c>
      <c r="E988" s="2">
        <f>Raw_Transactions!E988</f>
        <v/>
      </c>
      <c r="F988" s="2">
        <f>Raw_Transactions!F988</f>
        <v/>
      </c>
      <c r="G988" s="2">
        <f>Raw_Transactions!G988</f>
        <v/>
      </c>
      <c r="H988" s="2">
        <f>XLOOKUP(B988,Raw_Risk_Profiles!$A:$A,Raw_Risk_Profiles!$B:$B,"Not Found")</f>
        <v/>
      </c>
      <c r="I988" s="2">
        <f>XLOOKUP(B988,Raw_Risk_Profiles!$A:$A,Raw_Risk_Profiles!$C:$C,"Missing")</f>
        <v/>
      </c>
      <c r="J988" s="2">
        <f>XLOOKUP(B988,Raw_Risk_Profiles!$A:$A,Raw_Risk_Profiles!$D:$D,"")</f>
        <v/>
      </c>
      <c r="K988" s="2">
        <f>IFERROR(INDEX(Raw_Risk_Profiles!$E:$E,MATCH(B988,Raw_Risk_Profiles!$A:$A,0)),"Unknown")</f>
        <v/>
      </c>
      <c r="L988" s="2">
        <f>IFERROR(XLOOKUP(A988,Raw_Alerts!$B:$B,Raw_Alerts!$A:$A),"No Alert")</f>
        <v/>
      </c>
      <c r="M988" s="2">
        <f>IFERROR(XLOOKUP(A988,Raw_Alerts!$B:$B,Raw_Alerts!$C:$C),"")</f>
        <v/>
      </c>
      <c r="N988" s="2">
        <f>IFERROR(XLOOKUP(A988,Raw_Alerts!$B:$B,Raw_Alerts!$D:$D),"")</f>
        <v/>
      </c>
      <c r="O988" s="2">
        <f>IFERROR(XLOOKUP(A988,Raw_Alerts!$B:$B,Raw_Alerts!$F:$F),"")</f>
        <v/>
      </c>
      <c r="P988" s="2">
        <f>IF(H988="Not Found","CRITICAL: No Risk Profile",IF(I988="Missing","WARN: Missing KYC",IF(I988="Expired","WARN: KYC Expired",IF(I988="Pending","INFO: KYC Pending","OK"))))</f>
        <v/>
      </c>
    </row>
    <row r="989">
      <c r="A989" s="4">
        <f>Raw_Transactions!A989</f>
        <v/>
      </c>
      <c r="B989" s="4">
        <f>Raw_Transactions!B989</f>
        <v/>
      </c>
      <c r="C989" s="4">
        <f>Raw_Transactions!C989</f>
        <v/>
      </c>
      <c r="D989" s="5">
        <f>Raw_Transactions!D989</f>
        <v/>
      </c>
      <c r="E989" s="4">
        <f>Raw_Transactions!E989</f>
        <v/>
      </c>
      <c r="F989" s="4">
        <f>Raw_Transactions!F989</f>
        <v/>
      </c>
      <c r="G989" s="4">
        <f>Raw_Transactions!G989</f>
        <v/>
      </c>
      <c r="H989" s="4">
        <f>XLOOKUP(B989,Raw_Risk_Profiles!$A:$A,Raw_Risk_Profiles!$B:$B,"Not Found")</f>
        <v/>
      </c>
      <c r="I989" s="4">
        <f>XLOOKUP(B989,Raw_Risk_Profiles!$A:$A,Raw_Risk_Profiles!$C:$C,"Missing")</f>
        <v/>
      </c>
      <c r="J989" s="4">
        <f>XLOOKUP(B989,Raw_Risk_Profiles!$A:$A,Raw_Risk_Profiles!$D:$D,"")</f>
        <v/>
      </c>
      <c r="K989" s="4">
        <f>IFERROR(INDEX(Raw_Risk_Profiles!$E:$E,MATCH(B989,Raw_Risk_Profiles!$A:$A,0)),"Unknown")</f>
        <v/>
      </c>
      <c r="L989" s="4">
        <f>IFERROR(XLOOKUP(A989,Raw_Alerts!$B:$B,Raw_Alerts!$A:$A),"No Alert")</f>
        <v/>
      </c>
      <c r="M989" s="4">
        <f>IFERROR(XLOOKUP(A989,Raw_Alerts!$B:$B,Raw_Alerts!$C:$C),"")</f>
        <v/>
      </c>
      <c r="N989" s="4">
        <f>IFERROR(XLOOKUP(A989,Raw_Alerts!$B:$B,Raw_Alerts!$D:$D),"")</f>
        <v/>
      </c>
      <c r="O989" s="4">
        <f>IFERROR(XLOOKUP(A989,Raw_Alerts!$B:$B,Raw_Alerts!$F:$F),"")</f>
        <v/>
      </c>
      <c r="P989" s="4">
        <f>IF(H989="Not Found","CRITICAL: No Risk Profile",IF(I989="Missing","WARN: Missing KYC",IF(I989="Expired","WARN: KYC Expired",IF(I989="Pending","INFO: KYC Pending","OK"))))</f>
        <v/>
      </c>
    </row>
    <row r="990">
      <c r="A990" s="2">
        <f>Raw_Transactions!A990</f>
        <v/>
      </c>
      <c r="B990" s="2">
        <f>Raw_Transactions!B990</f>
        <v/>
      </c>
      <c r="C990" s="2">
        <f>Raw_Transactions!C990</f>
        <v/>
      </c>
      <c r="D990" s="3">
        <f>Raw_Transactions!D990</f>
        <v/>
      </c>
      <c r="E990" s="2">
        <f>Raw_Transactions!E990</f>
        <v/>
      </c>
      <c r="F990" s="2">
        <f>Raw_Transactions!F990</f>
        <v/>
      </c>
      <c r="G990" s="2">
        <f>Raw_Transactions!G990</f>
        <v/>
      </c>
      <c r="H990" s="2">
        <f>XLOOKUP(B990,Raw_Risk_Profiles!$A:$A,Raw_Risk_Profiles!$B:$B,"Not Found")</f>
        <v/>
      </c>
      <c r="I990" s="2">
        <f>XLOOKUP(B990,Raw_Risk_Profiles!$A:$A,Raw_Risk_Profiles!$C:$C,"Missing")</f>
        <v/>
      </c>
      <c r="J990" s="2">
        <f>XLOOKUP(B990,Raw_Risk_Profiles!$A:$A,Raw_Risk_Profiles!$D:$D,"")</f>
        <v/>
      </c>
      <c r="K990" s="2">
        <f>IFERROR(INDEX(Raw_Risk_Profiles!$E:$E,MATCH(B990,Raw_Risk_Profiles!$A:$A,0)),"Unknown")</f>
        <v/>
      </c>
      <c r="L990" s="2">
        <f>IFERROR(XLOOKUP(A990,Raw_Alerts!$B:$B,Raw_Alerts!$A:$A),"No Alert")</f>
        <v/>
      </c>
      <c r="M990" s="2">
        <f>IFERROR(XLOOKUP(A990,Raw_Alerts!$B:$B,Raw_Alerts!$C:$C),"")</f>
        <v/>
      </c>
      <c r="N990" s="2">
        <f>IFERROR(XLOOKUP(A990,Raw_Alerts!$B:$B,Raw_Alerts!$D:$D),"")</f>
        <v/>
      </c>
      <c r="O990" s="2">
        <f>IFERROR(XLOOKUP(A990,Raw_Alerts!$B:$B,Raw_Alerts!$F:$F),"")</f>
        <v/>
      </c>
      <c r="P990" s="2">
        <f>IF(H990="Not Found","CRITICAL: No Risk Profile",IF(I990="Missing","WARN: Missing KYC",IF(I990="Expired","WARN: KYC Expired",IF(I990="Pending","INFO: KYC Pending","OK"))))</f>
        <v/>
      </c>
    </row>
    <row r="991">
      <c r="A991" s="4">
        <f>Raw_Transactions!A991</f>
        <v/>
      </c>
      <c r="B991" s="4">
        <f>Raw_Transactions!B991</f>
        <v/>
      </c>
      <c r="C991" s="4">
        <f>Raw_Transactions!C991</f>
        <v/>
      </c>
      <c r="D991" s="5">
        <f>Raw_Transactions!D991</f>
        <v/>
      </c>
      <c r="E991" s="4">
        <f>Raw_Transactions!E991</f>
        <v/>
      </c>
      <c r="F991" s="4">
        <f>Raw_Transactions!F991</f>
        <v/>
      </c>
      <c r="G991" s="4">
        <f>Raw_Transactions!G991</f>
        <v/>
      </c>
      <c r="H991" s="4">
        <f>XLOOKUP(B991,Raw_Risk_Profiles!$A:$A,Raw_Risk_Profiles!$B:$B,"Not Found")</f>
        <v/>
      </c>
      <c r="I991" s="4">
        <f>XLOOKUP(B991,Raw_Risk_Profiles!$A:$A,Raw_Risk_Profiles!$C:$C,"Missing")</f>
        <v/>
      </c>
      <c r="J991" s="4">
        <f>XLOOKUP(B991,Raw_Risk_Profiles!$A:$A,Raw_Risk_Profiles!$D:$D,"")</f>
        <v/>
      </c>
      <c r="K991" s="4">
        <f>IFERROR(INDEX(Raw_Risk_Profiles!$E:$E,MATCH(B991,Raw_Risk_Profiles!$A:$A,0)),"Unknown")</f>
        <v/>
      </c>
      <c r="L991" s="4">
        <f>IFERROR(XLOOKUP(A991,Raw_Alerts!$B:$B,Raw_Alerts!$A:$A),"No Alert")</f>
        <v/>
      </c>
      <c r="M991" s="4">
        <f>IFERROR(XLOOKUP(A991,Raw_Alerts!$B:$B,Raw_Alerts!$C:$C),"")</f>
        <v/>
      </c>
      <c r="N991" s="4">
        <f>IFERROR(XLOOKUP(A991,Raw_Alerts!$B:$B,Raw_Alerts!$D:$D),"")</f>
        <v/>
      </c>
      <c r="O991" s="4">
        <f>IFERROR(XLOOKUP(A991,Raw_Alerts!$B:$B,Raw_Alerts!$F:$F),"")</f>
        <v/>
      </c>
      <c r="P991" s="4">
        <f>IF(H991="Not Found","CRITICAL: No Risk Profile",IF(I991="Missing","WARN: Missing KYC",IF(I991="Expired","WARN: KYC Expired",IF(I991="Pending","INFO: KYC Pending","OK"))))</f>
        <v/>
      </c>
    </row>
    <row r="992">
      <c r="A992" s="2">
        <f>Raw_Transactions!A992</f>
        <v/>
      </c>
      <c r="B992" s="2">
        <f>Raw_Transactions!B992</f>
        <v/>
      </c>
      <c r="C992" s="2">
        <f>Raw_Transactions!C992</f>
        <v/>
      </c>
      <c r="D992" s="3">
        <f>Raw_Transactions!D992</f>
        <v/>
      </c>
      <c r="E992" s="2">
        <f>Raw_Transactions!E992</f>
        <v/>
      </c>
      <c r="F992" s="2">
        <f>Raw_Transactions!F992</f>
        <v/>
      </c>
      <c r="G992" s="2">
        <f>Raw_Transactions!G992</f>
        <v/>
      </c>
      <c r="H992" s="2">
        <f>XLOOKUP(B992,Raw_Risk_Profiles!$A:$A,Raw_Risk_Profiles!$B:$B,"Not Found")</f>
        <v/>
      </c>
      <c r="I992" s="2">
        <f>XLOOKUP(B992,Raw_Risk_Profiles!$A:$A,Raw_Risk_Profiles!$C:$C,"Missing")</f>
        <v/>
      </c>
      <c r="J992" s="2">
        <f>XLOOKUP(B992,Raw_Risk_Profiles!$A:$A,Raw_Risk_Profiles!$D:$D,"")</f>
        <v/>
      </c>
      <c r="K992" s="2">
        <f>IFERROR(INDEX(Raw_Risk_Profiles!$E:$E,MATCH(B992,Raw_Risk_Profiles!$A:$A,0)),"Unknown")</f>
        <v/>
      </c>
      <c r="L992" s="2">
        <f>IFERROR(XLOOKUP(A992,Raw_Alerts!$B:$B,Raw_Alerts!$A:$A),"No Alert")</f>
        <v/>
      </c>
      <c r="M992" s="2">
        <f>IFERROR(XLOOKUP(A992,Raw_Alerts!$B:$B,Raw_Alerts!$C:$C),"")</f>
        <v/>
      </c>
      <c r="N992" s="2">
        <f>IFERROR(XLOOKUP(A992,Raw_Alerts!$B:$B,Raw_Alerts!$D:$D),"")</f>
        <v/>
      </c>
      <c r="O992" s="2">
        <f>IFERROR(XLOOKUP(A992,Raw_Alerts!$B:$B,Raw_Alerts!$F:$F),"")</f>
        <v/>
      </c>
      <c r="P992" s="2">
        <f>IF(H992="Not Found","CRITICAL: No Risk Profile",IF(I992="Missing","WARN: Missing KYC",IF(I992="Expired","WARN: KYC Expired",IF(I992="Pending","INFO: KYC Pending","OK"))))</f>
        <v/>
      </c>
    </row>
    <row r="993">
      <c r="A993" s="4">
        <f>Raw_Transactions!A993</f>
        <v/>
      </c>
      <c r="B993" s="4">
        <f>Raw_Transactions!B993</f>
        <v/>
      </c>
      <c r="C993" s="4">
        <f>Raw_Transactions!C993</f>
        <v/>
      </c>
      <c r="D993" s="5">
        <f>Raw_Transactions!D993</f>
        <v/>
      </c>
      <c r="E993" s="4">
        <f>Raw_Transactions!E993</f>
        <v/>
      </c>
      <c r="F993" s="4">
        <f>Raw_Transactions!F993</f>
        <v/>
      </c>
      <c r="G993" s="4">
        <f>Raw_Transactions!G993</f>
        <v/>
      </c>
      <c r="H993" s="4">
        <f>XLOOKUP(B993,Raw_Risk_Profiles!$A:$A,Raw_Risk_Profiles!$B:$B,"Not Found")</f>
        <v/>
      </c>
      <c r="I993" s="4">
        <f>XLOOKUP(B993,Raw_Risk_Profiles!$A:$A,Raw_Risk_Profiles!$C:$C,"Missing")</f>
        <v/>
      </c>
      <c r="J993" s="4">
        <f>XLOOKUP(B993,Raw_Risk_Profiles!$A:$A,Raw_Risk_Profiles!$D:$D,"")</f>
        <v/>
      </c>
      <c r="K993" s="4">
        <f>IFERROR(INDEX(Raw_Risk_Profiles!$E:$E,MATCH(B993,Raw_Risk_Profiles!$A:$A,0)),"Unknown")</f>
        <v/>
      </c>
      <c r="L993" s="4">
        <f>IFERROR(XLOOKUP(A993,Raw_Alerts!$B:$B,Raw_Alerts!$A:$A),"No Alert")</f>
        <v/>
      </c>
      <c r="M993" s="4">
        <f>IFERROR(XLOOKUP(A993,Raw_Alerts!$B:$B,Raw_Alerts!$C:$C),"")</f>
        <v/>
      </c>
      <c r="N993" s="4">
        <f>IFERROR(XLOOKUP(A993,Raw_Alerts!$B:$B,Raw_Alerts!$D:$D),"")</f>
        <v/>
      </c>
      <c r="O993" s="4">
        <f>IFERROR(XLOOKUP(A993,Raw_Alerts!$B:$B,Raw_Alerts!$F:$F),"")</f>
        <v/>
      </c>
      <c r="P993" s="4">
        <f>IF(H993="Not Found","CRITICAL: No Risk Profile",IF(I993="Missing","WARN: Missing KYC",IF(I993="Expired","WARN: KYC Expired",IF(I993="Pending","INFO: KYC Pending","OK"))))</f>
        <v/>
      </c>
    </row>
    <row r="994">
      <c r="A994" s="2">
        <f>Raw_Transactions!A994</f>
        <v/>
      </c>
      <c r="B994" s="2">
        <f>Raw_Transactions!B994</f>
        <v/>
      </c>
      <c r="C994" s="2">
        <f>Raw_Transactions!C994</f>
        <v/>
      </c>
      <c r="D994" s="3">
        <f>Raw_Transactions!D994</f>
        <v/>
      </c>
      <c r="E994" s="2">
        <f>Raw_Transactions!E994</f>
        <v/>
      </c>
      <c r="F994" s="2">
        <f>Raw_Transactions!F994</f>
        <v/>
      </c>
      <c r="G994" s="2">
        <f>Raw_Transactions!G994</f>
        <v/>
      </c>
      <c r="H994" s="2">
        <f>XLOOKUP(B994,Raw_Risk_Profiles!$A:$A,Raw_Risk_Profiles!$B:$B,"Not Found")</f>
        <v/>
      </c>
      <c r="I994" s="2">
        <f>XLOOKUP(B994,Raw_Risk_Profiles!$A:$A,Raw_Risk_Profiles!$C:$C,"Missing")</f>
        <v/>
      </c>
      <c r="J994" s="2">
        <f>XLOOKUP(B994,Raw_Risk_Profiles!$A:$A,Raw_Risk_Profiles!$D:$D,"")</f>
        <v/>
      </c>
      <c r="K994" s="2">
        <f>IFERROR(INDEX(Raw_Risk_Profiles!$E:$E,MATCH(B994,Raw_Risk_Profiles!$A:$A,0)),"Unknown")</f>
        <v/>
      </c>
      <c r="L994" s="2">
        <f>IFERROR(XLOOKUP(A994,Raw_Alerts!$B:$B,Raw_Alerts!$A:$A),"No Alert")</f>
        <v/>
      </c>
      <c r="M994" s="2">
        <f>IFERROR(XLOOKUP(A994,Raw_Alerts!$B:$B,Raw_Alerts!$C:$C),"")</f>
        <v/>
      </c>
      <c r="N994" s="2">
        <f>IFERROR(XLOOKUP(A994,Raw_Alerts!$B:$B,Raw_Alerts!$D:$D),"")</f>
        <v/>
      </c>
      <c r="O994" s="2">
        <f>IFERROR(XLOOKUP(A994,Raw_Alerts!$B:$B,Raw_Alerts!$F:$F),"")</f>
        <v/>
      </c>
      <c r="P994" s="2">
        <f>IF(H994="Not Found","CRITICAL: No Risk Profile",IF(I994="Missing","WARN: Missing KYC",IF(I994="Expired","WARN: KYC Expired",IF(I994="Pending","INFO: KYC Pending","OK"))))</f>
        <v/>
      </c>
    </row>
    <row r="995">
      <c r="A995" s="4">
        <f>Raw_Transactions!A995</f>
        <v/>
      </c>
      <c r="B995" s="4">
        <f>Raw_Transactions!B995</f>
        <v/>
      </c>
      <c r="C995" s="4">
        <f>Raw_Transactions!C995</f>
        <v/>
      </c>
      <c r="D995" s="5">
        <f>Raw_Transactions!D995</f>
        <v/>
      </c>
      <c r="E995" s="4">
        <f>Raw_Transactions!E995</f>
        <v/>
      </c>
      <c r="F995" s="4">
        <f>Raw_Transactions!F995</f>
        <v/>
      </c>
      <c r="G995" s="4">
        <f>Raw_Transactions!G995</f>
        <v/>
      </c>
      <c r="H995" s="4">
        <f>XLOOKUP(B995,Raw_Risk_Profiles!$A:$A,Raw_Risk_Profiles!$B:$B,"Not Found")</f>
        <v/>
      </c>
      <c r="I995" s="4">
        <f>XLOOKUP(B995,Raw_Risk_Profiles!$A:$A,Raw_Risk_Profiles!$C:$C,"Missing")</f>
        <v/>
      </c>
      <c r="J995" s="4">
        <f>XLOOKUP(B995,Raw_Risk_Profiles!$A:$A,Raw_Risk_Profiles!$D:$D,"")</f>
        <v/>
      </c>
      <c r="K995" s="4">
        <f>IFERROR(INDEX(Raw_Risk_Profiles!$E:$E,MATCH(B995,Raw_Risk_Profiles!$A:$A,0)),"Unknown")</f>
        <v/>
      </c>
      <c r="L995" s="4">
        <f>IFERROR(XLOOKUP(A995,Raw_Alerts!$B:$B,Raw_Alerts!$A:$A),"No Alert")</f>
        <v/>
      </c>
      <c r="M995" s="4">
        <f>IFERROR(XLOOKUP(A995,Raw_Alerts!$B:$B,Raw_Alerts!$C:$C),"")</f>
        <v/>
      </c>
      <c r="N995" s="4">
        <f>IFERROR(XLOOKUP(A995,Raw_Alerts!$B:$B,Raw_Alerts!$D:$D),"")</f>
        <v/>
      </c>
      <c r="O995" s="4">
        <f>IFERROR(XLOOKUP(A995,Raw_Alerts!$B:$B,Raw_Alerts!$F:$F),"")</f>
        <v/>
      </c>
      <c r="P995" s="4">
        <f>IF(H995="Not Found","CRITICAL: No Risk Profile",IF(I995="Missing","WARN: Missing KYC",IF(I995="Expired","WARN: KYC Expired",IF(I995="Pending","INFO: KYC Pending","OK"))))</f>
        <v/>
      </c>
    </row>
    <row r="996">
      <c r="A996" s="2">
        <f>Raw_Transactions!A996</f>
        <v/>
      </c>
      <c r="B996" s="2">
        <f>Raw_Transactions!B996</f>
        <v/>
      </c>
      <c r="C996" s="2">
        <f>Raw_Transactions!C996</f>
        <v/>
      </c>
      <c r="D996" s="3">
        <f>Raw_Transactions!D996</f>
        <v/>
      </c>
      <c r="E996" s="2">
        <f>Raw_Transactions!E996</f>
        <v/>
      </c>
      <c r="F996" s="2">
        <f>Raw_Transactions!F996</f>
        <v/>
      </c>
      <c r="G996" s="2">
        <f>Raw_Transactions!G996</f>
        <v/>
      </c>
      <c r="H996" s="2">
        <f>XLOOKUP(B996,Raw_Risk_Profiles!$A:$A,Raw_Risk_Profiles!$B:$B,"Not Found")</f>
        <v/>
      </c>
      <c r="I996" s="2">
        <f>XLOOKUP(B996,Raw_Risk_Profiles!$A:$A,Raw_Risk_Profiles!$C:$C,"Missing")</f>
        <v/>
      </c>
      <c r="J996" s="2">
        <f>XLOOKUP(B996,Raw_Risk_Profiles!$A:$A,Raw_Risk_Profiles!$D:$D,"")</f>
        <v/>
      </c>
      <c r="K996" s="2">
        <f>IFERROR(INDEX(Raw_Risk_Profiles!$E:$E,MATCH(B996,Raw_Risk_Profiles!$A:$A,0)),"Unknown")</f>
        <v/>
      </c>
      <c r="L996" s="2">
        <f>IFERROR(XLOOKUP(A996,Raw_Alerts!$B:$B,Raw_Alerts!$A:$A),"No Alert")</f>
        <v/>
      </c>
      <c r="M996" s="2">
        <f>IFERROR(XLOOKUP(A996,Raw_Alerts!$B:$B,Raw_Alerts!$C:$C),"")</f>
        <v/>
      </c>
      <c r="N996" s="2">
        <f>IFERROR(XLOOKUP(A996,Raw_Alerts!$B:$B,Raw_Alerts!$D:$D),"")</f>
        <v/>
      </c>
      <c r="O996" s="2">
        <f>IFERROR(XLOOKUP(A996,Raw_Alerts!$B:$B,Raw_Alerts!$F:$F),"")</f>
        <v/>
      </c>
      <c r="P996" s="2">
        <f>IF(H996="Not Found","CRITICAL: No Risk Profile",IF(I996="Missing","WARN: Missing KYC",IF(I996="Expired","WARN: KYC Expired",IF(I996="Pending","INFO: KYC Pending","OK"))))</f>
        <v/>
      </c>
    </row>
    <row r="997">
      <c r="A997" s="4">
        <f>Raw_Transactions!A997</f>
        <v/>
      </c>
      <c r="B997" s="4">
        <f>Raw_Transactions!B997</f>
        <v/>
      </c>
      <c r="C997" s="4">
        <f>Raw_Transactions!C997</f>
        <v/>
      </c>
      <c r="D997" s="5">
        <f>Raw_Transactions!D997</f>
        <v/>
      </c>
      <c r="E997" s="4">
        <f>Raw_Transactions!E997</f>
        <v/>
      </c>
      <c r="F997" s="4">
        <f>Raw_Transactions!F997</f>
        <v/>
      </c>
      <c r="G997" s="4">
        <f>Raw_Transactions!G997</f>
        <v/>
      </c>
      <c r="H997" s="4">
        <f>XLOOKUP(B997,Raw_Risk_Profiles!$A:$A,Raw_Risk_Profiles!$B:$B,"Not Found")</f>
        <v/>
      </c>
      <c r="I997" s="4">
        <f>XLOOKUP(B997,Raw_Risk_Profiles!$A:$A,Raw_Risk_Profiles!$C:$C,"Missing")</f>
        <v/>
      </c>
      <c r="J997" s="4">
        <f>XLOOKUP(B997,Raw_Risk_Profiles!$A:$A,Raw_Risk_Profiles!$D:$D,"")</f>
        <v/>
      </c>
      <c r="K997" s="4">
        <f>IFERROR(INDEX(Raw_Risk_Profiles!$E:$E,MATCH(B997,Raw_Risk_Profiles!$A:$A,0)),"Unknown")</f>
        <v/>
      </c>
      <c r="L997" s="4">
        <f>IFERROR(XLOOKUP(A997,Raw_Alerts!$B:$B,Raw_Alerts!$A:$A),"No Alert")</f>
        <v/>
      </c>
      <c r="M997" s="4">
        <f>IFERROR(XLOOKUP(A997,Raw_Alerts!$B:$B,Raw_Alerts!$C:$C),"")</f>
        <v/>
      </c>
      <c r="N997" s="4">
        <f>IFERROR(XLOOKUP(A997,Raw_Alerts!$B:$B,Raw_Alerts!$D:$D),"")</f>
        <v/>
      </c>
      <c r="O997" s="4">
        <f>IFERROR(XLOOKUP(A997,Raw_Alerts!$B:$B,Raw_Alerts!$F:$F),"")</f>
        <v/>
      </c>
      <c r="P997" s="4">
        <f>IF(H997="Not Found","CRITICAL: No Risk Profile",IF(I997="Missing","WARN: Missing KYC",IF(I997="Expired","WARN: KYC Expired",IF(I997="Pending","INFO: KYC Pending","OK"))))</f>
        <v/>
      </c>
    </row>
    <row r="998">
      <c r="A998" s="2">
        <f>Raw_Transactions!A998</f>
        <v/>
      </c>
      <c r="B998" s="2">
        <f>Raw_Transactions!B998</f>
        <v/>
      </c>
      <c r="C998" s="2">
        <f>Raw_Transactions!C998</f>
        <v/>
      </c>
      <c r="D998" s="3">
        <f>Raw_Transactions!D998</f>
        <v/>
      </c>
      <c r="E998" s="2">
        <f>Raw_Transactions!E998</f>
        <v/>
      </c>
      <c r="F998" s="2">
        <f>Raw_Transactions!F998</f>
        <v/>
      </c>
      <c r="G998" s="2">
        <f>Raw_Transactions!G998</f>
        <v/>
      </c>
      <c r="H998" s="2">
        <f>XLOOKUP(B998,Raw_Risk_Profiles!$A:$A,Raw_Risk_Profiles!$B:$B,"Not Found")</f>
        <v/>
      </c>
      <c r="I998" s="2">
        <f>XLOOKUP(B998,Raw_Risk_Profiles!$A:$A,Raw_Risk_Profiles!$C:$C,"Missing")</f>
        <v/>
      </c>
      <c r="J998" s="2">
        <f>XLOOKUP(B998,Raw_Risk_Profiles!$A:$A,Raw_Risk_Profiles!$D:$D,"")</f>
        <v/>
      </c>
      <c r="K998" s="2">
        <f>IFERROR(INDEX(Raw_Risk_Profiles!$E:$E,MATCH(B998,Raw_Risk_Profiles!$A:$A,0)),"Unknown")</f>
        <v/>
      </c>
      <c r="L998" s="2">
        <f>IFERROR(XLOOKUP(A998,Raw_Alerts!$B:$B,Raw_Alerts!$A:$A),"No Alert")</f>
        <v/>
      </c>
      <c r="M998" s="2">
        <f>IFERROR(XLOOKUP(A998,Raw_Alerts!$B:$B,Raw_Alerts!$C:$C),"")</f>
        <v/>
      </c>
      <c r="N998" s="2">
        <f>IFERROR(XLOOKUP(A998,Raw_Alerts!$B:$B,Raw_Alerts!$D:$D),"")</f>
        <v/>
      </c>
      <c r="O998" s="2">
        <f>IFERROR(XLOOKUP(A998,Raw_Alerts!$B:$B,Raw_Alerts!$F:$F),"")</f>
        <v/>
      </c>
      <c r="P998" s="2">
        <f>IF(H998="Not Found","CRITICAL: No Risk Profile",IF(I998="Missing","WARN: Missing KYC",IF(I998="Expired","WARN: KYC Expired",IF(I998="Pending","INFO: KYC Pending","OK"))))</f>
        <v/>
      </c>
    </row>
    <row r="999">
      <c r="A999" s="4">
        <f>Raw_Transactions!A999</f>
        <v/>
      </c>
      <c r="B999" s="4">
        <f>Raw_Transactions!B999</f>
        <v/>
      </c>
      <c r="C999" s="4">
        <f>Raw_Transactions!C999</f>
        <v/>
      </c>
      <c r="D999" s="5">
        <f>Raw_Transactions!D999</f>
        <v/>
      </c>
      <c r="E999" s="4">
        <f>Raw_Transactions!E999</f>
        <v/>
      </c>
      <c r="F999" s="4">
        <f>Raw_Transactions!F999</f>
        <v/>
      </c>
      <c r="G999" s="4">
        <f>Raw_Transactions!G999</f>
        <v/>
      </c>
      <c r="H999" s="4">
        <f>XLOOKUP(B999,Raw_Risk_Profiles!$A:$A,Raw_Risk_Profiles!$B:$B,"Not Found")</f>
        <v/>
      </c>
      <c r="I999" s="4">
        <f>XLOOKUP(B999,Raw_Risk_Profiles!$A:$A,Raw_Risk_Profiles!$C:$C,"Missing")</f>
        <v/>
      </c>
      <c r="J999" s="4">
        <f>XLOOKUP(B999,Raw_Risk_Profiles!$A:$A,Raw_Risk_Profiles!$D:$D,"")</f>
        <v/>
      </c>
      <c r="K999" s="4">
        <f>IFERROR(INDEX(Raw_Risk_Profiles!$E:$E,MATCH(B999,Raw_Risk_Profiles!$A:$A,0)),"Unknown")</f>
        <v/>
      </c>
      <c r="L999" s="4">
        <f>IFERROR(XLOOKUP(A999,Raw_Alerts!$B:$B,Raw_Alerts!$A:$A),"No Alert")</f>
        <v/>
      </c>
      <c r="M999" s="4">
        <f>IFERROR(XLOOKUP(A999,Raw_Alerts!$B:$B,Raw_Alerts!$C:$C),"")</f>
        <v/>
      </c>
      <c r="N999" s="4">
        <f>IFERROR(XLOOKUP(A999,Raw_Alerts!$B:$B,Raw_Alerts!$D:$D),"")</f>
        <v/>
      </c>
      <c r="O999" s="4">
        <f>IFERROR(XLOOKUP(A999,Raw_Alerts!$B:$B,Raw_Alerts!$F:$F),"")</f>
        <v/>
      </c>
      <c r="P999" s="4">
        <f>IF(H999="Not Found","CRITICAL: No Risk Profile",IF(I999="Missing","WARN: Missing KYC",IF(I999="Expired","WARN: KYC Expired",IF(I999="Pending","INFO: KYC Pending","OK"))))</f>
        <v/>
      </c>
    </row>
    <row r="1000">
      <c r="A1000" s="2">
        <f>Raw_Transactions!A1000</f>
        <v/>
      </c>
      <c r="B1000" s="2">
        <f>Raw_Transactions!B1000</f>
        <v/>
      </c>
      <c r="C1000" s="2">
        <f>Raw_Transactions!C1000</f>
        <v/>
      </c>
      <c r="D1000" s="3">
        <f>Raw_Transactions!D1000</f>
        <v/>
      </c>
      <c r="E1000" s="2">
        <f>Raw_Transactions!E1000</f>
        <v/>
      </c>
      <c r="F1000" s="2">
        <f>Raw_Transactions!F1000</f>
        <v/>
      </c>
      <c r="G1000" s="2">
        <f>Raw_Transactions!G1000</f>
        <v/>
      </c>
      <c r="H1000" s="2">
        <f>XLOOKUP(B1000,Raw_Risk_Profiles!$A:$A,Raw_Risk_Profiles!$B:$B,"Not Found")</f>
        <v/>
      </c>
      <c r="I1000" s="2">
        <f>XLOOKUP(B1000,Raw_Risk_Profiles!$A:$A,Raw_Risk_Profiles!$C:$C,"Missing")</f>
        <v/>
      </c>
      <c r="J1000" s="2">
        <f>XLOOKUP(B1000,Raw_Risk_Profiles!$A:$A,Raw_Risk_Profiles!$D:$D,"")</f>
        <v/>
      </c>
      <c r="K1000" s="2">
        <f>IFERROR(INDEX(Raw_Risk_Profiles!$E:$E,MATCH(B1000,Raw_Risk_Profiles!$A:$A,0)),"Unknown")</f>
        <v/>
      </c>
      <c r="L1000" s="2">
        <f>IFERROR(XLOOKUP(A1000,Raw_Alerts!$B:$B,Raw_Alerts!$A:$A),"No Alert")</f>
        <v/>
      </c>
      <c r="M1000" s="2">
        <f>IFERROR(XLOOKUP(A1000,Raw_Alerts!$B:$B,Raw_Alerts!$C:$C),"")</f>
        <v/>
      </c>
      <c r="N1000" s="2">
        <f>IFERROR(XLOOKUP(A1000,Raw_Alerts!$B:$B,Raw_Alerts!$D:$D),"")</f>
        <v/>
      </c>
      <c r="O1000" s="2">
        <f>IFERROR(XLOOKUP(A1000,Raw_Alerts!$B:$B,Raw_Alerts!$F:$F),"")</f>
        <v/>
      </c>
      <c r="P1000" s="2">
        <f>IF(H1000="Not Found","CRITICAL: No Risk Profile",IF(I1000="Missing","WARN: Missing KYC",IF(I1000="Expired","WARN: KYC Expired",IF(I1000="Pending","INFO: KYC Pending","OK"))))</f>
        <v/>
      </c>
    </row>
    <row r="1001">
      <c r="A1001" s="4">
        <f>Raw_Transactions!A1001</f>
        <v/>
      </c>
      <c r="B1001" s="4">
        <f>Raw_Transactions!B1001</f>
        <v/>
      </c>
      <c r="C1001" s="4">
        <f>Raw_Transactions!C1001</f>
        <v/>
      </c>
      <c r="D1001" s="5">
        <f>Raw_Transactions!D1001</f>
        <v/>
      </c>
      <c r="E1001" s="4">
        <f>Raw_Transactions!E1001</f>
        <v/>
      </c>
      <c r="F1001" s="4">
        <f>Raw_Transactions!F1001</f>
        <v/>
      </c>
      <c r="G1001" s="4">
        <f>Raw_Transactions!G1001</f>
        <v/>
      </c>
      <c r="H1001" s="4">
        <f>XLOOKUP(B1001,Raw_Risk_Profiles!$A:$A,Raw_Risk_Profiles!$B:$B,"Not Found")</f>
        <v/>
      </c>
      <c r="I1001" s="4">
        <f>XLOOKUP(B1001,Raw_Risk_Profiles!$A:$A,Raw_Risk_Profiles!$C:$C,"Missing")</f>
        <v/>
      </c>
      <c r="J1001" s="4">
        <f>XLOOKUP(B1001,Raw_Risk_Profiles!$A:$A,Raw_Risk_Profiles!$D:$D,"")</f>
        <v/>
      </c>
      <c r="K1001" s="4">
        <f>IFERROR(INDEX(Raw_Risk_Profiles!$E:$E,MATCH(B1001,Raw_Risk_Profiles!$A:$A,0)),"Unknown")</f>
        <v/>
      </c>
      <c r="L1001" s="4">
        <f>IFERROR(XLOOKUP(A1001,Raw_Alerts!$B:$B,Raw_Alerts!$A:$A),"No Alert")</f>
        <v/>
      </c>
      <c r="M1001" s="4">
        <f>IFERROR(XLOOKUP(A1001,Raw_Alerts!$B:$B,Raw_Alerts!$C:$C),"")</f>
        <v/>
      </c>
      <c r="N1001" s="4">
        <f>IFERROR(XLOOKUP(A1001,Raw_Alerts!$B:$B,Raw_Alerts!$D:$D),"")</f>
        <v/>
      </c>
      <c r="O1001" s="4">
        <f>IFERROR(XLOOKUP(A1001,Raw_Alerts!$B:$B,Raw_Alerts!$F:$F),"")</f>
        <v/>
      </c>
      <c r="P1001" s="4">
        <f>IF(H1001="Not Found","CRITICAL: No Risk Profile",IF(I1001="Missing","WARN: Missing KYC",IF(I1001="Expired","WARN: KYC Expired",IF(I1001="Pending","INFO: KYC Pending","OK"))))</f>
        <v/>
      </c>
    </row>
    <row r="1002">
      <c r="A1002" s="2">
        <f>Raw_Transactions!A1002</f>
        <v/>
      </c>
      <c r="B1002" s="2">
        <f>Raw_Transactions!B1002</f>
        <v/>
      </c>
      <c r="C1002" s="2">
        <f>Raw_Transactions!C1002</f>
        <v/>
      </c>
      <c r="D1002" s="3">
        <f>Raw_Transactions!D1002</f>
        <v/>
      </c>
      <c r="E1002" s="2">
        <f>Raw_Transactions!E1002</f>
        <v/>
      </c>
      <c r="F1002" s="2">
        <f>Raw_Transactions!F1002</f>
        <v/>
      </c>
      <c r="G1002" s="2">
        <f>Raw_Transactions!G1002</f>
        <v/>
      </c>
      <c r="H1002" s="2">
        <f>XLOOKUP(B1002,Raw_Risk_Profiles!$A:$A,Raw_Risk_Profiles!$B:$B,"Not Found")</f>
        <v/>
      </c>
      <c r="I1002" s="2">
        <f>XLOOKUP(B1002,Raw_Risk_Profiles!$A:$A,Raw_Risk_Profiles!$C:$C,"Missing")</f>
        <v/>
      </c>
      <c r="J1002" s="2">
        <f>XLOOKUP(B1002,Raw_Risk_Profiles!$A:$A,Raw_Risk_Profiles!$D:$D,"")</f>
        <v/>
      </c>
      <c r="K1002" s="2">
        <f>IFERROR(INDEX(Raw_Risk_Profiles!$E:$E,MATCH(B1002,Raw_Risk_Profiles!$A:$A,0)),"Unknown")</f>
        <v/>
      </c>
      <c r="L1002" s="2">
        <f>IFERROR(XLOOKUP(A1002,Raw_Alerts!$B:$B,Raw_Alerts!$A:$A),"No Alert")</f>
        <v/>
      </c>
      <c r="M1002" s="2">
        <f>IFERROR(XLOOKUP(A1002,Raw_Alerts!$B:$B,Raw_Alerts!$C:$C),"")</f>
        <v/>
      </c>
      <c r="N1002" s="2">
        <f>IFERROR(XLOOKUP(A1002,Raw_Alerts!$B:$B,Raw_Alerts!$D:$D),"")</f>
        <v/>
      </c>
      <c r="O1002" s="2">
        <f>IFERROR(XLOOKUP(A1002,Raw_Alerts!$B:$B,Raw_Alerts!$F:$F),"")</f>
        <v/>
      </c>
      <c r="P1002" s="2">
        <f>IF(H1002="Not Found","CRITICAL: No Risk Profile",IF(I1002="Missing","WARN: Missing KYC",IF(I1002="Expired","WARN: KYC Expired",IF(I1002="Pending","INFO: KYC Pending","OK"))))</f>
        <v/>
      </c>
    </row>
    <row r="1003">
      <c r="A1003" s="4">
        <f>Raw_Transactions!A1003</f>
        <v/>
      </c>
      <c r="B1003" s="4">
        <f>Raw_Transactions!B1003</f>
        <v/>
      </c>
      <c r="C1003" s="4">
        <f>Raw_Transactions!C1003</f>
        <v/>
      </c>
      <c r="D1003" s="5">
        <f>Raw_Transactions!D1003</f>
        <v/>
      </c>
      <c r="E1003" s="4">
        <f>Raw_Transactions!E1003</f>
        <v/>
      </c>
      <c r="F1003" s="4">
        <f>Raw_Transactions!F1003</f>
        <v/>
      </c>
      <c r="G1003" s="4">
        <f>Raw_Transactions!G1003</f>
        <v/>
      </c>
      <c r="H1003" s="4">
        <f>XLOOKUP(B1003,Raw_Risk_Profiles!$A:$A,Raw_Risk_Profiles!$B:$B,"Not Found")</f>
        <v/>
      </c>
      <c r="I1003" s="4">
        <f>XLOOKUP(B1003,Raw_Risk_Profiles!$A:$A,Raw_Risk_Profiles!$C:$C,"Missing")</f>
        <v/>
      </c>
      <c r="J1003" s="4">
        <f>XLOOKUP(B1003,Raw_Risk_Profiles!$A:$A,Raw_Risk_Profiles!$D:$D,"")</f>
        <v/>
      </c>
      <c r="K1003" s="4">
        <f>IFERROR(INDEX(Raw_Risk_Profiles!$E:$E,MATCH(B1003,Raw_Risk_Profiles!$A:$A,0)),"Unknown")</f>
        <v/>
      </c>
      <c r="L1003" s="4">
        <f>IFERROR(XLOOKUP(A1003,Raw_Alerts!$B:$B,Raw_Alerts!$A:$A),"No Alert")</f>
        <v/>
      </c>
      <c r="M1003" s="4">
        <f>IFERROR(XLOOKUP(A1003,Raw_Alerts!$B:$B,Raw_Alerts!$C:$C),"")</f>
        <v/>
      </c>
      <c r="N1003" s="4">
        <f>IFERROR(XLOOKUP(A1003,Raw_Alerts!$B:$B,Raw_Alerts!$D:$D),"")</f>
        <v/>
      </c>
      <c r="O1003" s="4">
        <f>IFERROR(XLOOKUP(A1003,Raw_Alerts!$B:$B,Raw_Alerts!$F:$F),"")</f>
        <v/>
      </c>
      <c r="P1003" s="4">
        <f>IF(H1003="Not Found","CRITICAL: No Risk Profile",IF(I1003="Missing","WARN: Missing KYC",IF(I1003="Expired","WARN: KYC Expired",IF(I1003="Pending","INFO: KYC Pending","OK"))))</f>
        <v/>
      </c>
    </row>
    <row r="1004">
      <c r="A1004" s="2">
        <f>Raw_Transactions!A1004</f>
        <v/>
      </c>
      <c r="B1004" s="2">
        <f>Raw_Transactions!B1004</f>
        <v/>
      </c>
      <c r="C1004" s="2">
        <f>Raw_Transactions!C1004</f>
        <v/>
      </c>
      <c r="D1004" s="3">
        <f>Raw_Transactions!D1004</f>
        <v/>
      </c>
      <c r="E1004" s="2">
        <f>Raw_Transactions!E1004</f>
        <v/>
      </c>
      <c r="F1004" s="2">
        <f>Raw_Transactions!F1004</f>
        <v/>
      </c>
      <c r="G1004" s="2">
        <f>Raw_Transactions!G1004</f>
        <v/>
      </c>
      <c r="H1004" s="2">
        <f>XLOOKUP(B1004,Raw_Risk_Profiles!$A:$A,Raw_Risk_Profiles!$B:$B,"Not Found")</f>
        <v/>
      </c>
      <c r="I1004" s="2">
        <f>XLOOKUP(B1004,Raw_Risk_Profiles!$A:$A,Raw_Risk_Profiles!$C:$C,"Missing")</f>
        <v/>
      </c>
      <c r="J1004" s="2">
        <f>XLOOKUP(B1004,Raw_Risk_Profiles!$A:$A,Raw_Risk_Profiles!$D:$D,"")</f>
        <v/>
      </c>
      <c r="K1004" s="2">
        <f>IFERROR(INDEX(Raw_Risk_Profiles!$E:$E,MATCH(B1004,Raw_Risk_Profiles!$A:$A,0)),"Unknown")</f>
        <v/>
      </c>
      <c r="L1004" s="2">
        <f>IFERROR(XLOOKUP(A1004,Raw_Alerts!$B:$B,Raw_Alerts!$A:$A),"No Alert")</f>
        <v/>
      </c>
      <c r="M1004" s="2">
        <f>IFERROR(XLOOKUP(A1004,Raw_Alerts!$B:$B,Raw_Alerts!$C:$C),"")</f>
        <v/>
      </c>
      <c r="N1004" s="2">
        <f>IFERROR(XLOOKUP(A1004,Raw_Alerts!$B:$B,Raw_Alerts!$D:$D),"")</f>
        <v/>
      </c>
      <c r="O1004" s="2">
        <f>IFERROR(XLOOKUP(A1004,Raw_Alerts!$B:$B,Raw_Alerts!$F:$F),"")</f>
        <v/>
      </c>
      <c r="P1004" s="2">
        <f>IF(H1004="Not Found","CRITICAL: No Risk Profile",IF(I1004="Missing","WARN: Missing KYC",IF(I1004="Expired","WARN: KYC Expired",IF(I1004="Pending","INFO: KYC Pending","OK"))))</f>
        <v/>
      </c>
    </row>
    <row r="1005">
      <c r="A1005" s="4">
        <f>Raw_Transactions!A1005</f>
        <v/>
      </c>
      <c r="B1005" s="4">
        <f>Raw_Transactions!B1005</f>
        <v/>
      </c>
      <c r="C1005" s="4">
        <f>Raw_Transactions!C1005</f>
        <v/>
      </c>
      <c r="D1005" s="5">
        <f>Raw_Transactions!D1005</f>
        <v/>
      </c>
      <c r="E1005" s="4">
        <f>Raw_Transactions!E1005</f>
        <v/>
      </c>
      <c r="F1005" s="4">
        <f>Raw_Transactions!F1005</f>
        <v/>
      </c>
      <c r="G1005" s="4">
        <f>Raw_Transactions!G1005</f>
        <v/>
      </c>
      <c r="H1005" s="4">
        <f>XLOOKUP(B1005,Raw_Risk_Profiles!$A:$A,Raw_Risk_Profiles!$B:$B,"Not Found")</f>
        <v/>
      </c>
      <c r="I1005" s="4">
        <f>XLOOKUP(B1005,Raw_Risk_Profiles!$A:$A,Raw_Risk_Profiles!$C:$C,"Missing")</f>
        <v/>
      </c>
      <c r="J1005" s="4">
        <f>XLOOKUP(B1005,Raw_Risk_Profiles!$A:$A,Raw_Risk_Profiles!$D:$D,"")</f>
        <v/>
      </c>
      <c r="K1005" s="4">
        <f>IFERROR(INDEX(Raw_Risk_Profiles!$E:$E,MATCH(B1005,Raw_Risk_Profiles!$A:$A,0)),"Unknown")</f>
        <v/>
      </c>
      <c r="L1005" s="4">
        <f>IFERROR(XLOOKUP(A1005,Raw_Alerts!$B:$B,Raw_Alerts!$A:$A),"No Alert")</f>
        <v/>
      </c>
      <c r="M1005" s="4">
        <f>IFERROR(XLOOKUP(A1005,Raw_Alerts!$B:$B,Raw_Alerts!$C:$C),"")</f>
        <v/>
      </c>
      <c r="N1005" s="4">
        <f>IFERROR(XLOOKUP(A1005,Raw_Alerts!$B:$B,Raw_Alerts!$D:$D),"")</f>
        <v/>
      </c>
      <c r="O1005" s="4">
        <f>IFERROR(XLOOKUP(A1005,Raw_Alerts!$B:$B,Raw_Alerts!$F:$F),"")</f>
        <v/>
      </c>
      <c r="P1005" s="4">
        <f>IF(H1005="Not Found","CRITICAL: No Risk Profile",IF(I1005="Missing","WARN: Missing KYC",IF(I1005="Expired","WARN: KYC Expired",IF(I1005="Pending","INFO: KYC Pending","OK"))))</f>
        <v/>
      </c>
    </row>
    <row r="1006">
      <c r="A1006" s="2">
        <f>Raw_Transactions!A1006</f>
        <v/>
      </c>
      <c r="B1006" s="2">
        <f>Raw_Transactions!B1006</f>
        <v/>
      </c>
      <c r="C1006" s="2">
        <f>Raw_Transactions!C1006</f>
        <v/>
      </c>
      <c r="D1006" s="3">
        <f>Raw_Transactions!D1006</f>
        <v/>
      </c>
      <c r="E1006" s="2">
        <f>Raw_Transactions!E1006</f>
        <v/>
      </c>
      <c r="F1006" s="2">
        <f>Raw_Transactions!F1006</f>
        <v/>
      </c>
      <c r="G1006" s="2">
        <f>Raw_Transactions!G1006</f>
        <v/>
      </c>
      <c r="H1006" s="2">
        <f>XLOOKUP(B1006,Raw_Risk_Profiles!$A:$A,Raw_Risk_Profiles!$B:$B,"Not Found")</f>
        <v/>
      </c>
      <c r="I1006" s="2">
        <f>XLOOKUP(B1006,Raw_Risk_Profiles!$A:$A,Raw_Risk_Profiles!$C:$C,"Missing")</f>
        <v/>
      </c>
      <c r="J1006" s="2">
        <f>XLOOKUP(B1006,Raw_Risk_Profiles!$A:$A,Raw_Risk_Profiles!$D:$D,"")</f>
        <v/>
      </c>
      <c r="K1006" s="2">
        <f>IFERROR(INDEX(Raw_Risk_Profiles!$E:$E,MATCH(B1006,Raw_Risk_Profiles!$A:$A,0)),"Unknown")</f>
        <v/>
      </c>
      <c r="L1006" s="2">
        <f>IFERROR(XLOOKUP(A1006,Raw_Alerts!$B:$B,Raw_Alerts!$A:$A),"No Alert")</f>
        <v/>
      </c>
      <c r="M1006" s="2">
        <f>IFERROR(XLOOKUP(A1006,Raw_Alerts!$B:$B,Raw_Alerts!$C:$C),"")</f>
        <v/>
      </c>
      <c r="N1006" s="2">
        <f>IFERROR(XLOOKUP(A1006,Raw_Alerts!$B:$B,Raw_Alerts!$D:$D),"")</f>
        <v/>
      </c>
      <c r="O1006" s="2">
        <f>IFERROR(XLOOKUP(A1006,Raw_Alerts!$B:$B,Raw_Alerts!$F:$F),"")</f>
        <v/>
      </c>
      <c r="P1006" s="2">
        <f>IF(H1006="Not Found","CRITICAL: No Risk Profile",IF(I1006="Missing","WARN: Missing KYC",IF(I1006="Expired","WARN: KYC Expired",IF(I1006="Pending","INFO: KYC Pending","OK"))))</f>
        <v/>
      </c>
    </row>
    <row r="1007">
      <c r="A1007" s="4">
        <f>Raw_Transactions!A1007</f>
        <v/>
      </c>
      <c r="B1007" s="4">
        <f>Raw_Transactions!B1007</f>
        <v/>
      </c>
      <c r="C1007" s="4">
        <f>Raw_Transactions!C1007</f>
        <v/>
      </c>
      <c r="D1007" s="5">
        <f>Raw_Transactions!D1007</f>
        <v/>
      </c>
      <c r="E1007" s="4">
        <f>Raw_Transactions!E1007</f>
        <v/>
      </c>
      <c r="F1007" s="4">
        <f>Raw_Transactions!F1007</f>
        <v/>
      </c>
      <c r="G1007" s="4">
        <f>Raw_Transactions!G1007</f>
        <v/>
      </c>
      <c r="H1007" s="4">
        <f>XLOOKUP(B1007,Raw_Risk_Profiles!$A:$A,Raw_Risk_Profiles!$B:$B,"Not Found")</f>
        <v/>
      </c>
      <c r="I1007" s="4">
        <f>XLOOKUP(B1007,Raw_Risk_Profiles!$A:$A,Raw_Risk_Profiles!$C:$C,"Missing")</f>
        <v/>
      </c>
      <c r="J1007" s="4">
        <f>XLOOKUP(B1007,Raw_Risk_Profiles!$A:$A,Raw_Risk_Profiles!$D:$D,"")</f>
        <v/>
      </c>
      <c r="K1007" s="4">
        <f>IFERROR(INDEX(Raw_Risk_Profiles!$E:$E,MATCH(B1007,Raw_Risk_Profiles!$A:$A,0)),"Unknown")</f>
        <v/>
      </c>
      <c r="L1007" s="4">
        <f>IFERROR(XLOOKUP(A1007,Raw_Alerts!$B:$B,Raw_Alerts!$A:$A),"No Alert")</f>
        <v/>
      </c>
      <c r="M1007" s="4">
        <f>IFERROR(XLOOKUP(A1007,Raw_Alerts!$B:$B,Raw_Alerts!$C:$C),"")</f>
        <v/>
      </c>
      <c r="N1007" s="4">
        <f>IFERROR(XLOOKUP(A1007,Raw_Alerts!$B:$B,Raw_Alerts!$D:$D),"")</f>
        <v/>
      </c>
      <c r="O1007" s="4">
        <f>IFERROR(XLOOKUP(A1007,Raw_Alerts!$B:$B,Raw_Alerts!$F:$F),"")</f>
        <v/>
      </c>
      <c r="P1007" s="4">
        <f>IF(H1007="Not Found","CRITICAL: No Risk Profile",IF(I1007="Missing","WARN: Missing KYC",IF(I1007="Expired","WARN: KYC Expired",IF(I1007="Pending","INFO: KYC Pending","OK"))))</f>
        <v/>
      </c>
    </row>
    <row r="1008">
      <c r="A1008" s="2">
        <f>Raw_Transactions!A1008</f>
        <v/>
      </c>
      <c r="B1008" s="2">
        <f>Raw_Transactions!B1008</f>
        <v/>
      </c>
      <c r="C1008" s="2">
        <f>Raw_Transactions!C1008</f>
        <v/>
      </c>
      <c r="D1008" s="3">
        <f>Raw_Transactions!D1008</f>
        <v/>
      </c>
      <c r="E1008" s="2">
        <f>Raw_Transactions!E1008</f>
        <v/>
      </c>
      <c r="F1008" s="2">
        <f>Raw_Transactions!F1008</f>
        <v/>
      </c>
      <c r="G1008" s="2">
        <f>Raw_Transactions!G1008</f>
        <v/>
      </c>
      <c r="H1008" s="2">
        <f>XLOOKUP(B1008,Raw_Risk_Profiles!$A:$A,Raw_Risk_Profiles!$B:$B,"Not Found")</f>
        <v/>
      </c>
      <c r="I1008" s="2">
        <f>XLOOKUP(B1008,Raw_Risk_Profiles!$A:$A,Raw_Risk_Profiles!$C:$C,"Missing")</f>
        <v/>
      </c>
      <c r="J1008" s="2">
        <f>XLOOKUP(B1008,Raw_Risk_Profiles!$A:$A,Raw_Risk_Profiles!$D:$D,"")</f>
        <v/>
      </c>
      <c r="K1008" s="2">
        <f>IFERROR(INDEX(Raw_Risk_Profiles!$E:$E,MATCH(B1008,Raw_Risk_Profiles!$A:$A,0)),"Unknown")</f>
        <v/>
      </c>
      <c r="L1008" s="2">
        <f>IFERROR(XLOOKUP(A1008,Raw_Alerts!$B:$B,Raw_Alerts!$A:$A),"No Alert")</f>
        <v/>
      </c>
      <c r="M1008" s="2">
        <f>IFERROR(XLOOKUP(A1008,Raw_Alerts!$B:$B,Raw_Alerts!$C:$C),"")</f>
        <v/>
      </c>
      <c r="N1008" s="2">
        <f>IFERROR(XLOOKUP(A1008,Raw_Alerts!$B:$B,Raw_Alerts!$D:$D),"")</f>
        <v/>
      </c>
      <c r="O1008" s="2">
        <f>IFERROR(XLOOKUP(A1008,Raw_Alerts!$B:$B,Raw_Alerts!$F:$F),"")</f>
        <v/>
      </c>
      <c r="P1008" s="2">
        <f>IF(H1008="Not Found","CRITICAL: No Risk Profile",IF(I1008="Missing","WARN: Missing KYC",IF(I1008="Expired","WARN: KYC Expired",IF(I1008="Pending","INFO: KYC Pending","OK"))))</f>
        <v/>
      </c>
    </row>
    <row r="1009">
      <c r="A1009" s="4">
        <f>Raw_Transactions!A1009</f>
        <v/>
      </c>
      <c r="B1009" s="4">
        <f>Raw_Transactions!B1009</f>
        <v/>
      </c>
      <c r="C1009" s="4">
        <f>Raw_Transactions!C1009</f>
        <v/>
      </c>
      <c r="D1009" s="5">
        <f>Raw_Transactions!D1009</f>
        <v/>
      </c>
      <c r="E1009" s="4">
        <f>Raw_Transactions!E1009</f>
        <v/>
      </c>
      <c r="F1009" s="4">
        <f>Raw_Transactions!F1009</f>
        <v/>
      </c>
      <c r="G1009" s="4">
        <f>Raw_Transactions!G1009</f>
        <v/>
      </c>
      <c r="H1009" s="4">
        <f>XLOOKUP(B1009,Raw_Risk_Profiles!$A:$A,Raw_Risk_Profiles!$B:$B,"Not Found")</f>
        <v/>
      </c>
      <c r="I1009" s="4">
        <f>XLOOKUP(B1009,Raw_Risk_Profiles!$A:$A,Raw_Risk_Profiles!$C:$C,"Missing")</f>
        <v/>
      </c>
      <c r="J1009" s="4">
        <f>XLOOKUP(B1009,Raw_Risk_Profiles!$A:$A,Raw_Risk_Profiles!$D:$D,"")</f>
        <v/>
      </c>
      <c r="K1009" s="4">
        <f>IFERROR(INDEX(Raw_Risk_Profiles!$E:$E,MATCH(B1009,Raw_Risk_Profiles!$A:$A,0)),"Unknown")</f>
        <v/>
      </c>
      <c r="L1009" s="4">
        <f>IFERROR(XLOOKUP(A1009,Raw_Alerts!$B:$B,Raw_Alerts!$A:$A),"No Alert")</f>
        <v/>
      </c>
      <c r="M1009" s="4">
        <f>IFERROR(XLOOKUP(A1009,Raw_Alerts!$B:$B,Raw_Alerts!$C:$C),"")</f>
        <v/>
      </c>
      <c r="N1009" s="4">
        <f>IFERROR(XLOOKUP(A1009,Raw_Alerts!$B:$B,Raw_Alerts!$D:$D),"")</f>
        <v/>
      </c>
      <c r="O1009" s="4">
        <f>IFERROR(XLOOKUP(A1009,Raw_Alerts!$B:$B,Raw_Alerts!$F:$F),"")</f>
        <v/>
      </c>
      <c r="P1009" s="4">
        <f>IF(H1009="Not Found","CRITICAL: No Risk Profile",IF(I1009="Missing","WARN: Missing KYC",IF(I1009="Expired","WARN: KYC Expired",IF(I1009="Pending","INFO: KYC Pending","OK"))))</f>
        <v/>
      </c>
    </row>
    <row r="1010">
      <c r="A1010" s="2">
        <f>Raw_Transactions!A1010</f>
        <v/>
      </c>
      <c r="B1010" s="2">
        <f>Raw_Transactions!B1010</f>
        <v/>
      </c>
      <c r="C1010" s="2">
        <f>Raw_Transactions!C1010</f>
        <v/>
      </c>
      <c r="D1010" s="3">
        <f>Raw_Transactions!D1010</f>
        <v/>
      </c>
      <c r="E1010" s="2">
        <f>Raw_Transactions!E1010</f>
        <v/>
      </c>
      <c r="F1010" s="2">
        <f>Raw_Transactions!F1010</f>
        <v/>
      </c>
      <c r="G1010" s="2">
        <f>Raw_Transactions!G1010</f>
        <v/>
      </c>
      <c r="H1010" s="2">
        <f>XLOOKUP(B1010,Raw_Risk_Profiles!$A:$A,Raw_Risk_Profiles!$B:$B,"Not Found")</f>
        <v/>
      </c>
      <c r="I1010" s="2">
        <f>XLOOKUP(B1010,Raw_Risk_Profiles!$A:$A,Raw_Risk_Profiles!$C:$C,"Missing")</f>
        <v/>
      </c>
      <c r="J1010" s="2">
        <f>XLOOKUP(B1010,Raw_Risk_Profiles!$A:$A,Raw_Risk_Profiles!$D:$D,"")</f>
        <v/>
      </c>
      <c r="K1010" s="2">
        <f>IFERROR(INDEX(Raw_Risk_Profiles!$E:$E,MATCH(B1010,Raw_Risk_Profiles!$A:$A,0)),"Unknown")</f>
        <v/>
      </c>
      <c r="L1010" s="2">
        <f>IFERROR(XLOOKUP(A1010,Raw_Alerts!$B:$B,Raw_Alerts!$A:$A),"No Alert")</f>
        <v/>
      </c>
      <c r="M1010" s="2">
        <f>IFERROR(XLOOKUP(A1010,Raw_Alerts!$B:$B,Raw_Alerts!$C:$C),"")</f>
        <v/>
      </c>
      <c r="N1010" s="2">
        <f>IFERROR(XLOOKUP(A1010,Raw_Alerts!$B:$B,Raw_Alerts!$D:$D),"")</f>
        <v/>
      </c>
      <c r="O1010" s="2">
        <f>IFERROR(XLOOKUP(A1010,Raw_Alerts!$B:$B,Raw_Alerts!$F:$F),"")</f>
        <v/>
      </c>
      <c r="P1010" s="2">
        <f>IF(H1010="Not Found","CRITICAL: No Risk Profile",IF(I1010="Missing","WARN: Missing KYC",IF(I1010="Expired","WARN: KYC Expired",IF(I1010="Pending","INFO: KYC Pending","OK"))))</f>
        <v/>
      </c>
    </row>
    <row r="1011">
      <c r="A1011" s="4">
        <f>Raw_Transactions!A1011</f>
        <v/>
      </c>
      <c r="B1011" s="4">
        <f>Raw_Transactions!B1011</f>
        <v/>
      </c>
      <c r="C1011" s="4">
        <f>Raw_Transactions!C1011</f>
        <v/>
      </c>
      <c r="D1011" s="5">
        <f>Raw_Transactions!D1011</f>
        <v/>
      </c>
      <c r="E1011" s="4">
        <f>Raw_Transactions!E1011</f>
        <v/>
      </c>
      <c r="F1011" s="4">
        <f>Raw_Transactions!F1011</f>
        <v/>
      </c>
      <c r="G1011" s="4">
        <f>Raw_Transactions!G1011</f>
        <v/>
      </c>
      <c r="H1011" s="4">
        <f>XLOOKUP(B1011,Raw_Risk_Profiles!$A:$A,Raw_Risk_Profiles!$B:$B,"Not Found")</f>
        <v/>
      </c>
      <c r="I1011" s="4">
        <f>XLOOKUP(B1011,Raw_Risk_Profiles!$A:$A,Raw_Risk_Profiles!$C:$C,"Missing")</f>
        <v/>
      </c>
      <c r="J1011" s="4">
        <f>XLOOKUP(B1011,Raw_Risk_Profiles!$A:$A,Raw_Risk_Profiles!$D:$D,"")</f>
        <v/>
      </c>
      <c r="K1011" s="4">
        <f>IFERROR(INDEX(Raw_Risk_Profiles!$E:$E,MATCH(B1011,Raw_Risk_Profiles!$A:$A,0)),"Unknown")</f>
        <v/>
      </c>
      <c r="L1011" s="4">
        <f>IFERROR(XLOOKUP(A1011,Raw_Alerts!$B:$B,Raw_Alerts!$A:$A),"No Alert")</f>
        <v/>
      </c>
      <c r="M1011" s="4">
        <f>IFERROR(XLOOKUP(A1011,Raw_Alerts!$B:$B,Raw_Alerts!$C:$C),"")</f>
        <v/>
      </c>
      <c r="N1011" s="4">
        <f>IFERROR(XLOOKUP(A1011,Raw_Alerts!$B:$B,Raw_Alerts!$D:$D),"")</f>
        <v/>
      </c>
      <c r="O1011" s="4">
        <f>IFERROR(XLOOKUP(A1011,Raw_Alerts!$B:$B,Raw_Alerts!$F:$F),"")</f>
        <v/>
      </c>
      <c r="P1011" s="4">
        <f>IF(H1011="Not Found","CRITICAL: No Risk Profile",IF(I1011="Missing","WARN: Missing KYC",IF(I1011="Expired","WARN: KYC Expired",IF(I1011="Pending","INFO: KYC Pending","OK"))))</f>
        <v/>
      </c>
    </row>
    <row r="1012">
      <c r="A1012" s="2">
        <f>Raw_Transactions!A1012</f>
        <v/>
      </c>
      <c r="B1012" s="2">
        <f>Raw_Transactions!B1012</f>
        <v/>
      </c>
      <c r="C1012" s="2">
        <f>Raw_Transactions!C1012</f>
        <v/>
      </c>
      <c r="D1012" s="3">
        <f>Raw_Transactions!D1012</f>
        <v/>
      </c>
      <c r="E1012" s="2">
        <f>Raw_Transactions!E1012</f>
        <v/>
      </c>
      <c r="F1012" s="2">
        <f>Raw_Transactions!F1012</f>
        <v/>
      </c>
      <c r="G1012" s="2">
        <f>Raw_Transactions!G1012</f>
        <v/>
      </c>
      <c r="H1012" s="2">
        <f>XLOOKUP(B1012,Raw_Risk_Profiles!$A:$A,Raw_Risk_Profiles!$B:$B,"Not Found")</f>
        <v/>
      </c>
      <c r="I1012" s="2">
        <f>XLOOKUP(B1012,Raw_Risk_Profiles!$A:$A,Raw_Risk_Profiles!$C:$C,"Missing")</f>
        <v/>
      </c>
      <c r="J1012" s="2">
        <f>XLOOKUP(B1012,Raw_Risk_Profiles!$A:$A,Raw_Risk_Profiles!$D:$D,"")</f>
        <v/>
      </c>
      <c r="K1012" s="2">
        <f>IFERROR(INDEX(Raw_Risk_Profiles!$E:$E,MATCH(B1012,Raw_Risk_Profiles!$A:$A,0)),"Unknown")</f>
        <v/>
      </c>
      <c r="L1012" s="2">
        <f>IFERROR(XLOOKUP(A1012,Raw_Alerts!$B:$B,Raw_Alerts!$A:$A),"No Alert")</f>
        <v/>
      </c>
      <c r="M1012" s="2">
        <f>IFERROR(XLOOKUP(A1012,Raw_Alerts!$B:$B,Raw_Alerts!$C:$C),"")</f>
        <v/>
      </c>
      <c r="N1012" s="2">
        <f>IFERROR(XLOOKUP(A1012,Raw_Alerts!$B:$B,Raw_Alerts!$D:$D),"")</f>
        <v/>
      </c>
      <c r="O1012" s="2">
        <f>IFERROR(XLOOKUP(A1012,Raw_Alerts!$B:$B,Raw_Alerts!$F:$F),"")</f>
        <v/>
      </c>
      <c r="P1012" s="2">
        <f>IF(H1012="Not Found","CRITICAL: No Risk Profile",IF(I1012="Missing","WARN: Missing KYC",IF(I1012="Expired","WARN: KYC Expired",IF(I1012="Pending","INFO: KYC Pending","OK"))))</f>
        <v/>
      </c>
    </row>
    <row r="1013">
      <c r="A1013" s="4">
        <f>Raw_Transactions!A1013</f>
        <v/>
      </c>
      <c r="B1013" s="4">
        <f>Raw_Transactions!B1013</f>
        <v/>
      </c>
      <c r="C1013" s="4">
        <f>Raw_Transactions!C1013</f>
        <v/>
      </c>
      <c r="D1013" s="5">
        <f>Raw_Transactions!D1013</f>
        <v/>
      </c>
      <c r="E1013" s="4">
        <f>Raw_Transactions!E1013</f>
        <v/>
      </c>
      <c r="F1013" s="4">
        <f>Raw_Transactions!F1013</f>
        <v/>
      </c>
      <c r="G1013" s="4">
        <f>Raw_Transactions!G1013</f>
        <v/>
      </c>
      <c r="H1013" s="4">
        <f>XLOOKUP(B1013,Raw_Risk_Profiles!$A:$A,Raw_Risk_Profiles!$B:$B,"Not Found")</f>
        <v/>
      </c>
      <c r="I1013" s="4">
        <f>XLOOKUP(B1013,Raw_Risk_Profiles!$A:$A,Raw_Risk_Profiles!$C:$C,"Missing")</f>
        <v/>
      </c>
      <c r="J1013" s="4">
        <f>XLOOKUP(B1013,Raw_Risk_Profiles!$A:$A,Raw_Risk_Profiles!$D:$D,"")</f>
        <v/>
      </c>
      <c r="K1013" s="4">
        <f>IFERROR(INDEX(Raw_Risk_Profiles!$E:$E,MATCH(B1013,Raw_Risk_Profiles!$A:$A,0)),"Unknown")</f>
        <v/>
      </c>
      <c r="L1013" s="4">
        <f>IFERROR(XLOOKUP(A1013,Raw_Alerts!$B:$B,Raw_Alerts!$A:$A),"No Alert")</f>
        <v/>
      </c>
      <c r="M1013" s="4">
        <f>IFERROR(XLOOKUP(A1013,Raw_Alerts!$B:$B,Raw_Alerts!$C:$C),"")</f>
        <v/>
      </c>
      <c r="N1013" s="4">
        <f>IFERROR(XLOOKUP(A1013,Raw_Alerts!$B:$B,Raw_Alerts!$D:$D),"")</f>
        <v/>
      </c>
      <c r="O1013" s="4">
        <f>IFERROR(XLOOKUP(A1013,Raw_Alerts!$B:$B,Raw_Alerts!$F:$F),"")</f>
        <v/>
      </c>
      <c r="P1013" s="4">
        <f>IF(H1013="Not Found","CRITICAL: No Risk Profile",IF(I1013="Missing","WARN: Missing KYC",IF(I1013="Expired","WARN: KYC Expired",IF(I1013="Pending","INFO: KYC Pending","OK"))))</f>
        <v/>
      </c>
    </row>
    <row r="1014">
      <c r="A1014" s="2">
        <f>Raw_Transactions!A1014</f>
        <v/>
      </c>
      <c r="B1014" s="2">
        <f>Raw_Transactions!B1014</f>
        <v/>
      </c>
      <c r="C1014" s="2">
        <f>Raw_Transactions!C1014</f>
        <v/>
      </c>
      <c r="D1014" s="3">
        <f>Raw_Transactions!D1014</f>
        <v/>
      </c>
      <c r="E1014" s="2">
        <f>Raw_Transactions!E1014</f>
        <v/>
      </c>
      <c r="F1014" s="2">
        <f>Raw_Transactions!F1014</f>
        <v/>
      </c>
      <c r="G1014" s="2">
        <f>Raw_Transactions!G1014</f>
        <v/>
      </c>
      <c r="H1014" s="2">
        <f>XLOOKUP(B1014,Raw_Risk_Profiles!$A:$A,Raw_Risk_Profiles!$B:$B,"Not Found")</f>
        <v/>
      </c>
      <c r="I1014" s="2">
        <f>XLOOKUP(B1014,Raw_Risk_Profiles!$A:$A,Raw_Risk_Profiles!$C:$C,"Missing")</f>
        <v/>
      </c>
      <c r="J1014" s="2">
        <f>XLOOKUP(B1014,Raw_Risk_Profiles!$A:$A,Raw_Risk_Profiles!$D:$D,"")</f>
        <v/>
      </c>
      <c r="K1014" s="2">
        <f>IFERROR(INDEX(Raw_Risk_Profiles!$E:$E,MATCH(B1014,Raw_Risk_Profiles!$A:$A,0)),"Unknown")</f>
        <v/>
      </c>
      <c r="L1014" s="2">
        <f>IFERROR(XLOOKUP(A1014,Raw_Alerts!$B:$B,Raw_Alerts!$A:$A),"No Alert")</f>
        <v/>
      </c>
      <c r="M1014" s="2">
        <f>IFERROR(XLOOKUP(A1014,Raw_Alerts!$B:$B,Raw_Alerts!$C:$C),"")</f>
        <v/>
      </c>
      <c r="N1014" s="2">
        <f>IFERROR(XLOOKUP(A1014,Raw_Alerts!$B:$B,Raw_Alerts!$D:$D),"")</f>
        <v/>
      </c>
      <c r="O1014" s="2">
        <f>IFERROR(XLOOKUP(A1014,Raw_Alerts!$B:$B,Raw_Alerts!$F:$F),"")</f>
        <v/>
      </c>
      <c r="P1014" s="2">
        <f>IF(H1014="Not Found","CRITICAL: No Risk Profile",IF(I1014="Missing","WARN: Missing KYC",IF(I1014="Expired","WARN: KYC Expired",IF(I1014="Pending","INFO: KYC Pending","OK"))))</f>
        <v/>
      </c>
    </row>
    <row r="1015">
      <c r="A1015" s="4">
        <f>Raw_Transactions!A1015</f>
        <v/>
      </c>
      <c r="B1015" s="4">
        <f>Raw_Transactions!B1015</f>
        <v/>
      </c>
      <c r="C1015" s="4">
        <f>Raw_Transactions!C1015</f>
        <v/>
      </c>
      <c r="D1015" s="5">
        <f>Raw_Transactions!D1015</f>
        <v/>
      </c>
      <c r="E1015" s="4">
        <f>Raw_Transactions!E1015</f>
        <v/>
      </c>
      <c r="F1015" s="4">
        <f>Raw_Transactions!F1015</f>
        <v/>
      </c>
      <c r="G1015" s="4">
        <f>Raw_Transactions!G1015</f>
        <v/>
      </c>
      <c r="H1015" s="4">
        <f>XLOOKUP(B1015,Raw_Risk_Profiles!$A:$A,Raw_Risk_Profiles!$B:$B,"Not Found")</f>
        <v/>
      </c>
      <c r="I1015" s="4">
        <f>XLOOKUP(B1015,Raw_Risk_Profiles!$A:$A,Raw_Risk_Profiles!$C:$C,"Missing")</f>
        <v/>
      </c>
      <c r="J1015" s="4">
        <f>XLOOKUP(B1015,Raw_Risk_Profiles!$A:$A,Raw_Risk_Profiles!$D:$D,"")</f>
        <v/>
      </c>
      <c r="K1015" s="4">
        <f>IFERROR(INDEX(Raw_Risk_Profiles!$E:$E,MATCH(B1015,Raw_Risk_Profiles!$A:$A,0)),"Unknown")</f>
        <v/>
      </c>
      <c r="L1015" s="4">
        <f>IFERROR(XLOOKUP(A1015,Raw_Alerts!$B:$B,Raw_Alerts!$A:$A),"No Alert")</f>
        <v/>
      </c>
      <c r="M1015" s="4">
        <f>IFERROR(XLOOKUP(A1015,Raw_Alerts!$B:$B,Raw_Alerts!$C:$C),"")</f>
        <v/>
      </c>
      <c r="N1015" s="4">
        <f>IFERROR(XLOOKUP(A1015,Raw_Alerts!$B:$B,Raw_Alerts!$D:$D),"")</f>
        <v/>
      </c>
      <c r="O1015" s="4">
        <f>IFERROR(XLOOKUP(A1015,Raw_Alerts!$B:$B,Raw_Alerts!$F:$F),"")</f>
        <v/>
      </c>
      <c r="P1015" s="4">
        <f>IF(H1015="Not Found","CRITICAL: No Risk Profile",IF(I1015="Missing","WARN: Missing KYC",IF(I1015="Expired","WARN: KYC Expired",IF(I1015="Pending","INFO: KYC Pending","OK"))))</f>
        <v/>
      </c>
    </row>
    <row r="1016">
      <c r="A1016" s="2">
        <f>Raw_Transactions!A1016</f>
        <v/>
      </c>
      <c r="B1016" s="2">
        <f>Raw_Transactions!B1016</f>
        <v/>
      </c>
      <c r="C1016" s="2">
        <f>Raw_Transactions!C1016</f>
        <v/>
      </c>
      <c r="D1016" s="3">
        <f>Raw_Transactions!D1016</f>
        <v/>
      </c>
      <c r="E1016" s="2">
        <f>Raw_Transactions!E1016</f>
        <v/>
      </c>
      <c r="F1016" s="2">
        <f>Raw_Transactions!F1016</f>
        <v/>
      </c>
      <c r="G1016" s="2">
        <f>Raw_Transactions!G1016</f>
        <v/>
      </c>
      <c r="H1016" s="2">
        <f>XLOOKUP(B1016,Raw_Risk_Profiles!$A:$A,Raw_Risk_Profiles!$B:$B,"Not Found")</f>
        <v/>
      </c>
      <c r="I1016" s="2">
        <f>XLOOKUP(B1016,Raw_Risk_Profiles!$A:$A,Raw_Risk_Profiles!$C:$C,"Missing")</f>
        <v/>
      </c>
      <c r="J1016" s="2">
        <f>XLOOKUP(B1016,Raw_Risk_Profiles!$A:$A,Raw_Risk_Profiles!$D:$D,"")</f>
        <v/>
      </c>
      <c r="K1016" s="2">
        <f>IFERROR(INDEX(Raw_Risk_Profiles!$E:$E,MATCH(B1016,Raw_Risk_Profiles!$A:$A,0)),"Unknown")</f>
        <v/>
      </c>
      <c r="L1016" s="2">
        <f>IFERROR(XLOOKUP(A1016,Raw_Alerts!$B:$B,Raw_Alerts!$A:$A),"No Alert")</f>
        <v/>
      </c>
      <c r="M1016" s="2">
        <f>IFERROR(XLOOKUP(A1016,Raw_Alerts!$B:$B,Raw_Alerts!$C:$C),"")</f>
        <v/>
      </c>
      <c r="N1016" s="2">
        <f>IFERROR(XLOOKUP(A1016,Raw_Alerts!$B:$B,Raw_Alerts!$D:$D),"")</f>
        <v/>
      </c>
      <c r="O1016" s="2">
        <f>IFERROR(XLOOKUP(A1016,Raw_Alerts!$B:$B,Raw_Alerts!$F:$F),"")</f>
        <v/>
      </c>
      <c r="P1016" s="2">
        <f>IF(H1016="Not Found","CRITICAL: No Risk Profile",IF(I1016="Missing","WARN: Missing KYC",IF(I1016="Expired","WARN: KYC Expired",IF(I1016="Pending","INFO: KYC Pending","OK"))))</f>
        <v/>
      </c>
    </row>
    <row r="1017">
      <c r="A1017" s="4">
        <f>Raw_Transactions!A1017</f>
        <v/>
      </c>
      <c r="B1017" s="4">
        <f>Raw_Transactions!B1017</f>
        <v/>
      </c>
      <c r="C1017" s="4">
        <f>Raw_Transactions!C1017</f>
        <v/>
      </c>
      <c r="D1017" s="5">
        <f>Raw_Transactions!D1017</f>
        <v/>
      </c>
      <c r="E1017" s="4">
        <f>Raw_Transactions!E1017</f>
        <v/>
      </c>
      <c r="F1017" s="4">
        <f>Raw_Transactions!F1017</f>
        <v/>
      </c>
      <c r="G1017" s="4">
        <f>Raw_Transactions!G1017</f>
        <v/>
      </c>
      <c r="H1017" s="4">
        <f>XLOOKUP(B1017,Raw_Risk_Profiles!$A:$A,Raw_Risk_Profiles!$B:$B,"Not Found")</f>
        <v/>
      </c>
      <c r="I1017" s="4">
        <f>XLOOKUP(B1017,Raw_Risk_Profiles!$A:$A,Raw_Risk_Profiles!$C:$C,"Missing")</f>
        <v/>
      </c>
      <c r="J1017" s="4">
        <f>XLOOKUP(B1017,Raw_Risk_Profiles!$A:$A,Raw_Risk_Profiles!$D:$D,"")</f>
        <v/>
      </c>
      <c r="K1017" s="4">
        <f>IFERROR(INDEX(Raw_Risk_Profiles!$E:$E,MATCH(B1017,Raw_Risk_Profiles!$A:$A,0)),"Unknown")</f>
        <v/>
      </c>
      <c r="L1017" s="4">
        <f>IFERROR(XLOOKUP(A1017,Raw_Alerts!$B:$B,Raw_Alerts!$A:$A),"No Alert")</f>
        <v/>
      </c>
      <c r="M1017" s="4">
        <f>IFERROR(XLOOKUP(A1017,Raw_Alerts!$B:$B,Raw_Alerts!$C:$C),"")</f>
        <v/>
      </c>
      <c r="N1017" s="4">
        <f>IFERROR(XLOOKUP(A1017,Raw_Alerts!$B:$B,Raw_Alerts!$D:$D),"")</f>
        <v/>
      </c>
      <c r="O1017" s="4">
        <f>IFERROR(XLOOKUP(A1017,Raw_Alerts!$B:$B,Raw_Alerts!$F:$F),"")</f>
        <v/>
      </c>
      <c r="P1017" s="4">
        <f>IF(H1017="Not Found","CRITICAL: No Risk Profile",IF(I1017="Missing","WARN: Missing KYC",IF(I1017="Expired","WARN: KYC Expired",IF(I1017="Pending","INFO: KYC Pending","OK"))))</f>
        <v/>
      </c>
    </row>
    <row r="1018">
      <c r="A1018" s="2">
        <f>Raw_Transactions!A1018</f>
        <v/>
      </c>
      <c r="B1018" s="2">
        <f>Raw_Transactions!B1018</f>
        <v/>
      </c>
      <c r="C1018" s="2">
        <f>Raw_Transactions!C1018</f>
        <v/>
      </c>
      <c r="D1018" s="3">
        <f>Raw_Transactions!D1018</f>
        <v/>
      </c>
      <c r="E1018" s="2">
        <f>Raw_Transactions!E1018</f>
        <v/>
      </c>
      <c r="F1018" s="2">
        <f>Raw_Transactions!F1018</f>
        <v/>
      </c>
      <c r="G1018" s="2">
        <f>Raw_Transactions!G1018</f>
        <v/>
      </c>
      <c r="H1018" s="2">
        <f>XLOOKUP(B1018,Raw_Risk_Profiles!$A:$A,Raw_Risk_Profiles!$B:$B,"Not Found")</f>
        <v/>
      </c>
      <c r="I1018" s="2">
        <f>XLOOKUP(B1018,Raw_Risk_Profiles!$A:$A,Raw_Risk_Profiles!$C:$C,"Missing")</f>
        <v/>
      </c>
      <c r="J1018" s="2">
        <f>XLOOKUP(B1018,Raw_Risk_Profiles!$A:$A,Raw_Risk_Profiles!$D:$D,"")</f>
        <v/>
      </c>
      <c r="K1018" s="2">
        <f>IFERROR(INDEX(Raw_Risk_Profiles!$E:$E,MATCH(B1018,Raw_Risk_Profiles!$A:$A,0)),"Unknown")</f>
        <v/>
      </c>
      <c r="L1018" s="2">
        <f>IFERROR(XLOOKUP(A1018,Raw_Alerts!$B:$B,Raw_Alerts!$A:$A),"No Alert")</f>
        <v/>
      </c>
      <c r="M1018" s="2">
        <f>IFERROR(XLOOKUP(A1018,Raw_Alerts!$B:$B,Raw_Alerts!$C:$C),"")</f>
        <v/>
      </c>
      <c r="N1018" s="2">
        <f>IFERROR(XLOOKUP(A1018,Raw_Alerts!$B:$B,Raw_Alerts!$D:$D),"")</f>
        <v/>
      </c>
      <c r="O1018" s="2">
        <f>IFERROR(XLOOKUP(A1018,Raw_Alerts!$B:$B,Raw_Alerts!$F:$F),"")</f>
        <v/>
      </c>
      <c r="P1018" s="2">
        <f>IF(H1018="Not Found","CRITICAL: No Risk Profile",IF(I1018="Missing","WARN: Missing KYC",IF(I1018="Expired","WARN: KYC Expired",IF(I1018="Pending","INFO: KYC Pending","OK"))))</f>
        <v/>
      </c>
    </row>
    <row r="1019">
      <c r="A1019" s="4">
        <f>Raw_Transactions!A1019</f>
        <v/>
      </c>
      <c r="B1019" s="4">
        <f>Raw_Transactions!B1019</f>
        <v/>
      </c>
      <c r="C1019" s="4">
        <f>Raw_Transactions!C1019</f>
        <v/>
      </c>
      <c r="D1019" s="5">
        <f>Raw_Transactions!D1019</f>
        <v/>
      </c>
      <c r="E1019" s="4">
        <f>Raw_Transactions!E1019</f>
        <v/>
      </c>
      <c r="F1019" s="4">
        <f>Raw_Transactions!F1019</f>
        <v/>
      </c>
      <c r="G1019" s="4">
        <f>Raw_Transactions!G1019</f>
        <v/>
      </c>
      <c r="H1019" s="4">
        <f>XLOOKUP(B1019,Raw_Risk_Profiles!$A:$A,Raw_Risk_Profiles!$B:$B,"Not Found")</f>
        <v/>
      </c>
      <c r="I1019" s="4">
        <f>XLOOKUP(B1019,Raw_Risk_Profiles!$A:$A,Raw_Risk_Profiles!$C:$C,"Missing")</f>
        <v/>
      </c>
      <c r="J1019" s="4">
        <f>XLOOKUP(B1019,Raw_Risk_Profiles!$A:$A,Raw_Risk_Profiles!$D:$D,"")</f>
        <v/>
      </c>
      <c r="K1019" s="4">
        <f>IFERROR(INDEX(Raw_Risk_Profiles!$E:$E,MATCH(B1019,Raw_Risk_Profiles!$A:$A,0)),"Unknown")</f>
        <v/>
      </c>
      <c r="L1019" s="4">
        <f>IFERROR(XLOOKUP(A1019,Raw_Alerts!$B:$B,Raw_Alerts!$A:$A),"No Alert")</f>
        <v/>
      </c>
      <c r="M1019" s="4">
        <f>IFERROR(XLOOKUP(A1019,Raw_Alerts!$B:$B,Raw_Alerts!$C:$C),"")</f>
        <v/>
      </c>
      <c r="N1019" s="4">
        <f>IFERROR(XLOOKUP(A1019,Raw_Alerts!$B:$B,Raw_Alerts!$D:$D),"")</f>
        <v/>
      </c>
      <c r="O1019" s="4">
        <f>IFERROR(XLOOKUP(A1019,Raw_Alerts!$B:$B,Raw_Alerts!$F:$F),"")</f>
        <v/>
      </c>
      <c r="P1019" s="4">
        <f>IF(H1019="Not Found","CRITICAL: No Risk Profile",IF(I1019="Missing","WARN: Missing KYC",IF(I1019="Expired","WARN: KYC Expired",IF(I1019="Pending","INFO: KYC Pending","OK"))))</f>
        <v/>
      </c>
    </row>
    <row r="1020">
      <c r="A1020" s="2">
        <f>Raw_Transactions!A1020</f>
        <v/>
      </c>
      <c r="B1020" s="2">
        <f>Raw_Transactions!B1020</f>
        <v/>
      </c>
      <c r="C1020" s="2">
        <f>Raw_Transactions!C1020</f>
        <v/>
      </c>
      <c r="D1020" s="3">
        <f>Raw_Transactions!D1020</f>
        <v/>
      </c>
      <c r="E1020" s="2">
        <f>Raw_Transactions!E1020</f>
        <v/>
      </c>
      <c r="F1020" s="2">
        <f>Raw_Transactions!F1020</f>
        <v/>
      </c>
      <c r="G1020" s="2">
        <f>Raw_Transactions!G1020</f>
        <v/>
      </c>
      <c r="H1020" s="2">
        <f>XLOOKUP(B1020,Raw_Risk_Profiles!$A:$A,Raw_Risk_Profiles!$B:$B,"Not Found")</f>
        <v/>
      </c>
      <c r="I1020" s="2">
        <f>XLOOKUP(B1020,Raw_Risk_Profiles!$A:$A,Raw_Risk_Profiles!$C:$C,"Missing")</f>
        <v/>
      </c>
      <c r="J1020" s="2">
        <f>XLOOKUP(B1020,Raw_Risk_Profiles!$A:$A,Raw_Risk_Profiles!$D:$D,"")</f>
        <v/>
      </c>
      <c r="K1020" s="2">
        <f>IFERROR(INDEX(Raw_Risk_Profiles!$E:$E,MATCH(B1020,Raw_Risk_Profiles!$A:$A,0)),"Unknown")</f>
        <v/>
      </c>
      <c r="L1020" s="2">
        <f>IFERROR(XLOOKUP(A1020,Raw_Alerts!$B:$B,Raw_Alerts!$A:$A),"No Alert")</f>
        <v/>
      </c>
      <c r="M1020" s="2">
        <f>IFERROR(XLOOKUP(A1020,Raw_Alerts!$B:$B,Raw_Alerts!$C:$C),"")</f>
        <v/>
      </c>
      <c r="N1020" s="2">
        <f>IFERROR(XLOOKUP(A1020,Raw_Alerts!$B:$B,Raw_Alerts!$D:$D),"")</f>
        <v/>
      </c>
      <c r="O1020" s="2">
        <f>IFERROR(XLOOKUP(A1020,Raw_Alerts!$B:$B,Raw_Alerts!$F:$F),"")</f>
        <v/>
      </c>
      <c r="P1020" s="2">
        <f>IF(H1020="Not Found","CRITICAL: No Risk Profile",IF(I1020="Missing","WARN: Missing KYC",IF(I1020="Expired","WARN: KYC Expired",IF(I1020="Pending","INFO: KYC Pending","OK"))))</f>
        <v/>
      </c>
    </row>
    <row r="1021">
      <c r="A1021" s="4">
        <f>Raw_Transactions!A1021</f>
        <v/>
      </c>
      <c r="B1021" s="4">
        <f>Raw_Transactions!B1021</f>
        <v/>
      </c>
      <c r="C1021" s="4">
        <f>Raw_Transactions!C1021</f>
        <v/>
      </c>
      <c r="D1021" s="5">
        <f>Raw_Transactions!D1021</f>
        <v/>
      </c>
      <c r="E1021" s="4">
        <f>Raw_Transactions!E1021</f>
        <v/>
      </c>
      <c r="F1021" s="4">
        <f>Raw_Transactions!F1021</f>
        <v/>
      </c>
      <c r="G1021" s="4">
        <f>Raw_Transactions!G1021</f>
        <v/>
      </c>
      <c r="H1021" s="4">
        <f>XLOOKUP(B1021,Raw_Risk_Profiles!$A:$A,Raw_Risk_Profiles!$B:$B,"Not Found")</f>
        <v/>
      </c>
      <c r="I1021" s="4">
        <f>XLOOKUP(B1021,Raw_Risk_Profiles!$A:$A,Raw_Risk_Profiles!$C:$C,"Missing")</f>
        <v/>
      </c>
      <c r="J1021" s="4">
        <f>XLOOKUP(B1021,Raw_Risk_Profiles!$A:$A,Raw_Risk_Profiles!$D:$D,"")</f>
        <v/>
      </c>
      <c r="K1021" s="4">
        <f>IFERROR(INDEX(Raw_Risk_Profiles!$E:$E,MATCH(B1021,Raw_Risk_Profiles!$A:$A,0)),"Unknown")</f>
        <v/>
      </c>
      <c r="L1021" s="4">
        <f>IFERROR(XLOOKUP(A1021,Raw_Alerts!$B:$B,Raw_Alerts!$A:$A),"No Alert")</f>
        <v/>
      </c>
      <c r="M1021" s="4">
        <f>IFERROR(XLOOKUP(A1021,Raw_Alerts!$B:$B,Raw_Alerts!$C:$C),"")</f>
        <v/>
      </c>
      <c r="N1021" s="4">
        <f>IFERROR(XLOOKUP(A1021,Raw_Alerts!$B:$B,Raw_Alerts!$D:$D),"")</f>
        <v/>
      </c>
      <c r="O1021" s="4">
        <f>IFERROR(XLOOKUP(A1021,Raw_Alerts!$B:$B,Raw_Alerts!$F:$F),"")</f>
        <v/>
      </c>
      <c r="P1021" s="4">
        <f>IF(H1021="Not Found","CRITICAL: No Risk Profile",IF(I1021="Missing","WARN: Missing KYC",IF(I1021="Expired","WARN: KYC Expired",IF(I1021="Pending","INFO: KYC Pending","OK"))))</f>
        <v/>
      </c>
    </row>
    <row r="1022">
      <c r="A1022" s="2">
        <f>Raw_Transactions!A1022</f>
        <v/>
      </c>
      <c r="B1022" s="2">
        <f>Raw_Transactions!B1022</f>
        <v/>
      </c>
      <c r="C1022" s="2">
        <f>Raw_Transactions!C1022</f>
        <v/>
      </c>
      <c r="D1022" s="3">
        <f>Raw_Transactions!D1022</f>
        <v/>
      </c>
      <c r="E1022" s="2">
        <f>Raw_Transactions!E1022</f>
        <v/>
      </c>
      <c r="F1022" s="2">
        <f>Raw_Transactions!F1022</f>
        <v/>
      </c>
      <c r="G1022" s="2">
        <f>Raw_Transactions!G1022</f>
        <v/>
      </c>
      <c r="H1022" s="2">
        <f>XLOOKUP(B1022,Raw_Risk_Profiles!$A:$A,Raw_Risk_Profiles!$B:$B,"Not Found")</f>
        <v/>
      </c>
      <c r="I1022" s="2">
        <f>XLOOKUP(B1022,Raw_Risk_Profiles!$A:$A,Raw_Risk_Profiles!$C:$C,"Missing")</f>
        <v/>
      </c>
      <c r="J1022" s="2">
        <f>XLOOKUP(B1022,Raw_Risk_Profiles!$A:$A,Raw_Risk_Profiles!$D:$D,"")</f>
        <v/>
      </c>
      <c r="K1022" s="2">
        <f>IFERROR(INDEX(Raw_Risk_Profiles!$E:$E,MATCH(B1022,Raw_Risk_Profiles!$A:$A,0)),"Unknown")</f>
        <v/>
      </c>
      <c r="L1022" s="2">
        <f>IFERROR(XLOOKUP(A1022,Raw_Alerts!$B:$B,Raw_Alerts!$A:$A),"No Alert")</f>
        <v/>
      </c>
      <c r="M1022" s="2">
        <f>IFERROR(XLOOKUP(A1022,Raw_Alerts!$B:$B,Raw_Alerts!$C:$C),"")</f>
        <v/>
      </c>
      <c r="N1022" s="2">
        <f>IFERROR(XLOOKUP(A1022,Raw_Alerts!$B:$B,Raw_Alerts!$D:$D),"")</f>
        <v/>
      </c>
      <c r="O1022" s="2">
        <f>IFERROR(XLOOKUP(A1022,Raw_Alerts!$B:$B,Raw_Alerts!$F:$F),"")</f>
        <v/>
      </c>
      <c r="P1022" s="2">
        <f>IF(H1022="Not Found","CRITICAL: No Risk Profile",IF(I1022="Missing","WARN: Missing KYC",IF(I1022="Expired","WARN: KYC Expired",IF(I1022="Pending","INFO: KYC Pending","OK"))))</f>
        <v/>
      </c>
    </row>
    <row r="1023">
      <c r="A1023" s="4">
        <f>Raw_Transactions!A1023</f>
        <v/>
      </c>
      <c r="B1023" s="4">
        <f>Raw_Transactions!B1023</f>
        <v/>
      </c>
      <c r="C1023" s="4">
        <f>Raw_Transactions!C1023</f>
        <v/>
      </c>
      <c r="D1023" s="5">
        <f>Raw_Transactions!D1023</f>
        <v/>
      </c>
      <c r="E1023" s="4">
        <f>Raw_Transactions!E1023</f>
        <v/>
      </c>
      <c r="F1023" s="4">
        <f>Raw_Transactions!F1023</f>
        <v/>
      </c>
      <c r="G1023" s="4">
        <f>Raw_Transactions!G1023</f>
        <v/>
      </c>
      <c r="H1023" s="4">
        <f>XLOOKUP(B1023,Raw_Risk_Profiles!$A:$A,Raw_Risk_Profiles!$B:$B,"Not Found")</f>
        <v/>
      </c>
      <c r="I1023" s="4">
        <f>XLOOKUP(B1023,Raw_Risk_Profiles!$A:$A,Raw_Risk_Profiles!$C:$C,"Missing")</f>
        <v/>
      </c>
      <c r="J1023" s="4">
        <f>XLOOKUP(B1023,Raw_Risk_Profiles!$A:$A,Raw_Risk_Profiles!$D:$D,"")</f>
        <v/>
      </c>
      <c r="K1023" s="4">
        <f>IFERROR(INDEX(Raw_Risk_Profiles!$E:$E,MATCH(B1023,Raw_Risk_Profiles!$A:$A,0)),"Unknown")</f>
        <v/>
      </c>
      <c r="L1023" s="4">
        <f>IFERROR(XLOOKUP(A1023,Raw_Alerts!$B:$B,Raw_Alerts!$A:$A),"No Alert")</f>
        <v/>
      </c>
      <c r="M1023" s="4">
        <f>IFERROR(XLOOKUP(A1023,Raw_Alerts!$B:$B,Raw_Alerts!$C:$C),"")</f>
        <v/>
      </c>
      <c r="N1023" s="4">
        <f>IFERROR(XLOOKUP(A1023,Raw_Alerts!$B:$B,Raw_Alerts!$D:$D),"")</f>
        <v/>
      </c>
      <c r="O1023" s="4">
        <f>IFERROR(XLOOKUP(A1023,Raw_Alerts!$B:$B,Raw_Alerts!$F:$F),"")</f>
        <v/>
      </c>
      <c r="P1023" s="4">
        <f>IF(H1023="Not Found","CRITICAL: No Risk Profile",IF(I1023="Missing","WARN: Missing KYC",IF(I1023="Expired","WARN: KYC Expired",IF(I1023="Pending","INFO: KYC Pending","OK"))))</f>
        <v/>
      </c>
    </row>
    <row r="1024">
      <c r="A1024" s="2">
        <f>Raw_Transactions!A1024</f>
        <v/>
      </c>
      <c r="B1024" s="2">
        <f>Raw_Transactions!B1024</f>
        <v/>
      </c>
      <c r="C1024" s="2">
        <f>Raw_Transactions!C1024</f>
        <v/>
      </c>
      <c r="D1024" s="3">
        <f>Raw_Transactions!D1024</f>
        <v/>
      </c>
      <c r="E1024" s="2">
        <f>Raw_Transactions!E1024</f>
        <v/>
      </c>
      <c r="F1024" s="2">
        <f>Raw_Transactions!F1024</f>
        <v/>
      </c>
      <c r="G1024" s="2">
        <f>Raw_Transactions!G1024</f>
        <v/>
      </c>
      <c r="H1024" s="2">
        <f>XLOOKUP(B1024,Raw_Risk_Profiles!$A:$A,Raw_Risk_Profiles!$B:$B,"Not Found")</f>
        <v/>
      </c>
      <c r="I1024" s="2">
        <f>XLOOKUP(B1024,Raw_Risk_Profiles!$A:$A,Raw_Risk_Profiles!$C:$C,"Missing")</f>
        <v/>
      </c>
      <c r="J1024" s="2">
        <f>XLOOKUP(B1024,Raw_Risk_Profiles!$A:$A,Raw_Risk_Profiles!$D:$D,"")</f>
        <v/>
      </c>
      <c r="K1024" s="2">
        <f>IFERROR(INDEX(Raw_Risk_Profiles!$E:$E,MATCH(B1024,Raw_Risk_Profiles!$A:$A,0)),"Unknown")</f>
        <v/>
      </c>
      <c r="L1024" s="2">
        <f>IFERROR(XLOOKUP(A1024,Raw_Alerts!$B:$B,Raw_Alerts!$A:$A),"No Alert")</f>
        <v/>
      </c>
      <c r="M1024" s="2">
        <f>IFERROR(XLOOKUP(A1024,Raw_Alerts!$B:$B,Raw_Alerts!$C:$C),"")</f>
        <v/>
      </c>
      <c r="N1024" s="2">
        <f>IFERROR(XLOOKUP(A1024,Raw_Alerts!$B:$B,Raw_Alerts!$D:$D),"")</f>
        <v/>
      </c>
      <c r="O1024" s="2">
        <f>IFERROR(XLOOKUP(A1024,Raw_Alerts!$B:$B,Raw_Alerts!$F:$F),"")</f>
        <v/>
      </c>
      <c r="P1024" s="2">
        <f>IF(H1024="Not Found","CRITICAL: No Risk Profile",IF(I1024="Missing","WARN: Missing KYC",IF(I1024="Expired","WARN: KYC Expired",IF(I1024="Pending","INFO: KYC Pending","OK"))))</f>
        <v/>
      </c>
    </row>
    <row r="1025">
      <c r="A1025" s="4">
        <f>Raw_Transactions!A1025</f>
        <v/>
      </c>
      <c r="B1025" s="4">
        <f>Raw_Transactions!B1025</f>
        <v/>
      </c>
      <c r="C1025" s="4">
        <f>Raw_Transactions!C1025</f>
        <v/>
      </c>
      <c r="D1025" s="5">
        <f>Raw_Transactions!D1025</f>
        <v/>
      </c>
      <c r="E1025" s="4">
        <f>Raw_Transactions!E1025</f>
        <v/>
      </c>
      <c r="F1025" s="4">
        <f>Raw_Transactions!F1025</f>
        <v/>
      </c>
      <c r="G1025" s="4">
        <f>Raw_Transactions!G1025</f>
        <v/>
      </c>
      <c r="H1025" s="4">
        <f>XLOOKUP(B1025,Raw_Risk_Profiles!$A:$A,Raw_Risk_Profiles!$B:$B,"Not Found")</f>
        <v/>
      </c>
      <c r="I1025" s="4">
        <f>XLOOKUP(B1025,Raw_Risk_Profiles!$A:$A,Raw_Risk_Profiles!$C:$C,"Missing")</f>
        <v/>
      </c>
      <c r="J1025" s="4">
        <f>XLOOKUP(B1025,Raw_Risk_Profiles!$A:$A,Raw_Risk_Profiles!$D:$D,"")</f>
        <v/>
      </c>
      <c r="K1025" s="4">
        <f>IFERROR(INDEX(Raw_Risk_Profiles!$E:$E,MATCH(B1025,Raw_Risk_Profiles!$A:$A,0)),"Unknown")</f>
        <v/>
      </c>
      <c r="L1025" s="4">
        <f>IFERROR(XLOOKUP(A1025,Raw_Alerts!$B:$B,Raw_Alerts!$A:$A),"No Alert")</f>
        <v/>
      </c>
      <c r="M1025" s="4">
        <f>IFERROR(XLOOKUP(A1025,Raw_Alerts!$B:$B,Raw_Alerts!$C:$C),"")</f>
        <v/>
      </c>
      <c r="N1025" s="4">
        <f>IFERROR(XLOOKUP(A1025,Raw_Alerts!$B:$B,Raw_Alerts!$D:$D),"")</f>
        <v/>
      </c>
      <c r="O1025" s="4">
        <f>IFERROR(XLOOKUP(A1025,Raw_Alerts!$B:$B,Raw_Alerts!$F:$F),"")</f>
        <v/>
      </c>
      <c r="P1025" s="4">
        <f>IF(H1025="Not Found","CRITICAL: No Risk Profile",IF(I1025="Missing","WARN: Missing KYC",IF(I1025="Expired","WARN: KYC Expired",IF(I1025="Pending","INFO: KYC Pending","OK"))))</f>
        <v/>
      </c>
    </row>
    <row r="1026">
      <c r="A1026" s="2">
        <f>Raw_Transactions!A1026</f>
        <v/>
      </c>
      <c r="B1026" s="2">
        <f>Raw_Transactions!B1026</f>
        <v/>
      </c>
      <c r="C1026" s="2">
        <f>Raw_Transactions!C1026</f>
        <v/>
      </c>
      <c r="D1026" s="3">
        <f>Raw_Transactions!D1026</f>
        <v/>
      </c>
      <c r="E1026" s="2">
        <f>Raw_Transactions!E1026</f>
        <v/>
      </c>
      <c r="F1026" s="2">
        <f>Raw_Transactions!F1026</f>
        <v/>
      </c>
      <c r="G1026" s="2">
        <f>Raw_Transactions!G1026</f>
        <v/>
      </c>
      <c r="H1026" s="2">
        <f>XLOOKUP(B1026,Raw_Risk_Profiles!$A:$A,Raw_Risk_Profiles!$B:$B,"Not Found")</f>
        <v/>
      </c>
      <c r="I1026" s="2">
        <f>XLOOKUP(B1026,Raw_Risk_Profiles!$A:$A,Raw_Risk_Profiles!$C:$C,"Missing")</f>
        <v/>
      </c>
      <c r="J1026" s="2">
        <f>XLOOKUP(B1026,Raw_Risk_Profiles!$A:$A,Raw_Risk_Profiles!$D:$D,"")</f>
        <v/>
      </c>
      <c r="K1026" s="2">
        <f>IFERROR(INDEX(Raw_Risk_Profiles!$E:$E,MATCH(B1026,Raw_Risk_Profiles!$A:$A,0)),"Unknown")</f>
        <v/>
      </c>
      <c r="L1026" s="2">
        <f>IFERROR(XLOOKUP(A1026,Raw_Alerts!$B:$B,Raw_Alerts!$A:$A),"No Alert")</f>
        <v/>
      </c>
      <c r="M1026" s="2">
        <f>IFERROR(XLOOKUP(A1026,Raw_Alerts!$B:$B,Raw_Alerts!$C:$C),"")</f>
        <v/>
      </c>
      <c r="N1026" s="2">
        <f>IFERROR(XLOOKUP(A1026,Raw_Alerts!$B:$B,Raw_Alerts!$D:$D),"")</f>
        <v/>
      </c>
      <c r="O1026" s="2">
        <f>IFERROR(XLOOKUP(A1026,Raw_Alerts!$B:$B,Raw_Alerts!$F:$F),"")</f>
        <v/>
      </c>
      <c r="P1026" s="2">
        <f>IF(H1026="Not Found","CRITICAL: No Risk Profile",IF(I1026="Missing","WARN: Missing KYC",IF(I1026="Expired","WARN: KYC Expired",IF(I1026="Pending","INFO: KYC Pending","OK"))))</f>
        <v/>
      </c>
    </row>
    <row r="1027">
      <c r="A1027" s="4">
        <f>Raw_Transactions!A1027</f>
        <v/>
      </c>
      <c r="B1027" s="4">
        <f>Raw_Transactions!B1027</f>
        <v/>
      </c>
      <c r="C1027" s="4">
        <f>Raw_Transactions!C1027</f>
        <v/>
      </c>
      <c r="D1027" s="5">
        <f>Raw_Transactions!D1027</f>
        <v/>
      </c>
      <c r="E1027" s="4">
        <f>Raw_Transactions!E1027</f>
        <v/>
      </c>
      <c r="F1027" s="4">
        <f>Raw_Transactions!F1027</f>
        <v/>
      </c>
      <c r="G1027" s="4">
        <f>Raw_Transactions!G1027</f>
        <v/>
      </c>
      <c r="H1027" s="4">
        <f>XLOOKUP(B1027,Raw_Risk_Profiles!$A:$A,Raw_Risk_Profiles!$B:$B,"Not Found")</f>
        <v/>
      </c>
      <c r="I1027" s="4">
        <f>XLOOKUP(B1027,Raw_Risk_Profiles!$A:$A,Raw_Risk_Profiles!$C:$C,"Missing")</f>
        <v/>
      </c>
      <c r="J1027" s="4">
        <f>XLOOKUP(B1027,Raw_Risk_Profiles!$A:$A,Raw_Risk_Profiles!$D:$D,"")</f>
        <v/>
      </c>
      <c r="K1027" s="4">
        <f>IFERROR(INDEX(Raw_Risk_Profiles!$E:$E,MATCH(B1027,Raw_Risk_Profiles!$A:$A,0)),"Unknown")</f>
        <v/>
      </c>
      <c r="L1027" s="4">
        <f>IFERROR(XLOOKUP(A1027,Raw_Alerts!$B:$B,Raw_Alerts!$A:$A),"No Alert")</f>
        <v/>
      </c>
      <c r="M1027" s="4">
        <f>IFERROR(XLOOKUP(A1027,Raw_Alerts!$B:$B,Raw_Alerts!$C:$C),"")</f>
        <v/>
      </c>
      <c r="N1027" s="4">
        <f>IFERROR(XLOOKUP(A1027,Raw_Alerts!$B:$B,Raw_Alerts!$D:$D),"")</f>
        <v/>
      </c>
      <c r="O1027" s="4">
        <f>IFERROR(XLOOKUP(A1027,Raw_Alerts!$B:$B,Raw_Alerts!$F:$F),"")</f>
        <v/>
      </c>
      <c r="P1027" s="4">
        <f>IF(H1027="Not Found","CRITICAL: No Risk Profile",IF(I1027="Missing","WARN: Missing KYC",IF(I1027="Expired","WARN: KYC Expired",IF(I1027="Pending","INFO: KYC Pending","OK"))))</f>
        <v/>
      </c>
    </row>
    <row r="1028">
      <c r="A1028" s="2">
        <f>Raw_Transactions!A1028</f>
        <v/>
      </c>
      <c r="B1028" s="2">
        <f>Raw_Transactions!B1028</f>
        <v/>
      </c>
      <c r="C1028" s="2">
        <f>Raw_Transactions!C1028</f>
        <v/>
      </c>
      <c r="D1028" s="3">
        <f>Raw_Transactions!D1028</f>
        <v/>
      </c>
      <c r="E1028" s="2">
        <f>Raw_Transactions!E1028</f>
        <v/>
      </c>
      <c r="F1028" s="2">
        <f>Raw_Transactions!F1028</f>
        <v/>
      </c>
      <c r="G1028" s="2">
        <f>Raw_Transactions!G1028</f>
        <v/>
      </c>
      <c r="H1028" s="2">
        <f>XLOOKUP(B1028,Raw_Risk_Profiles!$A:$A,Raw_Risk_Profiles!$B:$B,"Not Found")</f>
        <v/>
      </c>
      <c r="I1028" s="2">
        <f>XLOOKUP(B1028,Raw_Risk_Profiles!$A:$A,Raw_Risk_Profiles!$C:$C,"Missing")</f>
        <v/>
      </c>
      <c r="J1028" s="2">
        <f>XLOOKUP(B1028,Raw_Risk_Profiles!$A:$A,Raw_Risk_Profiles!$D:$D,"")</f>
        <v/>
      </c>
      <c r="K1028" s="2">
        <f>IFERROR(INDEX(Raw_Risk_Profiles!$E:$E,MATCH(B1028,Raw_Risk_Profiles!$A:$A,0)),"Unknown")</f>
        <v/>
      </c>
      <c r="L1028" s="2">
        <f>IFERROR(XLOOKUP(A1028,Raw_Alerts!$B:$B,Raw_Alerts!$A:$A),"No Alert")</f>
        <v/>
      </c>
      <c r="M1028" s="2">
        <f>IFERROR(XLOOKUP(A1028,Raw_Alerts!$B:$B,Raw_Alerts!$C:$C),"")</f>
        <v/>
      </c>
      <c r="N1028" s="2">
        <f>IFERROR(XLOOKUP(A1028,Raw_Alerts!$B:$B,Raw_Alerts!$D:$D),"")</f>
        <v/>
      </c>
      <c r="O1028" s="2">
        <f>IFERROR(XLOOKUP(A1028,Raw_Alerts!$B:$B,Raw_Alerts!$F:$F),"")</f>
        <v/>
      </c>
      <c r="P1028" s="2">
        <f>IF(H1028="Not Found","CRITICAL: No Risk Profile",IF(I1028="Missing","WARN: Missing KYC",IF(I1028="Expired","WARN: KYC Expired",IF(I1028="Pending","INFO: KYC Pending","OK"))))</f>
        <v/>
      </c>
    </row>
    <row r="1029">
      <c r="A1029" s="4">
        <f>Raw_Transactions!A1029</f>
        <v/>
      </c>
      <c r="B1029" s="4">
        <f>Raw_Transactions!B1029</f>
        <v/>
      </c>
      <c r="C1029" s="4">
        <f>Raw_Transactions!C1029</f>
        <v/>
      </c>
      <c r="D1029" s="5">
        <f>Raw_Transactions!D1029</f>
        <v/>
      </c>
      <c r="E1029" s="4">
        <f>Raw_Transactions!E1029</f>
        <v/>
      </c>
      <c r="F1029" s="4">
        <f>Raw_Transactions!F1029</f>
        <v/>
      </c>
      <c r="G1029" s="4">
        <f>Raw_Transactions!G1029</f>
        <v/>
      </c>
      <c r="H1029" s="4">
        <f>XLOOKUP(B1029,Raw_Risk_Profiles!$A:$A,Raw_Risk_Profiles!$B:$B,"Not Found")</f>
        <v/>
      </c>
      <c r="I1029" s="4">
        <f>XLOOKUP(B1029,Raw_Risk_Profiles!$A:$A,Raw_Risk_Profiles!$C:$C,"Missing")</f>
        <v/>
      </c>
      <c r="J1029" s="4">
        <f>XLOOKUP(B1029,Raw_Risk_Profiles!$A:$A,Raw_Risk_Profiles!$D:$D,"")</f>
        <v/>
      </c>
      <c r="K1029" s="4">
        <f>IFERROR(INDEX(Raw_Risk_Profiles!$E:$E,MATCH(B1029,Raw_Risk_Profiles!$A:$A,0)),"Unknown")</f>
        <v/>
      </c>
      <c r="L1029" s="4">
        <f>IFERROR(XLOOKUP(A1029,Raw_Alerts!$B:$B,Raw_Alerts!$A:$A),"No Alert")</f>
        <v/>
      </c>
      <c r="M1029" s="4">
        <f>IFERROR(XLOOKUP(A1029,Raw_Alerts!$B:$B,Raw_Alerts!$C:$C),"")</f>
        <v/>
      </c>
      <c r="N1029" s="4">
        <f>IFERROR(XLOOKUP(A1029,Raw_Alerts!$B:$B,Raw_Alerts!$D:$D),"")</f>
        <v/>
      </c>
      <c r="O1029" s="4">
        <f>IFERROR(XLOOKUP(A1029,Raw_Alerts!$B:$B,Raw_Alerts!$F:$F),"")</f>
        <v/>
      </c>
      <c r="P1029" s="4">
        <f>IF(H1029="Not Found","CRITICAL: No Risk Profile",IF(I1029="Missing","WARN: Missing KYC",IF(I1029="Expired","WARN: KYC Expired",IF(I1029="Pending","INFO: KYC Pending","OK"))))</f>
        <v/>
      </c>
    </row>
    <row r="1030">
      <c r="A1030" s="2">
        <f>Raw_Transactions!A1030</f>
        <v/>
      </c>
      <c r="B1030" s="2">
        <f>Raw_Transactions!B1030</f>
        <v/>
      </c>
      <c r="C1030" s="2">
        <f>Raw_Transactions!C1030</f>
        <v/>
      </c>
      <c r="D1030" s="3">
        <f>Raw_Transactions!D1030</f>
        <v/>
      </c>
      <c r="E1030" s="2">
        <f>Raw_Transactions!E1030</f>
        <v/>
      </c>
      <c r="F1030" s="2">
        <f>Raw_Transactions!F1030</f>
        <v/>
      </c>
      <c r="G1030" s="2">
        <f>Raw_Transactions!G1030</f>
        <v/>
      </c>
      <c r="H1030" s="2">
        <f>XLOOKUP(B1030,Raw_Risk_Profiles!$A:$A,Raw_Risk_Profiles!$B:$B,"Not Found")</f>
        <v/>
      </c>
      <c r="I1030" s="2">
        <f>XLOOKUP(B1030,Raw_Risk_Profiles!$A:$A,Raw_Risk_Profiles!$C:$C,"Missing")</f>
        <v/>
      </c>
      <c r="J1030" s="2">
        <f>XLOOKUP(B1030,Raw_Risk_Profiles!$A:$A,Raw_Risk_Profiles!$D:$D,"")</f>
        <v/>
      </c>
      <c r="K1030" s="2">
        <f>IFERROR(INDEX(Raw_Risk_Profiles!$E:$E,MATCH(B1030,Raw_Risk_Profiles!$A:$A,0)),"Unknown")</f>
        <v/>
      </c>
      <c r="L1030" s="2">
        <f>IFERROR(XLOOKUP(A1030,Raw_Alerts!$B:$B,Raw_Alerts!$A:$A),"No Alert")</f>
        <v/>
      </c>
      <c r="M1030" s="2">
        <f>IFERROR(XLOOKUP(A1030,Raw_Alerts!$B:$B,Raw_Alerts!$C:$C),"")</f>
        <v/>
      </c>
      <c r="N1030" s="2">
        <f>IFERROR(XLOOKUP(A1030,Raw_Alerts!$B:$B,Raw_Alerts!$D:$D),"")</f>
        <v/>
      </c>
      <c r="O1030" s="2">
        <f>IFERROR(XLOOKUP(A1030,Raw_Alerts!$B:$B,Raw_Alerts!$F:$F),"")</f>
        <v/>
      </c>
      <c r="P1030" s="2">
        <f>IF(H1030="Not Found","CRITICAL: No Risk Profile",IF(I1030="Missing","WARN: Missing KYC",IF(I1030="Expired","WARN: KYC Expired",IF(I1030="Pending","INFO: KYC Pending","OK"))))</f>
        <v/>
      </c>
    </row>
    <row r="1031">
      <c r="A1031" s="4">
        <f>Raw_Transactions!A1031</f>
        <v/>
      </c>
      <c r="B1031" s="4">
        <f>Raw_Transactions!B1031</f>
        <v/>
      </c>
      <c r="C1031" s="4">
        <f>Raw_Transactions!C1031</f>
        <v/>
      </c>
      <c r="D1031" s="5">
        <f>Raw_Transactions!D1031</f>
        <v/>
      </c>
      <c r="E1031" s="4">
        <f>Raw_Transactions!E1031</f>
        <v/>
      </c>
      <c r="F1031" s="4">
        <f>Raw_Transactions!F1031</f>
        <v/>
      </c>
      <c r="G1031" s="4">
        <f>Raw_Transactions!G1031</f>
        <v/>
      </c>
      <c r="H1031" s="4">
        <f>XLOOKUP(B1031,Raw_Risk_Profiles!$A:$A,Raw_Risk_Profiles!$B:$B,"Not Found")</f>
        <v/>
      </c>
      <c r="I1031" s="4">
        <f>XLOOKUP(B1031,Raw_Risk_Profiles!$A:$A,Raw_Risk_Profiles!$C:$C,"Missing")</f>
        <v/>
      </c>
      <c r="J1031" s="4">
        <f>XLOOKUP(B1031,Raw_Risk_Profiles!$A:$A,Raw_Risk_Profiles!$D:$D,"")</f>
        <v/>
      </c>
      <c r="K1031" s="4">
        <f>IFERROR(INDEX(Raw_Risk_Profiles!$E:$E,MATCH(B1031,Raw_Risk_Profiles!$A:$A,0)),"Unknown")</f>
        <v/>
      </c>
      <c r="L1031" s="4">
        <f>IFERROR(XLOOKUP(A1031,Raw_Alerts!$B:$B,Raw_Alerts!$A:$A),"No Alert")</f>
        <v/>
      </c>
      <c r="M1031" s="4">
        <f>IFERROR(XLOOKUP(A1031,Raw_Alerts!$B:$B,Raw_Alerts!$C:$C),"")</f>
        <v/>
      </c>
      <c r="N1031" s="4">
        <f>IFERROR(XLOOKUP(A1031,Raw_Alerts!$B:$B,Raw_Alerts!$D:$D),"")</f>
        <v/>
      </c>
      <c r="O1031" s="4">
        <f>IFERROR(XLOOKUP(A1031,Raw_Alerts!$B:$B,Raw_Alerts!$F:$F),"")</f>
        <v/>
      </c>
      <c r="P1031" s="4">
        <f>IF(H1031="Not Found","CRITICAL: No Risk Profile",IF(I1031="Missing","WARN: Missing KYC",IF(I1031="Expired","WARN: KYC Expired",IF(I1031="Pending","INFO: KYC Pending","OK"))))</f>
        <v/>
      </c>
    </row>
    <row r="1032">
      <c r="A1032" s="2">
        <f>Raw_Transactions!A1032</f>
        <v/>
      </c>
      <c r="B1032" s="2">
        <f>Raw_Transactions!B1032</f>
        <v/>
      </c>
      <c r="C1032" s="2">
        <f>Raw_Transactions!C1032</f>
        <v/>
      </c>
      <c r="D1032" s="3">
        <f>Raw_Transactions!D1032</f>
        <v/>
      </c>
      <c r="E1032" s="2">
        <f>Raw_Transactions!E1032</f>
        <v/>
      </c>
      <c r="F1032" s="2">
        <f>Raw_Transactions!F1032</f>
        <v/>
      </c>
      <c r="G1032" s="2">
        <f>Raw_Transactions!G1032</f>
        <v/>
      </c>
      <c r="H1032" s="2">
        <f>XLOOKUP(B1032,Raw_Risk_Profiles!$A:$A,Raw_Risk_Profiles!$B:$B,"Not Found")</f>
        <v/>
      </c>
      <c r="I1032" s="2">
        <f>XLOOKUP(B1032,Raw_Risk_Profiles!$A:$A,Raw_Risk_Profiles!$C:$C,"Missing")</f>
        <v/>
      </c>
      <c r="J1032" s="2">
        <f>XLOOKUP(B1032,Raw_Risk_Profiles!$A:$A,Raw_Risk_Profiles!$D:$D,"")</f>
        <v/>
      </c>
      <c r="K1032" s="2">
        <f>IFERROR(INDEX(Raw_Risk_Profiles!$E:$E,MATCH(B1032,Raw_Risk_Profiles!$A:$A,0)),"Unknown")</f>
        <v/>
      </c>
      <c r="L1032" s="2">
        <f>IFERROR(XLOOKUP(A1032,Raw_Alerts!$B:$B,Raw_Alerts!$A:$A),"No Alert")</f>
        <v/>
      </c>
      <c r="M1032" s="2">
        <f>IFERROR(XLOOKUP(A1032,Raw_Alerts!$B:$B,Raw_Alerts!$C:$C),"")</f>
        <v/>
      </c>
      <c r="N1032" s="2">
        <f>IFERROR(XLOOKUP(A1032,Raw_Alerts!$B:$B,Raw_Alerts!$D:$D),"")</f>
        <v/>
      </c>
      <c r="O1032" s="2">
        <f>IFERROR(XLOOKUP(A1032,Raw_Alerts!$B:$B,Raw_Alerts!$F:$F),"")</f>
        <v/>
      </c>
      <c r="P1032" s="2">
        <f>IF(H1032="Not Found","CRITICAL: No Risk Profile",IF(I1032="Missing","WARN: Missing KYC",IF(I1032="Expired","WARN: KYC Expired",IF(I1032="Pending","INFO: KYC Pending","OK"))))</f>
        <v/>
      </c>
    </row>
    <row r="1033">
      <c r="A1033" s="4">
        <f>Raw_Transactions!A1033</f>
        <v/>
      </c>
      <c r="B1033" s="4">
        <f>Raw_Transactions!B1033</f>
        <v/>
      </c>
      <c r="C1033" s="4">
        <f>Raw_Transactions!C1033</f>
        <v/>
      </c>
      <c r="D1033" s="5">
        <f>Raw_Transactions!D1033</f>
        <v/>
      </c>
      <c r="E1033" s="4">
        <f>Raw_Transactions!E1033</f>
        <v/>
      </c>
      <c r="F1033" s="4">
        <f>Raw_Transactions!F1033</f>
        <v/>
      </c>
      <c r="G1033" s="4">
        <f>Raw_Transactions!G1033</f>
        <v/>
      </c>
      <c r="H1033" s="4">
        <f>XLOOKUP(B1033,Raw_Risk_Profiles!$A:$A,Raw_Risk_Profiles!$B:$B,"Not Found")</f>
        <v/>
      </c>
      <c r="I1033" s="4">
        <f>XLOOKUP(B1033,Raw_Risk_Profiles!$A:$A,Raw_Risk_Profiles!$C:$C,"Missing")</f>
        <v/>
      </c>
      <c r="J1033" s="4">
        <f>XLOOKUP(B1033,Raw_Risk_Profiles!$A:$A,Raw_Risk_Profiles!$D:$D,"")</f>
        <v/>
      </c>
      <c r="K1033" s="4">
        <f>IFERROR(INDEX(Raw_Risk_Profiles!$E:$E,MATCH(B1033,Raw_Risk_Profiles!$A:$A,0)),"Unknown")</f>
        <v/>
      </c>
      <c r="L1033" s="4">
        <f>IFERROR(XLOOKUP(A1033,Raw_Alerts!$B:$B,Raw_Alerts!$A:$A),"No Alert")</f>
        <v/>
      </c>
      <c r="M1033" s="4">
        <f>IFERROR(XLOOKUP(A1033,Raw_Alerts!$B:$B,Raw_Alerts!$C:$C),"")</f>
        <v/>
      </c>
      <c r="N1033" s="4">
        <f>IFERROR(XLOOKUP(A1033,Raw_Alerts!$B:$B,Raw_Alerts!$D:$D),"")</f>
        <v/>
      </c>
      <c r="O1033" s="4">
        <f>IFERROR(XLOOKUP(A1033,Raw_Alerts!$B:$B,Raw_Alerts!$F:$F),"")</f>
        <v/>
      </c>
      <c r="P1033" s="4">
        <f>IF(H1033="Not Found","CRITICAL: No Risk Profile",IF(I1033="Missing","WARN: Missing KYC",IF(I1033="Expired","WARN: KYC Expired",IF(I1033="Pending","INFO: KYC Pending","OK"))))</f>
        <v/>
      </c>
    </row>
    <row r="1034">
      <c r="A1034" s="2">
        <f>Raw_Transactions!A1034</f>
        <v/>
      </c>
      <c r="B1034" s="2">
        <f>Raw_Transactions!B1034</f>
        <v/>
      </c>
      <c r="C1034" s="2">
        <f>Raw_Transactions!C1034</f>
        <v/>
      </c>
      <c r="D1034" s="3">
        <f>Raw_Transactions!D1034</f>
        <v/>
      </c>
      <c r="E1034" s="2">
        <f>Raw_Transactions!E1034</f>
        <v/>
      </c>
      <c r="F1034" s="2">
        <f>Raw_Transactions!F1034</f>
        <v/>
      </c>
      <c r="G1034" s="2">
        <f>Raw_Transactions!G1034</f>
        <v/>
      </c>
      <c r="H1034" s="2">
        <f>XLOOKUP(B1034,Raw_Risk_Profiles!$A:$A,Raw_Risk_Profiles!$B:$B,"Not Found")</f>
        <v/>
      </c>
      <c r="I1034" s="2">
        <f>XLOOKUP(B1034,Raw_Risk_Profiles!$A:$A,Raw_Risk_Profiles!$C:$C,"Missing")</f>
        <v/>
      </c>
      <c r="J1034" s="2">
        <f>XLOOKUP(B1034,Raw_Risk_Profiles!$A:$A,Raw_Risk_Profiles!$D:$D,"")</f>
        <v/>
      </c>
      <c r="K1034" s="2">
        <f>IFERROR(INDEX(Raw_Risk_Profiles!$E:$E,MATCH(B1034,Raw_Risk_Profiles!$A:$A,0)),"Unknown")</f>
        <v/>
      </c>
      <c r="L1034" s="2">
        <f>IFERROR(XLOOKUP(A1034,Raw_Alerts!$B:$B,Raw_Alerts!$A:$A),"No Alert")</f>
        <v/>
      </c>
      <c r="M1034" s="2">
        <f>IFERROR(XLOOKUP(A1034,Raw_Alerts!$B:$B,Raw_Alerts!$C:$C),"")</f>
        <v/>
      </c>
      <c r="N1034" s="2">
        <f>IFERROR(XLOOKUP(A1034,Raw_Alerts!$B:$B,Raw_Alerts!$D:$D),"")</f>
        <v/>
      </c>
      <c r="O1034" s="2">
        <f>IFERROR(XLOOKUP(A1034,Raw_Alerts!$B:$B,Raw_Alerts!$F:$F),"")</f>
        <v/>
      </c>
      <c r="P1034" s="2">
        <f>IF(H1034="Not Found","CRITICAL: No Risk Profile",IF(I1034="Missing","WARN: Missing KYC",IF(I1034="Expired","WARN: KYC Expired",IF(I1034="Pending","INFO: KYC Pending","OK"))))</f>
        <v/>
      </c>
    </row>
    <row r="1035">
      <c r="A1035" s="4">
        <f>Raw_Transactions!A1035</f>
        <v/>
      </c>
      <c r="B1035" s="4">
        <f>Raw_Transactions!B1035</f>
        <v/>
      </c>
      <c r="C1035" s="4">
        <f>Raw_Transactions!C1035</f>
        <v/>
      </c>
      <c r="D1035" s="5">
        <f>Raw_Transactions!D1035</f>
        <v/>
      </c>
      <c r="E1035" s="4">
        <f>Raw_Transactions!E1035</f>
        <v/>
      </c>
      <c r="F1035" s="4">
        <f>Raw_Transactions!F1035</f>
        <v/>
      </c>
      <c r="G1035" s="4">
        <f>Raw_Transactions!G1035</f>
        <v/>
      </c>
      <c r="H1035" s="4">
        <f>XLOOKUP(B1035,Raw_Risk_Profiles!$A:$A,Raw_Risk_Profiles!$B:$B,"Not Found")</f>
        <v/>
      </c>
      <c r="I1035" s="4">
        <f>XLOOKUP(B1035,Raw_Risk_Profiles!$A:$A,Raw_Risk_Profiles!$C:$C,"Missing")</f>
        <v/>
      </c>
      <c r="J1035" s="4">
        <f>XLOOKUP(B1035,Raw_Risk_Profiles!$A:$A,Raw_Risk_Profiles!$D:$D,"")</f>
        <v/>
      </c>
      <c r="K1035" s="4">
        <f>IFERROR(INDEX(Raw_Risk_Profiles!$E:$E,MATCH(B1035,Raw_Risk_Profiles!$A:$A,0)),"Unknown")</f>
        <v/>
      </c>
      <c r="L1035" s="4">
        <f>IFERROR(XLOOKUP(A1035,Raw_Alerts!$B:$B,Raw_Alerts!$A:$A),"No Alert")</f>
        <v/>
      </c>
      <c r="M1035" s="4">
        <f>IFERROR(XLOOKUP(A1035,Raw_Alerts!$B:$B,Raw_Alerts!$C:$C),"")</f>
        <v/>
      </c>
      <c r="N1035" s="4">
        <f>IFERROR(XLOOKUP(A1035,Raw_Alerts!$B:$B,Raw_Alerts!$D:$D),"")</f>
        <v/>
      </c>
      <c r="O1035" s="4">
        <f>IFERROR(XLOOKUP(A1035,Raw_Alerts!$B:$B,Raw_Alerts!$F:$F),"")</f>
        <v/>
      </c>
      <c r="P1035" s="4">
        <f>IF(H1035="Not Found","CRITICAL: No Risk Profile",IF(I1035="Missing","WARN: Missing KYC",IF(I1035="Expired","WARN: KYC Expired",IF(I1035="Pending","INFO: KYC Pending","OK"))))</f>
        <v/>
      </c>
    </row>
    <row r="1036">
      <c r="A1036" s="2">
        <f>Raw_Transactions!A1036</f>
        <v/>
      </c>
      <c r="B1036" s="2">
        <f>Raw_Transactions!B1036</f>
        <v/>
      </c>
      <c r="C1036" s="2">
        <f>Raw_Transactions!C1036</f>
        <v/>
      </c>
      <c r="D1036" s="3">
        <f>Raw_Transactions!D1036</f>
        <v/>
      </c>
      <c r="E1036" s="2">
        <f>Raw_Transactions!E1036</f>
        <v/>
      </c>
      <c r="F1036" s="2">
        <f>Raw_Transactions!F1036</f>
        <v/>
      </c>
      <c r="G1036" s="2">
        <f>Raw_Transactions!G1036</f>
        <v/>
      </c>
      <c r="H1036" s="2">
        <f>XLOOKUP(B1036,Raw_Risk_Profiles!$A:$A,Raw_Risk_Profiles!$B:$B,"Not Found")</f>
        <v/>
      </c>
      <c r="I1036" s="2">
        <f>XLOOKUP(B1036,Raw_Risk_Profiles!$A:$A,Raw_Risk_Profiles!$C:$C,"Missing")</f>
        <v/>
      </c>
      <c r="J1036" s="2">
        <f>XLOOKUP(B1036,Raw_Risk_Profiles!$A:$A,Raw_Risk_Profiles!$D:$D,"")</f>
        <v/>
      </c>
      <c r="K1036" s="2">
        <f>IFERROR(INDEX(Raw_Risk_Profiles!$E:$E,MATCH(B1036,Raw_Risk_Profiles!$A:$A,0)),"Unknown")</f>
        <v/>
      </c>
      <c r="L1036" s="2">
        <f>IFERROR(XLOOKUP(A1036,Raw_Alerts!$B:$B,Raw_Alerts!$A:$A),"No Alert")</f>
        <v/>
      </c>
      <c r="M1036" s="2">
        <f>IFERROR(XLOOKUP(A1036,Raw_Alerts!$B:$B,Raw_Alerts!$C:$C),"")</f>
        <v/>
      </c>
      <c r="N1036" s="2">
        <f>IFERROR(XLOOKUP(A1036,Raw_Alerts!$B:$B,Raw_Alerts!$D:$D),"")</f>
        <v/>
      </c>
      <c r="O1036" s="2">
        <f>IFERROR(XLOOKUP(A1036,Raw_Alerts!$B:$B,Raw_Alerts!$F:$F),"")</f>
        <v/>
      </c>
      <c r="P1036" s="2">
        <f>IF(H1036="Not Found","CRITICAL: No Risk Profile",IF(I1036="Missing","WARN: Missing KYC",IF(I1036="Expired","WARN: KYC Expired",IF(I1036="Pending","INFO: KYC Pending","OK"))))</f>
        <v/>
      </c>
    </row>
    <row r="1037">
      <c r="A1037" s="4">
        <f>Raw_Transactions!A1037</f>
        <v/>
      </c>
      <c r="B1037" s="4">
        <f>Raw_Transactions!B1037</f>
        <v/>
      </c>
      <c r="C1037" s="4">
        <f>Raw_Transactions!C1037</f>
        <v/>
      </c>
      <c r="D1037" s="5">
        <f>Raw_Transactions!D1037</f>
        <v/>
      </c>
      <c r="E1037" s="4">
        <f>Raw_Transactions!E1037</f>
        <v/>
      </c>
      <c r="F1037" s="4">
        <f>Raw_Transactions!F1037</f>
        <v/>
      </c>
      <c r="G1037" s="4">
        <f>Raw_Transactions!G1037</f>
        <v/>
      </c>
      <c r="H1037" s="4">
        <f>XLOOKUP(B1037,Raw_Risk_Profiles!$A:$A,Raw_Risk_Profiles!$B:$B,"Not Found")</f>
        <v/>
      </c>
      <c r="I1037" s="4">
        <f>XLOOKUP(B1037,Raw_Risk_Profiles!$A:$A,Raw_Risk_Profiles!$C:$C,"Missing")</f>
        <v/>
      </c>
      <c r="J1037" s="4">
        <f>XLOOKUP(B1037,Raw_Risk_Profiles!$A:$A,Raw_Risk_Profiles!$D:$D,"")</f>
        <v/>
      </c>
      <c r="K1037" s="4">
        <f>IFERROR(INDEX(Raw_Risk_Profiles!$E:$E,MATCH(B1037,Raw_Risk_Profiles!$A:$A,0)),"Unknown")</f>
        <v/>
      </c>
      <c r="L1037" s="4">
        <f>IFERROR(XLOOKUP(A1037,Raw_Alerts!$B:$B,Raw_Alerts!$A:$A),"No Alert")</f>
        <v/>
      </c>
      <c r="M1037" s="4">
        <f>IFERROR(XLOOKUP(A1037,Raw_Alerts!$B:$B,Raw_Alerts!$C:$C),"")</f>
        <v/>
      </c>
      <c r="N1037" s="4">
        <f>IFERROR(XLOOKUP(A1037,Raw_Alerts!$B:$B,Raw_Alerts!$D:$D),"")</f>
        <v/>
      </c>
      <c r="O1037" s="4">
        <f>IFERROR(XLOOKUP(A1037,Raw_Alerts!$B:$B,Raw_Alerts!$F:$F),"")</f>
        <v/>
      </c>
      <c r="P1037" s="4">
        <f>IF(H1037="Not Found","CRITICAL: No Risk Profile",IF(I1037="Missing","WARN: Missing KYC",IF(I1037="Expired","WARN: KYC Expired",IF(I1037="Pending","INFO: KYC Pending","OK"))))</f>
        <v/>
      </c>
    </row>
    <row r="1038">
      <c r="A1038" s="2">
        <f>Raw_Transactions!A1038</f>
        <v/>
      </c>
      <c r="B1038" s="2">
        <f>Raw_Transactions!B1038</f>
        <v/>
      </c>
      <c r="C1038" s="2">
        <f>Raw_Transactions!C1038</f>
        <v/>
      </c>
      <c r="D1038" s="3">
        <f>Raw_Transactions!D1038</f>
        <v/>
      </c>
      <c r="E1038" s="2">
        <f>Raw_Transactions!E1038</f>
        <v/>
      </c>
      <c r="F1038" s="2">
        <f>Raw_Transactions!F1038</f>
        <v/>
      </c>
      <c r="G1038" s="2">
        <f>Raw_Transactions!G1038</f>
        <v/>
      </c>
      <c r="H1038" s="2">
        <f>XLOOKUP(B1038,Raw_Risk_Profiles!$A:$A,Raw_Risk_Profiles!$B:$B,"Not Found")</f>
        <v/>
      </c>
      <c r="I1038" s="2">
        <f>XLOOKUP(B1038,Raw_Risk_Profiles!$A:$A,Raw_Risk_Profiles!$C:$C,"Missing")</f>
        <v/>
      </c>
      <c r="J1038" s="2">
        <f>XLOOKUP(B1038,Raw_Risk_Profiles!$A:$A,Raw_Risk_Profiles!$D:$D,"")</f>
        <v/>
      </c>
      <c r="K1038" s="2">
        <f>IFERROR(INDEX(Raw_Risk_Profiles!$E:$E,MATCH(B1038,Raw_Risk_Profiles!$A:$A,0)),"Unknown")</f>
        <v/>
      </c>
      <c r="L1038" s="2">
        <f>IFERROR(XLOOKUP(A1038,Raw_Alerts!$B:$B,Raw_Alerts!$A:$A),"No Alert")</f>
        <v/>
      </c>
      <c r="M1038" s="2">
        <f>IFERROR(XLOOKUP(A1038,Raw_Alerts!$B:$B,Raw_Alerts!$C:$C),"")</f>
        <v/>
      </c>
      <c r="N1038" s="2">
        <f>IFERROR(XLOOKUP(A1038,Raw_Alerts!$B:$B,Raw_Alerts!$D:$D),"")</f>
        <v/>
      </c>
      <c r="O1038" s="2">
        <f>IFERROR(XLOOKUP(A1038,Raw_Alerts!$B:$B,Raw_Alerts!$F:$F),"")</f>
        <v/>
      </c>
      <c r="P1038" s="2">
        <f>IF(H1038="Not Found","CRITICAL: No Risk Profile",IF(I1038="Missing","WARN: Missing KYC",IF(I1038="Expired","WARN: KYC Expired",IF(I1038="Pending","INFO: KYC Pending","OK"))))</f>
        <v/>
      </c>
    </row>
    <row r="1039">
      <c r="A1039" s="4">
        <f>Raw_Transactions!A1039</f>
        <v/>
      </c>
      <c r="B1039" s="4">
        <f>Raw_Transactions!B1039</f>
        <v/>
      </c>
      <c r="C1039" s="4">
        <f>Raw_Transactions!C1039</f>
        <v/>
      </c>
      <c r="D1039" s="5">
        <f>Raw_Transactions!D1039</f>
        <v/>
      </c>
      <c r="E1039" s="4">
        <f>Raw_Transactions!E1039</f>
        <v/>
      </c>
      <c r="F1039" s="4">
        <f>Raw_Transactions!F1039</f>
        <v/>
      </c>
      <c r="G1039" s="4">
        <f>Raw_Transactions!G1039</f>
        <v/>
      </c>
      <c r="H1039" s="4">
        <f>XLOOKUP(B1039,Raw_Risk_Profiles!$A:$A,Raw_Risk_Profiles!$B:$B,"Not Found")</f>
        <v/>
      </c>
      <c r="I1039" s="4">
        <f>XLOOKUP(B1039,Raw_Risk_Profiles!$A:$A,Raw_Risk_Profiles!$C:$C,"Missing")</f>
        <v/>
      </c>
      <c r="J1039" s="4">
        <f>XLOOKUP(B1039,Raw_Risk_Profiles!$A:$A,Raw_Risk_Profiles!$D:$D,"")</f>
        <v/>
      </c>
      <c r="K1039" s="4">
        <f>IFERROR(INDEX(Raw_Risk_Profiles!$E:$E,MATCH(B1039,Raw_Risk_Profiles!$A:$A,0)),"Unknown")</f>
        <v/>
      </c>
      <c r="L1039" s="4">
        <f>IFERROR(XLOOKUP(A1039,Raw_Alerts!$B:$B,Raw_Alerts!$A:$A),"No Alert")</f>
        <v/>
      </c>
      <c r="M1039" s="4">
        <f>IFERROR(XLOOKUP(A1039,Raw_Alerts!$B:$B,Raw_Alerts!$C:$C),"")</f>
        <v/>
      </c>
      <c r="N1039" s="4">
        <f>IFERROR(XLOOKUP(A1039,Raw_Alerts!$B:$B,Raw_Alerts!$D:$D),"")</f>
        <v/>
      </c>
      <c r="O1039" s="4">
        <f>IFERROR(XLOOKUP(A1039,Raw_Alerts!$B:$B,Raw_Alerts!$F:$F),"")</f>
        <v/>
      </c>
      <c r="P1039" s="4">
        <f>IF(H1039="Not Found","CRITICAL: No Risk Profile",IF(I1039="Missing","WARN: Missing KYC",IF(I1039="Expired","WARN: KYC Expired",IF(I1039="Pending","INFO: KYC Pending","OK"))))</f>
        <v/>
      </c>
    </row>
    <row r="1040">
      <c r="A1040" s="2">
        <f>Raw_Transactions!A1040</f>
        <v/>
      </c>
      <c r="B1040" s="2">
        <f>Raw_Transactions!B1040</f>
        <v/>
      </c>
      <c r="C1040" s="2">
        <f>Raw_Transactions!C1040</f>
        <v/>
      </c>
      <c r="D1040" s="3">
        <f>Raw_Transactions!D1040</f>
        <v/>
      </c>
      <c r="E1040" s="2">
        <f>Raw_Transactions!E1040</f>
        <v/>
      </c>
      <c r="F1040" s="2">
        <f>Raw_Transactions!F1040</f>
        <v/>
      </c>
      <c r="G1040" s="2">
        <f>Raw_Transactions!G1040</f>
        <v/>
      </c>
      <c r="H1040" s="2">
        <f>XLOOKUP(B1040,Raw_Risk_Profiles!$A:$A,Raw_Risk_Profiles!$B:$B,"Not Found")</f>
        <v/>
      </c>
      <c r="I1040" s="2">
        <f>XLOOKUP(B1040,Raw_Risk_Profiles!$A:$A,Raw_Risk_Profiles!$C:$C,"Missing")</f>
        <v/>
      </c>
      <c r="J1040" s="2">
        <f>XLOOKUP(B1040,Raw_Risk_Profiles!$A:$A,Raw_Risk_Profiles!$D:$D,"")</f>
        <v/>
      </c>
      <c r="K1040" s="2">
        <f>IFERROR(INDEX(Raw_Risk_Profiles!$E:$E,MATCH(B1040,Raw_Risk_Profiles!$A:$A,0)),"Unknown")</f>
        <v/>
      </c>
      <c r="L1040" s="2">
        <f>IFERROR(XLOOKUP(A1040,Raw_Alerts!$B:$B,Raw_Alerts!$A:$A),"No Alert")</f>
        <v/>
      </c>
      <c r="M1040" s="2">
        <f>IFERROR(XLOOKUP(A1040,Raw_Alerts!$B:$B,Raw_Alerts!$C:$C),"")</f>
        <v/>
      </c>
      <c r="N1040" s="2">
        <f>IFERROR(XLOOKUP(A1040,Raw_Alerts!$B:$B,Raw_Alerts!$D:$D),"")</f>
        <v/>
      </c>
      <c r="O1040" s="2">
        <f>IFERROR(XLOOKUP(A1040,Raw_Alerts!$B:$B,Raw_Alerts!$F:$F),"")</f>
        <v/>
      </c>
      <c r="P1040" s="2">
        <f>IF(H1040="Not Found","CRITICAL: No Risk Profile",IF(I1040="Missing","WARN: Missing KYC",IF(I1040="Expired","WARN: KYC Expired",IF(I1040="Pending","INFO: KYC Pending","OK"))))</f>
        <v/>
      </c>
    </row>
    <row r="1041">
      <c r="A1041" s="4">
        <f>Raw_Transactions!A1041</f>
        <v/>
      </c>
      <c r="B1041" s="4">
        <f>Raw_Transactions!B1041</f>
        <v/>
      </c>
      <c r="C1041" s="4">
        <f>Raw_Transactions!C1041</f>
        <v/>
      </c>
      <c r="D1041" s="5">
        <f>Raw_Transactions!D1041</f>
        <v/>
      </c>
      <c r="E1041" s="4">
        <f>Raw_Transactions!E1041</f>
        <v/>
      </c>
      <c r="F1041" s="4">
        <f>Raw_Transactions!F1041</f>
        <v/>
      </c>
      <c r="G1041" s="4">
        <f>Raw_Transactions!G1041</f>
        <v/>
      </c>
      <c r="H1041" s="4">
        <f>XLOOKUP(B1041,Raw_Risk_Profiles!$A:$A,Raw_Risk_Profiles!$B:$B,"Not Found")</f>
        <v/>
      </c>
      <c r="I1041" s="4">
        <f>XLOOKUP(B1041,Raw_Risk_Profiles!$A:$A,Raw_Risk_Profiles!$C:$C,"Missing")</f>
        <v/>
      </c>
      <c r="J1041" s="4">
        <f>XLOOKUP(B1041,Raw_Risk_Profiles!$A:$A,Raw_Risk_Profiles!$D:$D,"")</f>
        <v/>
      </c>
      <c r="K1041" s="4">
        <f>IFERROR(INDEX(Raw_Risk_Profiles!$E:$E,MATCH(B1041,Raw_Risk_Profiles!$A:$A,0)),"Unknown")</f>
        <v/>
      </c>
      <c r="L1041" s="4">
        <f>IFERROR(XLOOKUP(A1041,Raw_Alerts!$B:$B,Raw_Alerts!$A:$A),"No Alert")</f>
        <v/>
      </c>
      <c r="M1041" s="4">
        <f>IFERROR(XLOOKUP(A1041,Raw_Alerts!$B:$B,Raw_Alerts!$C:$C),"")</f>
        <v/>
      </c>
      <c r="N1041" s="4">
        <f>IFERROR(XLOOKUP(A1041,Raw_Alerts!$B:$B,Raw_Alerts!$D:$D),"")</f>
        <v/>
      </c>
      <c r="O1041" s="4">
        <f>IFERROR(XLOOKUP(A1041,Raw_Alerts!$B:$B,Raw_Alerts!$F:$F),"")</f>
        <v/>
      </c>
      <c r="P1041" s="4">
        <f>IF(H1041="Not Found","CRITICAL: No Risk Profile",IF(I1041="Missing","WARN: Missing KYC",IF(I1041="Expired","WARN: KYC Expired",IF(I1041="Pending","INFO: KYC Pending","OK"))))</f>
        <v/>
      </c>
    </row>
    <row r="1042">
      <c r="A1042" s="2">
        <f>Raw_Transactions!A1042</f>
        <v/>
      </c>
      <c r="B1042" s="2">
        <f>Raw_Transactions!B1042</f>
        <v/>
      </c>
      <c r="C1042" s="2">
        <f>Raw_Transactions!C1042</f>
        <v/>
      </c>
      <c r="D1042" s="3">
        <f>Raw_Transactions!D1042</f>
        <v/>
      </c>
      <c r="E1042" s="2">
        <f>Raw_Transactions!E1042</f>
        <v/>
      </c>
      <c r="F1042" s="2">
        <f>Raw_Transactions!F1042</f>
        <v/>
      </c>
      <c r="G1042" s="2">
        <f>Raw_Transactions!G1042</f>
        <v/>
      </c>
      <c r="H1042" s="2">
        <f>XLOOKUP(B1042,Raw_Risk_Profiles!$A:$A,Raw_Risk_Profiles!$B:$B,"Not Found")</f>
        <v/>
      </c>
      <c r="I1042" s="2">
        <f>XLOOKUP(B1042,Raw_Risk_Profiles!$A:$A,Raw_Risk_Profiles!$C:$C,"Missing")</f>
        <v/>
      </c>
      <c r="J1042" s="2">
        <f>XLOOKUP(B1042,Raw_Risk_Profiles!$A:$A,Raw_Risk_Profiles!$D:$D,"")</f>
        <v/>
      </c>
      <c r="K1042" s="2">
        <f>IFERROR(INDEX(Raw_Risk_Profiles!$E:$E,MATCH(B1042,Raw_Risk_Profiles!$A:$A,0)),"Unknown")</f>
        <v/>
      </c>
      <c r="L1042" s="2">
        <f>IFERROR(XLOOKUP(A1042,Raw_Alerts!$B:$B,Raw_Alerts!$A:$A),"No Alert")</f>
        <v/>
      </c>
      <c r="M1042" s="2">
        <f>IFERROR(XLOOKUP(A1042,Raw_Alerts!$B:$B,Raw_Alerts!$C:$C),"")</f>
        <v/>
      </c>
      <c r="N1042" s="2">
        <f>IFERROR(XLOOKUP(A1042,Raw_Alerts!$B:$B,Raw_Alerts!$D:$D),"")</f>
        <v/>
      </c>
      <c r="O1042" s="2">
        <f>IFERROR(XLOOKUP(A1042,Raw_Alerts!$B:$B,Raw_Alerts!$F:$F),"")</f>
        <v/>
      </c>
      <c r="P1042" s="2">
        <f>IF(H1042="Not Found","CRITICAL: No Risk Profile",IF(I1042="Missing","WARN: Missing KYC",IF(I1042="Expired","WARN: KYC Expired",IF(I1042="Pending","INFO: KYC Pending","OK"))))</f>
        <v/>
      </c>
    </row>
    <row r="1043">
      <c r="A1043" s="4">
        <f>Raw_Transactions!A1043</f>
        <v/>
      </c>
      <c r="B1043" s="4">
        <f>Raw_Transactions!B1043</f>
        <v/>
      </c>
      <c r="C1043" s="4">
        <f>Raw_Transactions!C1043</f>
        <v/>
      </c>
      <c r="D1043" s="5">
        <f>Raw_Transactions!D1043</f>
        <v/>
      </c>
      <c r="E1043" s="4">
        <f>Raw_Transactions!E1043</f>
        <v/>
      </c>
      <c r="F1043" s="4">
        <f>Raw_Transactions!F1043</f>
        <v/>
      </c>
      <c r="G1043" s="4">
        <f>Raw_Transactions!G1043</f>
        <v/>
      </c>
      <c r="H1043" s="4">
        <f>XLOOKUP(B1043,Raw_Risk_Profiles!$A:$A,Raw_Risk_Profiles!$B:$B,"Not Found")</f>
        <v/>
      </c>
      <c r="I1043" s="4">
        <f>XLOOKUP(B1043,Raw_Risk_Profiles!$A:$A,Raw_Risk_Profiles!$C:$C,"Missing")</f>
        <v/>
      </c>
      <c r="J1043" s="4">
        <f>XLOOKUP(B1043,Raw_Risk_Profiles!$A:$A,Raw_Risk_Profiles!$D:$D,"")</f>
        <v/>
      </c>
      <c r="K1043" s="4">
        <f>IFERROR(INDEX(Raw_Risk_Profiles!$E:$E,MATCH(B1043,Raw_Risk_Profiles!$A:$A,0)),"Unknown")</f>
        <v/>
      </c>
      <c r="L1043" s="4">
        <f>IFERROR(XLOOKUP(A1043,Raw_Alerts!$B:$B,Raw_Alerts!$A:$A),"No Alert")</f>
        <v/>
      </c>
      <c r="M1043" s="4">
        <f>IFERROR(XLOOKUP(A1043,Raw_Alerts!$B:$B,Raw_Alerts!$C:$C),"")</f>
        <v/>
      </c>
      <c r="N1043" s="4">
        <f>IFERROR(XLOOKUP(A1043,Raw_Alerts!$B:$B,Raw_Alerts!$D:$D),"")</f>
        <v/>
      </c>
      <c r="O1043" s="4">
        <f>IFERROR(XLOOKUP(A1043,Raw_Alerts!$B:$B,Raw_Alerts!$F:$F),"")</f>
        <v/>
      </c>
      <c r="P1043" s="4">
        <f>IF(H1043="Not Found","CRITICAL: No Risk Profile",IF(I1043="Missing","WARN: Missing KYC",IF(I1043="Expired","WARN: KYC Expired",IF(I1043="Pending","INFO: KYC Pending","OK"))))</f>
        <v/>
      </c>
    </row>
    <row r="1044">
      <c r="A1044" s="2">
        <f>Raw_Transactions!A1044</f>
        <v/>
      </c>
      <c r="B1044" s="2">
        <f>Raw_Transactions!B1044</f>
        <v/>
      </c>
      <c r="C1044" s="2">
        <f>Raw_Transactions!C1044</f>
        <v/>
      </c>
      <c r="D1044" s="3">
        <f>Raw_Transactions!D1044</f>
        <v/>
      </c>
      <c r="E1044" s="2">
        <f>Raw_Transactions!E1044</f>
        <v/>
      </c>
      <c r="F1044" s="2">
        <f>Raw_Transactions!F1044</f>
        <v/>
      </c>
      <c r="G1044" s="2">
        <f>Raw_Transactions!G1044</f>
        <v/>
      </c>
      <c r="H1044" s="2">
        <f>XLOOKUP(B1044,Raw_Risk_Profiles!$A:$A,Raw_Risk_Profiles!$B:$B,"Not Found")</f>
        <v/>
      </c>
      <c r="I1044" s="2">
        <f>XLOOKUP(B1044,Raw_Risk_Profiles!$A:$A,Raw_Risk_Profiles!$C:$C,"Missing")</f>
        <v/>
      </c>
      <c r="J1044" s="2">
        <f>XLOOKUP(B1044,Raw_Risk_Profiles!$A:$A,Raw_Risk_Profiles!$D:$D,"")</f>
        <v/>
      </c>
      <c r="K1044" s="2">
        <f>IFERROR(INDEX(Raw_Risk_Profiles!$E:$E,MATCH(B1044,Raw_Risk_Profiles!$A:$A,0)),"Unknown")</f>
        <v/>
      </c>
      <c r="L1044" s="2">
        <f>IFERROR(XLOOKUP(A1044,Raw_Alerts!$B:$B,Raw_Alerts!$A:$A),"No Alert")</f>
        <v/>
      </c>
      <c r="M1044" s="2">
        <f>IFERROR(XLOOKUP(A1044,Raw_Alerts!$B:$B,Raw_Alerts!$C:$C),"")</f>
        <v/>
      </c>
      <c r="N1044" s="2">
        <f>IFERROR(XLOOKUP(A1044,Raw_Alerts!$B:$B,Raw_Alerts!$D:$D),"")</f>
        <v/>
      </c>
      <c r="O1044" s="2">
        <f>IFERROR(XLOOKUP(A1044,Raw_Alerts!$B:$B,Raw_Alerts!$F:$F),"")</f>
        <v/>
      </c>
      <c r="P1044" s="2">
        <f>IF(H1044="Not Found","CRITICAL: No Risk Profile",IF(I1044="Missing","WARN: Missing KYC",IF(I1044="Expired","WARN: KYC Expired",IF(I1044="Pending","INFO: KYC Pending","OK"))))</f>
        <v/>
      </c>
    </row>
    <row r="1045">
      <c r="A1045" s="4">
        <f>Raw_Transactions!A1045</f>
        <v/>
      </c>
      <c r="B1045" s="4">
        <f>Raw_Transactions!B1045</f>
        <v/>
      </c>
      <c r="C1045" s="4">
        <f>Raw_Transactions!C1045</f>
        <v/>
      </c>
      <c r="D1045" s="5">
        <f>Raw_Transactions!D1045</f>
        <v/>
      </c>
      <c r="E1045" s="4">
        <f>Raw_Transactions!E1045</f>
        <v/>
      </c>
      <c r="F1045" s="4">
        <f>Raw_Transactions!F1045</f>
        <v/>
      </c>
      <c r="G1045" s="4">
        <f>Raw_Transactions!G1045</f>
        <v/>
      </c>
      <c r="H1045" s="4">
        <f>XLOOKUP(B1045,Raw_Risk_Profiles!$A:$A,Raw_Risk_Profiles!$B:$B,"Not Found")</f>
        <v/>
      </c>
      <c r="I1045" s="4">
        <f>XLOOKUP(B1045,Raw_Risk_Profiles!$A:$A,Raw_Risk_Profiles!$C:$C,"Missing")</f>
        <v/>
      </c>
      <c r="J1045" s="4">
        <f>XLOOKUP(B1045,Raw_Risk_Profiles!$A:$A,Raw_Risk_Profiles!$D:$D,"")</f>
        <v/>
      </c>
      <c r="K1045" s="4">
        <f>IFERROR(INDEX(Raw_Risk_Profiles!$E:$E,MATCH(B1045,Raw_Risk_Profiles!$A:$A,0)),"Unknown")</f>
        <v/>
      </c>
      <c r="L1045" s="4">
        <f>IFERROR(XLOOKUP(A1045,Raw_Alerts!$B:$B,Raw_Alerts!$A:$A),"No Alert")</f>
        <v/>
      </c>
      <c r="M1045" s="4">
        <f>IFERROR(XLOOKUP(A1045,Raw_Alerts!$B:$B,Raw_Alerts!$C:$C),"")</f>
        <v/>
      </c>
      <c r="N1045" s="4">
        <f>IFERROR(XLOOKUP(A1045,Raw_Alerts!$B:$B,Raw_Alerts!$D:$D),"")</f>
        <v/>
      </c>
      <c r="O1045" s="4">
        <f>IFERROR(XLOOKUP(A1045,Raw_Alerts!$B:$B,Raw_Alerts!$F:$F),"")</f>
        <v/>
      </c>
      <c r="P1045" s="4">
        <f>IF(H1045="Not Found","CRITICAL: No Risk Profile",IF(I1045="Missing","WARN: Missing KYC",IF(I1045="Expired","WARN: KYC Expired",IF(I1045="Pending","INFO: KYC Pending","OK"))))</f>
        <v/>
      </c>
    </row>
    <row r="1046">
      <c r="A1046" s="2">
        <f>Raw_Transactions!A1046</f>
        <v/>
      </c>
      <c r="B1046" s="2">
        <f>Raw_Transactions!B1046</f>
        <v/>
      </c>
      <c r="C1046" s="2">
        <f>Raw_Transactions!C1046</f>
        <v/>
      </c>
      <c r="D1046" s="3">
        <f>Raw_Transactions!D1046</f>
        <v/>
      </c>
      <c r="E1046" s="2">
        <f>Raw_Transactions!E1046</f>
        <v/>
      </c>
      <c r="F1046" s="2">
        <f>Raw_Transactions!F1046</f>
        <v/>
      </c>
      <c r="G1046" s="2">
        <f>Raw_Transactions!G1046</f>
        <v/>
      </c>
      <c r="H1046" s="2">
        <f>XLOOKUP(B1046,Raw_Risk_Profiles!$A:$A,Raw_Risk_Profiles!$B:$B,"Not Found")</f>
        <v/>
      </c>
      <c r="I1046" s="2">
        <f>XLOOKUP(B1046,Raw_Risk_Profiles!$A:$A,Raw_Risk_Profiles!$C:$C,"Missing")</f>
        <v/>
      </c>
      <c r="J1046" s="2">
        <f>XLOOKUP(B1046,Raw_Risk_Profiles!$A:$A,Raw_Risk_Profiles!$D:$D,"")</f>
        <v/>
      </c>
      <c r="K1046" s="2">
        <f>IFERROR(INDEX(Raw_Risk_Profiles!$E:$E,MATCH(B1046,Raw_Risk_Profiles!$A:$A,0)),"Unknown")</f>
        <v/>
      </c>
      <c r="L1046" s="2">
        <f>IFERROR(XLOOKUP(A1046,Raw_Alerts!$B:$B,Raw_Alerts!$A:$A),"No Alert")</f>
        <v/>
      </c>
      <c r="M1046" s="2">
        <f>IFERROR(XLOOKUP(A1046,Raw_Alerts!$B:$B,Raw_Alerts!$C:$C),"")</f>
        <v/>
      </c>
      <c r="N1046" s="2">
        <f>IFERROR(XLOOKUP(A1046,Raw_Alerts!$B:$B,Raw_Alerts!$D:$D),"")</f>
        <v/>
      </c>
      <c r="O1046" s="2">
        <f>IFERROR(XLOOKUP(A1046,Raw_Alerts!$B:$B,Raw_Alerts!$F:$F),"")</f>
        <v/>
      </c>
      <c r="P1046" s="2">
        <f>IF(H1046="Not Found","CRITICAL: No Risk Profile",IF(I1046="Missing","WARN: Missing KYC",IF(I1046="Expired","WARN: KYC Expired",IF(I1046="Pending","INFO: KYC Pending","OK"))))</f>
        <v/>
      </c>
    </row>
    <row r="1047">
      <c r="A1047" s="4">
        <f>Raw_Transactions!A1047</f>
        <v/>
      </c>
      <c r="B1047" s="4">
        <f>Raw_Transactions!B1047</f>
        <v/>
      </c>
      <c r="C1047" s="4">
        <f>Raw_Transactions!C1047</f>
        <v/>
      </c>
      <c r="D1047" s="5">
        <f>Raw_Transactions!D1047</f>
        <v/>
      </c>
      <c r="E1047" s="4">
        <f>Raw_Transactions!E1047</f>
        <v/>
      </c>
      <c r="F1047" s="4">
        <f>Raw_Transactions!F1047</f>
        <v/>
      </c>
      <c r="G1047" s="4">
        <f>Raw_Transactions!G1047</f>
        <v/>
      </c>
      <c r="H1047" s="4">
        <f>XLOOKUP(B1047,Raw_Risk_Profiles!$A:$A,Raw_Risk_Profiles!$B:$B,"Not Found")</f>
        <v/>
      </c>
      <c r="I1047" s="4">
        <f>XLOOKUP(B1047,Raw_Risk_Profiles!$A:$A,Raw_Risk_Profiles!$C:$C,"Missing")</f>
        <v/>
      </c>
      <c r="J1047" s="4">
        <f>XLOOKUP(B1047,Raw_Risk_Profiles!$A:$A,Raw_Risk_Profiles!$D:$D,"")</f>
        <v/>
      </c>
      <c r="K1047" s="4">
        <f>IFERROR(INDEX(Raw_Risk_Profiles!$E:$E,MATCH(B1047,Raw_Risk_Profiles!$A:$A,0)),"Unknown")</f>
        <v/>
      </c>
      <c r="L1047" s="4">
        <f>IFERROR(XLOOKUP(A1047,Raw_Alerts!$B:$B,Raw_Alerts!$A:$A),"No Alert")</f>
        <v/>
      </c>
      <c r="M1047" s="4">
        <f>IFERROR(XLOOKUP(A1047,Raw_Alerts!$B:$B,Raw_Alerts!$C:$C),"")</f>
        <v/>
      </c>
      <c r="N1047" s="4">
        <f>IFERROR(XLOOKUP(A1047,Raw_Alerts!$B:$B,Raw_Alerts!$D:$D),"")</f>
        <v/>
      </c>
      <c r="O1047" s="4">
        <f>IFERROR(XLOOKUP(A1047,Raw_Alerts!$B:$B,Raw_Alerts!$F:$F),"")</f>
        <v/>
      </c>
      <c r="P1047" s="4">
        <f>IF(H1047="Not Found","CRITICAL: No Risk Profile",IF(I1047="Missing","WARN: Missing KYC",IF(I1047="Expired","WARN: KYC Expired",IF(I1047="Pending","INFO: KYC Pending","OK"))))</f>
        <v/>
      </c>
    </row>
    <row r="1048">
      <c r="A1048" s="2">
        <f>Raw_Transactions!A1048</f>
        <v/>
      </c>
      <c r="B1048" s="2">
        <f>Raw_Transactions!B1048</f>
        <v/>
      </c>
      <c r="C1048" s="2">
        <f>Raw_Transactions!C1048</f>
        <v/>
      </c>
      <c r="D1048" s="3">
        <f>Raw_Transactions!D1048</f>
        <v/>
      </c>
      <c r="E1048" s="2">
        <f>Raw_Transactions!E1048</f>
        <v/>
      </c>
      <c r="F1048" s="2">
        <f>Raw_Transactions!F1048</f>
        <v/>
      </c>
      <c r="G1048" s="2">
        <f>Raw_Transactions!G1048</f>
        <v/>
      </c>
      <c r="H1048" s="2">
        <f>XLOOKUP(B1048,Raw_Risk_Profiles!$A:$A,Raw_Risk_Profiles!$B:$B,"Not Found")</f>
        <v/>
      </c>
      <c r="I1048" s="2">
        <f>XLOOKUP(B1048,Raw_Risk_Profiles!$A:$A,Raw_Risk_Profiles!$C:$C,"Missing")</f>
        <v/>
      </c>
      <c r="J1048" s="2">
        <f>XLOOKUP(B1048,Raw_Risk_Profiles!$A:$A,Raw_Risk_Profiles!$D:$D,"")</f>
        <v/>
      </c>
      <c r="K1048" s="2">
        <f>IFERROR(INDEX(Raw_Risk_Profiles!$E:$E,MATCH(B1048,Raw_Risk_Profiles!$A:$A,0)),"Unknown")</f>
        <v/>
      </c>
      <c r="L1048" s="2">
        <f>IFERROR(XLOOKUP(A1048,Raw_Alerts!$B:$B,Raw_Alerts!$A:$A),"No Alert")</f>
        <v/>
      </c>
      <c r="M1048" s="2">
        <f>IFERROR(XLOOKUP(A1048,Raw_Alerts!$B:$B,Raw_Alerts!$C:$C),"")</f>
        <v/>
      </c>
      <c r="N1048" s="2">
        <f>IFERROR(XLOOKUP(A1048,Raw_Alerts!$B:$B,Raw_Alerts!$D:$D),"")</f>
        <v/>
      </c>
      <c r="O1048" s="2">
        <f>IFERROR(XLOOKUP(A1048,Raw_Alerts!$B:$B,Raw_Alerts!$F:$F),"")</f>
        <v/>
      </c>
      <c r="P1048" s="2">
        <f>IF(H1048="Not Found","CRITICAL: No Risk Profile",IF(I1048="Missing","WARN: Missing KYC",IF(I1048="Expired","WARN: KYC Expired",IF(I1048="Pending","INFO: KYC Pending","OK"))))</f>
        <v/>
      </c>
    </row>
    <row r="1049">
      <c r="A1049" s="4">
        <f>Raw_Transactions!A1049</f>
        <v/>
      </c>
      <c r="B1049" s="4">
        <f>Raw_Transactions!B1049</f>
        <v/>
      </c>
      <c r="C1049" s="4">
        <f>Raw_Transactions!C1049</f>
        <v/>
      </c>
      <c r="D1049" s="5">
        <f>Raw_Transactions!D1049</f>
        <v/>
      </c>
      <c r="E1049" s="4">
        <f>Raw_Transactions!E1049</f>
        <v/>
      </c>
      <c r="F1049" s="4">
        <f>Raw_Transactions!F1049</f>
        <v/>
      </c>
      <c r="G1049" s="4">
        <f>Raw_Transactions!G1049</f>
        <v/>
      </c>
      <c r="H1049" s="4">
        <f>XLOOKUP(B1049,Raw_Risk_Profiles!$A:$A,Raw_Risk_Profiles!$B:$B,"Not Found")</f>
        <v/>
      </c>
      <c r="I1049" s="4">
        <f>XLOOKUP(B1049,Raw_Risk_Profiles!$A:$A,Raw_Risk_Profiles!$C:$C,"Missing")</f>
        <v/>
      </c>
      <c r="J1049" s="4">
        <f>XLOOKUP(B1049,Raw_Risk_Profiles!$A:$A,Raw_Risk_Profiles!$D:$D,"")</f>
        <v/>
      </c>
      <c r="K1049" s="4">
        <f>IFERROR(INDEX(Raw_Risk_Profiles!$E:$E,MATCH(B1049,Raw_Risk_Profiles!$A:$A,0)),"Unknown")</f>
        <v/>
      </c>
      <c r="L1049" s="4">
        <f>IFERROR(XLOOKUP(A1049,Raw_Alerts!$B:$B,Raw_Alerts!$A:$A),"No Alert")</f>
        <v/>
      </c>
      <c r="M1049" s="4">
        <f>IFERROR(XLOOKUP(A1049,Raw_Alerts!$B:$B,Raw_Alerts!$C:$C),"")</f>
        <v/>
      </c>
      <c r="N1049" s="4">
        <f>IFERROR(XLOOKUP(A1049,Raw_Alerts!$B:$B,Raw_Alerts!$D:$D),"")</f>
        <v/>
      </c>
      <c r="O1049" s="4">
        <f>IFERROR(XLOOKUP(A1049,Raw_Alerts!$B:$B,Raw_Alerts!$F:$F),"")</f>
        <v/>
      </c>
      <c r="P1049" s="4">
        <f>IF(H1049="Not Found","CRITICAL: No Risk Profile",IF(I1049="Missing","WARN: Missing KYC",IF(I1049="Expired","WARN: KYC Expired",IF(I1049="Pending","INFO: KYC Pending","OK"))))</f>
        <v/>
      </c>
    </row>
    <row r="1050">
      <c r="A1050" s="2">
        <f>Raw_Transactions!A1050</f>
        <v/>
      </c>
      <c r="B1050" s="2">
        <f>Raw_Transactions!B1050</f>
        <v/>
      </c>
      <c r="C1050" s="2">
        <f>Raw_Transactions!C1050</f>
        <v/>
      </c>
      <c r="D1050" s="3">
        <f>Raw_Transactions!D1050</f>
        <v/>
      </c>
      <c r="E1050" s="2">
        <f>Raw_Transactions!E1050</f>
        <v/>
      </c>
      <c r="F1050" s="2">
        <f>Raw_Transactions!F1050</f>
        <v/>
      </c>
      <c r="G1050" s="2">
        <f>Raw_Transactions!G1050</f>
        <v/>
      </c>
      <c r="H1050" s="2">
        <f>XLOOKUP(B1050,Raw_Risk_Profiles!$A:$A,Raw_Risk_Profiles!$B:$B,"Not Found")</f>
        <v/>
      </c>
      <c r="I1050" s="2">
        <f>XLOOKUP(B1050,Raw_Risk_Profiles!$A:$A,Raw_Risk_Profiles!$C:$C,"Missing")</f>
        <v/>
      </c>
      <c r="J1050" s="2">
        <f>XLOOKUP(B1050,Raw_Risk_Profiles!$A:$A,Raw_Risk_Profiles!$D:$D,"")</f>
        <v/>
      </c>
      <c r="K1050" s="2">
        <f>IFERROR(INDEX(Raw_Risk_Profiles!$E:$E,MATCH(B1050,Raw_Risk_Profiles!$A:$A,0)),"Unknown")</f>
        <v/>
      </c>
      <c r="L1050" s="2">
        <f>IFERROR(XLOOKUP(A1050,Raw_Alerts!$B:$B,Raw_Alerts!$A:$A),"No Alert")</f>
        <v/>
      </c>
      <c r="M1050" s="2">
        <f>IFERROR(XLOOKUP(A1050,Raw_Alerts!$B:$B,Raw_Alerts!$C:$C),"")</f>
        <v/>
      </c>
      <c r="N1050" s="2">
        <f>IFERROR(XLOOKUP(A1050,Raw_Alerts!$B:$B,Raw_Alerts!$D:$D),"")</f>
        <v/>
      </c>
      <c r="O1050" s="2">
        <f>IFERROR(XLOOKUP(A1050,Raw_Alerts!$B:$B,Raw_Alerts!$F:$F),"")</f>
        <v/>
      </c>
      <c r="P1050" s="2">
        <f>IF(H1050="Not Found","CRITICAL: No Risk Profile",IF(I1050="Missing","WARN: Missing KYC",IF(I1050="Expired","WARN: KYC Expired",IF(I1050="Pending","INFO: KYC Pending","OK"))))</f>
        <v/>
      </c>
    </row>
    <row r="1051">
      <c r="A1051" s="4">
        <f>Raw_Transactions!A1051</f>
        <v/>
      </c>
      <c r="B1051" s="4">
        <f>Raw_Transactions!B1051</f>
        <v/>
      </c>
      <c r="C1051" s="4">
        <f>Raw_Transactions!C1051</f>
        <v/>
      </c>
      <c r="D1051" s="5">
        <f>Raw_Transactions!D1051</f>
        <v/>
      </c>
      <c r="E1051" s="4">
        <f>Raw_Transactions!E1051</f>
        <v/>
      </c>
      <c r="F1051" s="4">
        <f>Raw_Transactions!F1051</f>
        <v/>
      </c>
      <c r="G1051" s="4">
        <f>Raw_Transactions!G1051</f>
        <v/>
      </c>
      <c r="H1051" s="4">
        <f>XLOOKUP(B1051,Raw_Risk_Profiles!$A:$A,Raw_Risk_Profiles!$B:$B,"Not Found")</f>
        <v/>
      </c>
      <c r="I1051" s="4">
        <f>XLOOKUP(B1051,Raw_Risk_Profiles!$A:$A,Raw_Risk_Profiles!$C:$C,"Missing")</f>
        <v/>
      </c>
      <c r="J1051" s="4">
        <f>XLOOKUP(B1051,Raw_Risk_Profiles!$A:$A,Raw_Risk_Profiles!$D:$D,"")</f>
        <v/>
      </c>
      <c r="K1051" s="4">
        <f>IFERROR(INDEX(Raw_Risk_Profiles!$E:$E,MATCH(B1051,Raw_Risk_Profiles!$A:$A,0)),"Unknown")</f>
        <v/>
      </c>
      <c r="L1051" s="4">
        <f>IFERROR(XLOOKUP(A1051,Raw_Alerts!$B:$B,Raw_Alerts!$A:$A),"No Alert")</f>
        <v/>
      </c>
      <c r="M1051" s="4">
        <f>IFERROR(XLOOKUP(A1051,Raw_Alerts!$B:$B,Raw_Alerts!$C:$C),"")</f>
        <v/>
      </c>
      <c r="N1051" s="4">
        <f>IFERROR(XLOOKUP(A1051,Raw_Alerts!$B:$B,Raw_Alerts!$D:$D),"")</f>
        <v/>
      </c>
      <c r="O1051" s="4">
        <f>IFERROR(XLOOKUP(A1051,Raw_Alerts!$B:$B,Raw_Alerts!$F:$F),"")</f>
        <v/>
      </c>
      <c r="P1051" s="4">
        <f>IF(H1051="Not Found","CRITICAL: No Risk Profile",IF(I1051="Missing","WARN: Missing KYC",IF(I1051="Expired","WARN: KYC Expired",IF(I1051="Pending","INFO: KYC Pending","OK"))))</f>
        <v/>
      </c>
    </row>
    <row r="1052">
      <c r="A1052" s="2">
        <f>Raw_Transactions!A1052</f>
        <v/>
      </c>
      <c r="B1052" s="2">
        <f>Raw_Transactions!B1052</f>
        <v/>
      </c>
      <c r="C1052" s="2">
        <f>Raw_Transactions!C1052</f>
        <v/>
      </c>
      <c r="D1052" s="3">
        <f>Raw_Transactions!D1052</f>
        <v/>
      </c>
      <c r="E1052" s="2">
        <f>Raw_Transactions!E1052</f>
        <v/>
      </c>
      <c r="F1052" s="2">
        <f>Raw_Transactions!F1052</f>
        <v/>
      </c>
      <c r="G1052" s="2">
        <f>Raw_Transactions!G1052</f>
        <v/>
      </c>
      <c r="H1052" s="2">
        <f>XLOOKUP(B1052,Raw_Risk_Profiles!$A:$A,Raw_Risk_Profiles!$B:$B,"Not Found")</f>
        <v/>
      </c>
      <c r="I1052" s="2">
        <f>XLOOKUP(B1052,Raw_Risk_Profiles!$A:$A,Raw_Risk_Profiles!$C:$C,"Missing")</f>
        <v/>
      </c>
      <c r="J1052" s="2">
        <f>XLOOKUP(B1052,Raw_Risk_Profiles!$A:$A,Raw_Risk_Profiles!$D:$D,"")</f>
        <v/>
      </c>
      <c r="K1052" s="2">
        <f>IFERROR(INDEX(Raw_Risk_Profiles!$E:$E,MATCH(B1052,Raw_Risk_Profiles!$A:$A,0)),"Unknown")</f>
        <v/>
      </c>
      <c r="L1052" s="2">
        <f>IFERROR(XLOOKUP(A1052,Raw_Alerts!$B:$B,Raw_Alerts!$A:$A),"No Alert")</f>
        <v/>
      </c>
      <c r="M1052" s="2">
        <f>IFERROR(XLOOKUP(A1052,Raw_Alerts!$B:$B,Raw_Alerts!$C:$C),"")</f>
        <v/>
      </c>
      <c r="N1052" s="2">
        <f>IFERROR(XLOOKUP(A1052,Raw_Alerts!$B:$B,Raw_Alerts!$D:$D),"")</f>
        <v/>
      </c>
      <c r="O1052" s="2">
        <f>IFERROR(XLOOKUP(A1052,Raw_Alerts!$B:$B,Raw_Alerts!$F:$F),"")</f>
        <v/>
      </c>
      <c r="P1052" s="2">
        <f>IF(H1052="Not Found","CRITICAL: No Risk Profile",IF(I1052="Missing","WARN: Missing KYC",IF(I1052="Expired","WARN: KYC Expired",IF(I1052="Pending","INFO: KYC Pending","OK"))))</f>
        <v/>
      </c>
    </row>
    <row r="1053">
      <c r="A1053" s="4">
        <f>Raw_Transactions!A1053</f>
        <v/>
      </c>
      <c r="B1053" s="4">
        <f>Raw_Transactions!B1053</f>
        <v/>
      </c>
      <c r="C1053" s="4">
        <f>Raw_Transactions!C1053</f>
        <v/>
      </c>
      <c r="D1053" s="5">
        <f>Raw_Transactions!D1053</f>
        <v/>
      </c>
      <c r="E1053" s="4">
        <f>Raw_Transactions!E1053</f>
        <v/>
      </c>
      <c r="F1053" s="4">
        <f>Raw_Transactions!F1053</f>
        <v/>
      </c>
      <c r="G1053" s="4">
        <f>Raw_Transactions!G1053</f>
        <v/>
      </c>
      <c r="H1053" s="4">
        <f>XLOOKUP(B1053,Raw_Risk_Profiles!$A:$A,Raw_Risk_Profiles!$B:$B,"Not Found")</f>
        <v/>
      </c>
      <c r="I1053" s="4">
        <f>XLOOKUP(B1053,Raw_Risk_Profiles!$A:$A,Raw_Risk_Profiles!$C:$C,"Missing")</f>
        <v/>
      </c>
      <c r="J1053" s="4">
        <f>XLOOKUP(B1053,Raw_Risk_Profiles!$A:$A,Raw_Risk_Profiles!$D:$D,"")</f>
        <v/>
      </c>
      <c r="K1053" s="4">
        <f>IFERROR(INDEX(Raw_Risk_Profiles!$E:$E,MATCH(B1053,Raw_Risk_Profiles!$A:$A,0)),"Unknown")</f>
        <v/>
      </c>
      <c r="L1053" s="4">
        <f>IFERROR(XLOOKUP(A1053,Raw_Alerts!$B:$B,Raw_Alerts!$A:$A),"No Alert")</f>
        <v/>
      </c>
      <c r="M1053" s="4">
        <f>IFERROR(XLOOKUP(A1053,Raw_Alerts!$B:$B,Raw_Alerts!$C:$C),"")</f>
        <v/>
      </c>
      <c r="N1053" s="4">
        <f>IFERROR(XLOOKUP(A1053,Raw_Alerts!$B:$B,Raw_Alerts!$D:$D),"")</f>
        <v/>
      </c>
      <c r="O1053" s="4">
        <f>IFERROR(XLOOKUP(A1053,Raw_Alerts!$B:$B,Raw_Alerts!$F:$F),"")</f>
        <v/>
      </c>
      <c r="P1053" s="4">
        <f>IF(H1053="Not Found","CRITICAL: No Risk Profile",IF(I1053="Missing","WARN: Missing KYC",IF(I1053="Expired","WARN: KYC Expired",IF(I1053="Pending","INFO: KYC Pending","OK"))))</f>
        <v/>
      </c>
    </row>
    <row r="1054">
      <c r="A1054" s="2">
        <f>Raw_Transactions!A1054</f>
        <v/>
      </c>
      <c r="B1054" s="2">
        <f>Raw_Transactions!B1054</f>
        <v/>
      </c>
      <c r="C1054" s="2">
        <f>Raw_Transactions!C1054</f>
        <v/>
      </c>
      <c r="D1054" s="3">
        <f>Raw_Transactions!D1054</f>
        <v/>
      </c>
      <c r="E1054" s="2">
        <f>Raw_Transactions!E1054</f>
        <v/>
      </c>
      <c r="F1054" s="2">
        <f>Raw_Transactions!F1054</f>
        <v/>
      </c>
      <c r="G1054" s="2">
        <f>Raw_Transactions!G1054</f>
        <v/>
      </c>
      <c r="H1054" s="2">
        <f>XLOOKUP(B1054,Raw_Risk_Profiles!$A:$A,Raw_Risk_Profiles!$B:$B,"Not Found")</f>
        <v/>
      </c>
      <c r="I1054" s="2">
        <f>XLOOKUP(B1054,Raw_Risk_Profiles!$A:$A,Raw_Risk_Profiles!$C:$C,"Missing")</f>
        <v/>
      </c>
      <c r="J1054" s="2">
        <f>XLOOKUP(B1054,Raw_Risk_Profiles!$A:$A,Raw_Risk_Profiles!$D:$D,"")</f>
        <v/>
      </c>
      <c r="K1054" s="2">
        <f>IFERROR(INDEX(Raw_Risk_Profiles!$E:$E,MATCH(B1054,Raw_Risk_Profiles!$A:$A,0)),"Unknown")</f>
        <v/>
      </c>
      <c r="L1054" s="2">
        <f>IFERROR(XLOOKUP(A1054,Raw_Alerts!$B:$B,Raw_Alerts!$A:$A),"No Alert")</f>
        <v/>
      </c>
      <c r="M1054" s="2">
        <f>IFERROR(XLOOKUP(A1054,Raw_Alerts!$B:$B,Raw_Alerts!$C:$C),"")</f>
        <v/>
      </c>
      <c r="N1054" s="2">
        <f>IFERROR(XLOOKUP(A1054,Raw_Alerts!$B:$B,Raw_Alerts!$D:$D),"")</f>
        <v/>
      </c>
      <c r="O1054" s="2">
        <f>IFERROR(XLOOKUP(A1054,Raw_Alerts!$B:$B,Raw_Alerts!$F:$F),"")</f>
        <v/>
      </c>
      <c r="P1054" s="2">
        <f>IF(H1054="Not Found","CRITICAL: No Risk Profile",IF(I1054="Missing","WARN: Missing KYC",IF(I1054="Expired","WARN: KYC Expired",IF(I1054="Pending","INFO: KYC Pending","OK"))))</f>
        <v/>
      </c>
    </row>
    <row r="1055">
      <c r="A1055" s="4">
        <f>Raw_Transactions!A1055</f>
        <v/>
      </c>
      <c r="B1055" s="4">
        <f>Raw_Transactions!B1055</f>
        <v/>
      </c>
      <c r="C1055" s="4">
        <f>Raw_Transactions!C1055</f>
        <v/>
      </c>
      <c r="D1055" s="5">
        <f>Raw_Transactions!D1055</f>
        <v/>
      </c>
      <c r="E1055" s="4">
        <f>Raw_Transactions!E1055</f>
        <v/>
      </c>
      <c r="F1055" s="4">
        <f>Raw_Transactions!F1055</f>
        <v/>
      </c>
      <c r="G1055" s="4">
        <f>Raw_Transactions!G1055</f>
        <v/>
      </c>
      <c r="H1055" s="4">
        <f>XLOOKUP(B1055,Raw_Risk_Profiles!$A:$A,Raw_Risk_Profiles!$B:$B,"Not Found")</f>
        <v/>
      </c>
      <c r="I1055" s="4">
        <f>XLOOKUP(B1055,Raw_Risk_Profiles!$A:$A,Raw_Risk_Profiles!$C:$C,"Missing")</f>
        <v/>
      </c>
      <c r="J1055" s="4">
        <f>XLOOKUP(B1055,Raw_Risk_Profiles!$A:$A,Raw_Risk_Profiles!$D:$D,"")</f>
        <v/>
      </c>
      <c r="K1055" s="4">
        <f>IFERROR(INDEX(Raw_Risk_Profiles!$E:$E,MATCH(B1055,Raw_Risk_Profiles!$A:$A,0)),"Unknown")</f>
        <v/>
      </c>
      <c r="L1055" s="4">
        <f>IFERROR(XLOOKUP(A1055,Raw_Alerts!$B:$B,Raw_Alerts!$A:$A),"No Alert")</f>
        <v/>
      </c>
      <c r="M1055" s="4">
        <f>IFERROR(XLOOKUP(A1055,Raw_Alerts!$B:$B,Raw_Alerts!$C:$C),"")</f>
        <v/>
      </c>
      <c r="N1055" s="4">
        <f>IFERROR(XLOOKUP(A1055,Raw_Alerts!$B:$B,Raw_Alerts!$D:$D),"")</f>
        <v/>
      </c>
      <c r="O1055" s="4">
        <f>IFERROR(XLOOKUP(A1055,Raw_Alerts!$B:$B,Raw_Alerts!$F:$F),"")</f>
        <v/>
      </c>
      <c r="P1055" s="4">
        <f>IF(H1055="Not Found","CRITICAL: No Risk Profile",IF(I1055="Missing","WARN: Missing KYC",IF(I1055="Expired","WARN: KYC Expired",IF(I1055="Pending","INFO: KYC Pending","OK"))))</f>
        <v/>
      </c>
    </row>
    <row r="1056">
      <c r="A1056" s="2">
        <f>Raw_Transactions!A1056</f>
        <v/>
      </c>
      <c r="B1056" s="2">
        <f>Raw_Transactions!B1056</f>
        <v/>
      </c>
      <c r="C1056" s="2">
        <f>Raw_Transactions!C1056</f>
        <v/>
      </c>
      <c r="D1056" s="3">
        <f>Raw_Transactions!D1056</f>
        <v/>
      </c>
      <c r="E1056" s="2">
        <f>Raw_Transactions!E1056</f>
        <v/>
      </c>
      <c r="F1056" s="2">
        <f>Raw_Transactions!F1056</f>
        <v/>
      </c>
      <c r="G1056" s="2">
        <f>Raw_Transactions!G1056</f>
        <v/>
      </c>
      <c r="H1056" s="2">
        <f>XLOOKUP(B1056,Raw_Risk_Profiles!$A:$A,Raw_Risk_Profiles!$B:$B,"Not Found")</f>
        <v/>
      </c>
      <c r="I1056" s="2">
        <f>XLOOKUP(B1056,Raw_Risk_Profiles!$A:$A,Raw_Risk_Profiles!$C:$C,"Missing")</f>
        <v/>
      </c>
      <c r="J1056" s="2">
        <f>XLOOKUP(B1056,Raw_Risk_Profiles!$A:$A,Raw_Risk_Profiles!$D:$D,"")</f>
        <v/>
      </c>
      <c r="K1056" s="2">
        <f>IFERROR(INDEX(Raw_Risk_Profiles!$E:$E,MATCH(B1056,Raw_Risk_Profiles!$A:$A,0)),"Unknown")</f>
        <v/>
      </c>
      <c r="L1056" s="2">
        <f>IFERROR(XLOOKUP(A1056,Raw_Alerts!$B:$B,Raw_Alerts!$A:$A),"No Alert")</f>
        <v/>
      </c>
      <c r="M1056" s="2">
        <f>IFERROR(XLOOKUP(A1056,Raw_Alerts!$B:$B,Raw_Alerts!$C:$C),"")</f>
        <v/>
      </c>
      <c r="N1056" s="2">
        <f>IFERROR(XLOOKUP(A1056,Raw_Alerts!$B:$B,Raw_Alerts!$D:$D),"")</f>
        <v/>
      </c>
      <c r="O1056" s="2">
        <f>IFERROR(XLOOKUP(A1056,Raw_Alerts!$B:$B,Raw_Alerts!$F:$F),"")</f>
        <v/>
      </c>
      <c r="P1056" s="2">
        <f>IF(H1056="Not Found","CRITICAL: No Risk Profile",IF(I1056="Missing","WARN: Missing KYC",IF(I1056="Expired","WARN: KYC Expired",IF(I1056="Pending","INFO: KYC Pending","OK"))))</f>
        <v/>
      </c>
    </row>
    <row r="1057">
      <c r="A1057" s="4">
        <f>Raw_Transactions!A1057</f>
        <v/>
      </c>
      <c r="B1057" s="4">
        <f>Raw_Transactions!B1057</f>
        <v/>
      </c>
      <c r="C1057" s="4">
        <f>Raw_Transactions!C1057</f>
        <v/>
      </c>
      <c r="D1057" s="5">
        <f>Raw_Transactions!D1057</f>
        <v/>
      </c>
      <c r="E1057" s="4">
        <f>Raw_Transactions!E1057</f>
        <v/>
      </c>
      <c r="F1057" s="4">
        <f>Raw_Transactions!F1057</f>
        <v/>
      </c>
      <c r="G1057" s="4">
        <f>Raw_Transactions!G1057</f>
        <v/>
      </c>
      <c r="H1057" s="4">
        <f>XLOOKUP(B1057,Raw_Risk_Profiles!$A:$A,Raw_Risk_Profiles!$B:$B,"Not Found")</f>
        <v/>
      </c>
      <c r="I1057" s="4">
        <f>XLOOKUP(B1057,Raw_Risk_Profiles!$A:$A,Raw_Risk_Profiles!$C:$C,"Missing")</f>
        <v/>
      </c>
      <c r="J1057" s="4">
        <f>XLOOKUP(B1057,Raw_Risk_Profiles!$A:$A,Raw_Risk_Profiles!$D:$D,"")</f>
        <v/>
      </c>
      <c r="K1057" s="4">
        <f>IFERROR(INDEX(Raw_Risk_Profiles!$E:$E,MATCH(B1057,Raw_Risk_Profiles!$A:$A,0)),"Unknown")</f>
        <v/>
      </c>
      <c r="L1057" s="4">
        <f>IFERROR(XLOOKUP(A1057,Raw_Alerts!$B:$B,Raw_Alerts!$A:$A),"No Alert")</f>
        <v/>
      </c>
      <c r="M1057" s="4">
        <f>IFERROR(XLOOKUP(A1057,Raw_Alerts!$B:$B,Raw_Alerts!$C:$C),"")</f>
        <v/>
      </c>
      <c r="N1057" s="4">
        <f>IFERROR(XLOOKUP(A1057,Raw_Alerts!$B:$B,Raw_Alerts!$D:$D),"")</f>
        <v/>
      </c>
      <c r="O1057" s="4">
        <f>IFERROR(XLOOKUP(A1057,Raw_Alerts!$B:$B,Raw_Alerts!$F:$F),"")</f>
        <v/>
      </c>
      <c r="P1057" s="4">
        <f>IF(H1057="Not Found","CRITICAL: No Risk Profile",IF(I1057="Missing","WARN: Missing KYC",IF(I1057="Expired","WARN: KYC Expired",IF(I1057="Pending","INFO: KYC Pending","OK"))))</f>
        <v/>
      </c>
    </row>
    <row r="1058">
      <c r="A1058" s="2">
        <f>Raw_Transactions!A1058</f>
        <v/>
      </c>
      <c r="B1058" s="2">
        <f>Raw_Transactions!B1058</f>
        <v/>
      </c>
      <c r="C1058" s="2">
        <f>Raw_Transactions!C1058</f>
        <v/>
      </c>
      <c r="D1058" s="3">
        <f>Raw_Transactions!D1058</f>
        <v/>
      </c>
      <c r="E1058" s="2">
        <f>Raw_Transactions!E1058</f>
        <v/>
      </c>
      <c r="F1058" s="2">
        <f>Raw_Transactions!F1058</f>
        <v/>
      </c>
      <c r="G1058" s="2">
        <f>Raw_Transactions!G1058</f>
        <v/>
      </c>
      <c r="H1058" s="2">
        <f>XLOOKUP(B1058,Raw_Risk_Profiles!$A:$A,Raw_Risk_Profiles!$B:$B,"Not Found")</f>
        <v/>
      </c>
      <c r="I1058" s="2">
        <f>XLOOKUP(B1058,Raw_Risk_Profiles!$A:$A,Raw_Risk_Profiles!$C:$C,"Missing")</f>
        <v/>
      </c>
      <c r="J1058" s="2">
        <f>XLOOKUP(B1058,Raw_Risk_Profiles!$A:$A,Raw_Risk_Profiles!$D:$D,"")</f>
        <v/>
      </c>
      <c r="K1058" s="2">
        <f>IFERROR(INDEX(Raw_Risk_Profiles!$E:$E,MATCH(B1058,Raw_Risk_Profiles!$A:$A,0)),"Unknown")</f>
        <v/>
      </c>
      <c r="L1058" s="2">
        <f>IFERROR(XLOOKUP(A1058,Raw_Alerts!$B:$B,Raw_Alerts!$A:$A),"No Alert")</f>
        <v/>
      </c>
      <c r="M1058" s="2">
        <f>IFERROR(XLOOKUP(A1058,Raw_Alerts!$B:$B,Raw_Alerts!$C:$C),"")</f>
        <v/>
      </c>
      <c r="N1058" s="2">
        <f>IFERROR(XLOOKUP(A1058,Raw_Alerts!$B:$B,Raw_Alerts!$D:$D),"")</f>
        <v/>
      </c>
      <c r="O1058" s="2">
        <f>IFERROR(XLOOKUP(A1058,Raw_Alerts!$B:$B,Raw_Alerts!$F:$F),"")</f>
        <v/>
      </c>
      <c r="P1058" s="2">
        <f>IF(H1058="Not Found","CRITICAL: No Risk Profile",IF(I1058="Missing","WARN: Missing KYC",IF(I1058="Expired","WARN: KYC Expired",IF(I1058="Pending","INFO: KYC Pending","OK"))))</f>
        <v/>
      </c>
    </row>
    <row r="1059">
      <c r="A1059" s="4">
        <f>Raw_Transactions!A1059</f>
        <v/>
      </c>
      <c r="B1059" s="4">
        <f>Raw_Transactions!B1059</f>
        <v/>
      </c>
      <c r="C1059" s="4">
        <f>Raw_Transactions!C1059</f>
        <v/>
      </c>
      <c r="D1059" s="5">
        <f>Raw_Transactions!D1059</f>
        <v/>
      </c>
      <c r="E1059" s="4">
        <f>Raw_Transactions!E1059</f>
        <v/>
      </c>
      <c r="F1059" s="4">
        <f>Raw_Transactions!F1059</f>
        <v/>
      </c>
      <c r="G1059" s="4">
        <f>Raw_Transactions!G1059</f>
        <v/>
      </c>
      <c r="H1059" s="4">
        <f>XLOOKUP(B1059,Raw_Risk_Profiles!$A:$A,Raw_Risk_Profiles!$B:$B,"Not Found")</f>
        <v/>
      </c>
      <c r="I1059" s="4">
        <f>XLOOKUP(B1059,Raw_Risk_Profiles!$A:$A,Raw_Risk_Profiles!$C:$C,"Missing")</f>
        <v/>
      </c>
      <c r="J1059" s="4">
        <f>XLOOKUP(B1059,Raw_Risk_Profiles!$A:$A,Raw_Risk_Profiles!$D:$D,"")</f>
        <v/>
      </c>
      <c r="K1059" s="4">
        <f>IFERROR(INDEX(Raw_Risk_Profiles!$E:$E,MATCH(B1059,Raw_Risk_Profiles!$A:$A,0)),"Unknown")</f>
        <v/>
      </c>
      <c r="L1059" s="4">
        <f>IFERROR(XLOOKUP(A1059,Raw_Alerts!$B:$B,Raw_Alerts!$A:$A),"No Alert")</f>
        <v/>
      </c>
      <c r="M1059" s="4">
        <f>IFERROR(XLOOKUP(A1059,Raw_Alerts!$B:$B,Raw_Alerts!$C:$C),"")</f>
        <v/>
      </c>
      <c r="N1059" s="4">
        <f>IFERROR(XLOOKUP(A1059,Raw_Alerts!$B:$B,Raw_Alerts!$D:$D),"")</f>
        <v/>
      </c>
      <c r="O1059" s="4">
        <f>IFERROR(XLOOKUP(A1059,Raw_Alerts!$B:$B,Raw_Alerts!$F:$F),"")</f>
        <v/>
      </c>
      <c r="P1059" s="4">
        <f>IF(H1059="Not Found","CRITICAL: No Risk Profile",IF(I1059="Missing","WARN: Missing KYC",IF(I1059="Expired","WARN: KYC Expired",IF(I1059="Pending","INFO: KYC Pending","OK"))))</f>
        <v/>
      </c>
    </row>
    <row r="1060">
      <c r="A1060" s="2">
        <f>Raw_Transactions!A1060</f>
        <v/>
      </c>
      <c r="B1060" s="2">
        <f>Raw_Transactions!B1060</f>
        <v/>
      </c>
      <c r="C1060" s="2">
        <f>Raw_Transactions!C1060</f>
        <v/>
      </c>
      <c r="D1060" s="3">
        <f>Raw_Transactions!D1060</f>
        <v/>
      </c>
      <c r="E1060" s="2">
        <f>Raw_Transactions!E1060</f>
        <v/>
      </c>
      <c r="F1060" s="2">
        <f>Raw_Transactions!F1060</f>
        <v/>
      </c>
      <c r="G1060" s="2">
        <f>Raw_Transactions!G1060</f>
        <v/>
      </c>
      <c r="H1060" s="2">
        <f>XLOOKUP(B1060,Raw_Risk_Profiles!$A:$A,Raw_Risk_Profiles!$B:$B,"Not Found")</f>
        <v/>
      </c>
      <c r="I1060" s="2">
        <f>XLOOKUP(B1060,Raw_Risk_Profiles!$A:$A,Raw_Risk_Profiles!$C:$C,"Missing")</f>
        <v/>
      </c>
      <c r="J1060" s="2">
        <f>XLOOKUP(B1060,Raw_Risk_Profiles!$A:$A,Raw_Risk_Profiles!$D:$D,"")</f>
        <v/>
      </c>
      <c r="K1060" s="2">
        <f>IFERROR(INDEX(Raw_Risk_Profiles!$E:$E,MATCH(B1060,Raw_Risk_Profiles!$A:$A,0)),"Unknown")</f>
        <v/>
      </c>
      <c r="L1060" s="2">
        <f>IFERROR(XLOOKUP(A1060,Raw_Alerts!$B:$B,Raw_Alerts!$A:$A),"No Alert")</f>
        <v/>
      </c>
      <c r="M1060" s="2">
        <f>IFERROR(XLOOKUP(A1060,Raw_Alerts!$B:$B,Raw_Alerts!$C:$C),"")</f>
        <v/>
      </c>
      <c r="N1060" s="2">
        <f>IFERROR(XLOOKUP(A1060,Raw_Alerts!$B:$B,Raw_Alerts!$D:$D),"")</f>
        <v/>
      </c>
      <c r="O1060" s="2">
        <f>IFERROR(XLOOKUP(A1060,Raw_Alerts!$B:$B,Raw_Alerts!$F:$F),"")</f>
        <v/>
      </c>
      <c r="P1060" s="2">
        <f>IF(H1060="Not Found","CRITICAL: No Risk Profile",IF(I1060="Missing","WARN: Missing KYC",IF(I1060="Expired","WARN: KYC Expired",IF(I1060="Pending","INFO: KYC Pending","OK"))))</f>
        <v/>
      </c>
    </row>
    <row r="1061">
      <c r="A1061" s="4">
        <f>Raw_Transactions!A1061</f>
        <v/>
      </c>
      <c r="B1061" s="4">
        <f>Raw_Transactions!B1061</f>
        <v/>
      </c>
      <c r="C1061" s="4">
        <f>Raw_Transactions!C1061</f>
        <v/>
      </c>
      <c r="D1061" s="5">
        <f>Raw_Transactions!D1061</f>
        <v/>
      </c>
      <c r="E1061" s="4">
        <f>Raw_Transactions!E1061</f>
        <v/>
      </c>
      <c r="F1061" s="4">
        <f>Raw_Transactions!F1061</f>
        <v/>
      </c>
      <c r="G1061" s="4">
        <f>Raw_Transactions!G1061</f>
        <v/>
      </c>
      <c r="H1061" s="4">
        <f>XLOOKUP(B1061,Raw_Risk_Profiles!$A:$A,Raw_Risk_Profiles!$B:$B,"Not Found")</f>
        <v/>
      </c>
      <c r="I1061" s="4">
        <f>XLOOKUP(B1061,Raw_Risk_Profiles!$A:$A,Raw_Risk_Profiles!$C:$C,"Missing")</f>
        <v/>
      </c>
      <c r="J1061" s="4">
        <f>XLOOKUP(B1061,Raw_Risk_Profiles!$A:$A,Raw_Risk_Profiles!$D:$D,"")</f>
        <v/>
      </c>
      <c r="K1061" s="4">
        <f>IFERROR(INDEX(Raw_Risk_Profiles!$E:$E,MATCH(B1061,Raw_Risk_Profiles!$A:$A,0)),"Unknown")</f>
        <v/>
      </c>
      <c r="L1061" s="4">
        <f>IFERROR(XLOOKUP(A1061,Raw_Alerts!$B:$B,Raw_Alerts!$A:$A),"No Alert")</f>
        <v/>
      </c>
      <c r="M1061" s="4">
        <f>IFERROR(XLOOKUP(A1061,Raw_Alerts!$B:$B,Raw_Alerts!$C:$C),"")</f>
        <v/>
      </c>
      <c r="N1061" s="4">
        <f>IFERROR(XLOOKUP(A1061,Raw_Alerts!$B:$B,Raw_Alerts!$D:$D),"")</f>
        <v/>
      </c>
      <c r="O1061" s="4">
        <f>IFERROR(XLOOKUP(A1061,Raw_Alerts!$B:$B,Raw_Alerts!$F:$F),"")</f>
        <v/>
      </c>
      <c r="P1061" s="4">
        <f>IF(H1061="Not Found","CRITICAL: No Risk Profile",IF(I1061="Missing","WARN: Missing KYC",IF(I1061="Expired","WARN: KYC Expired",IF(I1061="Pending","INFO: KYC Pending","OK"))))</f>
        <v/>
      </c>
    </row>
    <row r="1062">
      <c r="A1062" s="2">
        <f>Raw_Transactions!A1062</f>
        <v/>
      </c>
      <c r="B1062" s="2">
        <f>Raw_Transactions!B1062</f>
        <v/>
      </c>
      <c r="C1062" s="2">
        <f>Raw_Transactions!C1062</f>
        <v/>
      </c>
      <c r="D1062" s="3">
        <f>Raw_Transactions!D1062</f>
        <v/>
      </c>
      <c r="E1062" s="2">
        <f>Raw_Transactions!E1062</f>
        <v/>
      </c>
      <c r="F1062" s="2">
        <f>Raw_Transactions!F1062</f>
        <v/>
      </c>
      <c r="G1062" s="2">
        <f>Raw_Transactions!G1062</f>
        <v/>
      </c>
      <c r="H1062" s="2">
        <f>XLOOKUP(B1062,Raw_Risk_Profiles!$A:$A,Raw_Risk_Profiles!$B:$B,"Not Found")</f>
        <v/>
      </c>
      <c r="I1062" s="2">
        <f>XLOOKUP(B1062,Raw_Risk_Profiles!$A:$A,Raw_Risk_Profiles!$C:$C,"Missing")</f>
        <v/>
      </c>
      <c r="J1062" s="2">
        <f>XLOOKUP(B1062,Raw_Risk_Profiles!$A:$A,Raw_Risk_Profiles!$D:$D,"")</f>
        <v/>
      </c>
      <c r="K1062" s="2">
        <f>IFERROR(INDEX(Raw_Risk_Profiles!$E:$E,MATCH(B1062,Raw_Risk_Profiles!$A:$A,0)),"Unknown")</f>
        <v/>
      </c>
      <c r="L1062" s="2">
        <f>IFERROR(XLOOKUP(A1062,Raw_Alerts!$B:$B,Raw_Alerts!$A:$A),"No Alert")</f>
        <v/>
      </c>
      <c r="M1062" s="2">
        <f>IFERROR(XLOOKUP(A1062,Raw_Alerts!$B:$B,Raw_Alerts!$C:$C),"")</f>
        <v/>
      </c>
      <c r="N1062" s="2">
        <f>IFERROR(XLOOKUP(A1062,Raw_Alerts!$B:$B,Raw_Alerts!$D:$D),"")</f>
        <v/>
      </c>
      <c r="O1062" s="2">
        <f>IFERROR(XLOOKUP(A1062,Raw_Alerts!$B:$B,Raw_Alerts!$F:$F),"")</f>
        <v/>
      </c>
      <c r="P1062" s="2">
        <f>IF(H1062="Not Found","CRITICAL: No Risk Profile",IF(I1062="Missing","WARN: Missing KYC",IF(I1062="Expired","WARN: KYC Expired",IF(I1062="Pending","INFO: KYC Pending","OK"))))</f>
        <v/>
      </c>
    </row>
    <row r="1063">
      <c r="A1063" s="4">
        <f>Raw_Transactions!A1063</f>
        <v/>
      </c>
      <c r="B1063" s="4">
        <f>Raw_Transactions!B1063</f>
        <v/>
      </c>
      <c r="C1063" s="4">
        <f>Raw_Transactions!C1063</f>
        <v/>
      </c>
      <c r="D1063" s="5">
        <f>Raw_Transactions!D1063</f>
        <v/>
      </c>
      <c r="E1063" s="4">
        <f>Raw_Transactions!E1063</f>
        <v/>
      </c>
      <c r="F1063" s="4">
        <f>Raw_Transactions!F1063</f>
        <v/>
      </c>
      <c r="G1063" s="4">
        <f>Raw_Transactions!G1063</f>
        <v/>
      </c>
      <c r="H1063" s="4">
        <f>XLOOKUP(B1063,Raw_Risk_Profiles!$A:$A,Raw_Risk_Profiles!$B:$B,"Not Found")</f>
        <v/>
      </c>
      <c r="I1063" s="4">
        <f>XLOOKUP(B1063,Raw_Risk_Profiles!$A:$A,Raw_Risk_Profiles!$C:$C,"Missing")</f>
        <v/>
      </c>
      <c r="J1063" s="4">
        <f>XLOOKUP(B1063,Raw_Risk_Profiles!$A:$A,Raw_Risk_Profiles!$D:$D,"")</f>
        <v/>
      </c>
      <c r="K1063" s="4">
        <f>IFERROR(INDEX(Raw_Risk_Profiles!$E:$E,MATCH(B1063,Raw_Risk_Profiles!$A:$A,0)),"Unknown")</f>
        <v/>
      </c>
      <c r="L1063" s="4">
        <f>IFERROR(XLOOKUP(A1063,Raw_Alerts!$B:$B,Raw_Alerts!$A:$A),"No Alert")</f>
        <v/>
      </c>
      <c r="M1063" s="4">
        <f>IFERROR(XLOOKUP(A1063,Raw_Alerts!$B:$B,Raw_Alerts!$C:$C),"")</f>
        <v/>
      </c>
      <c r="N1063" s="4">
        <f>IFERROR(XLOOKUP(A1063,Raw_Alerts!$B:$B,Raw_Alerts!$D:$D),"")</f>
        <v/>
      </c>
      <c r="O1063" s="4">
        <f>IFERROR(XLOOKUP(A1063,Raw_Alerts!$B:$B,Raw_Alerts!$F:$F),"")</f>
        <v/>
      </c>
      <c r="P1063" s="4">
        <f>IF(H1063="Not Found","CRITICAL: No Risk Profile",IF(I1063="Missing","WARN: Missing KYC",IF(I1063="Expired","WARN: KYC Expired",IF(I1063="Pending","INFO: KYC Pending","OK"))))</f>
        <v/>
      </c>
    </row>
    <row r="1064">
      <c r="A1064" s="2">
        <f>Raw_Transactions!A1064</f>
        <v/>
      </c>
      <c r="B1064" s="2">
        <f>Raw_Transactions!B1064</f>
        <v/>
      </c>
      <c r="C1064" s="2">
        <f>Raw_Transactions!C1064</f>
        <v/>
      </c>
      <c r="D1064" s="3">
        <f>Raw_Transactions!D1064</f>
        <v/>
      </c>
      <c r="E1064" s="2">
        <f>Raw_Transactions!E1064</f>
        <v/>
      </c>
      <c r="F1064" s="2">
        <f>Raw_Transactions!F1064</f>
        <v/>
      </c>
      <c r="G1064" s="2">
        <f>Raw_Transactions!G1064</f>
        <v/>
      </c>
      <c r="H1064" s="2">
        <f>XLOOKUP(B1064,Raw_Risk_Profiles!$A:$A,Raw_Risk_Profiles!$B:$B,"Not Found")</f>
        <v/>
      </c>
      <c r="I1064" s="2">
        <f>XLOOKUP(B1064,Raw_Risk_Profiles!$A:$A,Raw_Risk_Profiles!$C:$C,"Missing")</f>
        <v/>
      </c>
      <c r="J1064" s="2">
        <f>XLOOKUP(B1064,Raw_Risk_Profiles!$A:$A,Raw_Risk_Profiles!$D:$D,"")</f>
        <v/>
      </c>
      <c r="K1064" s="2">
        <f>IFERROR(INDEX(Raw_Risk_Profiles!$E:$E,MATCH(B1064,Raw_Risk_Profiles!$A:$A,0)),"Unknown")</f>
        <v/>
      </c>
      <c r="L1064" s="2">
        <f>IFERROR(XLOOKUP(A1064,Raw_Alerts!$B:$B,Raw_Alerts!$A:$A),"No Alert")</f>
        <v/>
      </c>
      <c r="M1064" s="2">
        <f>IFERROR(XLOOKUP(A1064,Raw_Alerts!$B:$B,Raw_Alerts!$C:$C),"")</f>
        <v/>
      </c>
      <c r="N1064" s="2">
        <f>IFERROR(XLOOKUP(A1064,Raw_Alerts!$B:$B,Raw_Alerts!$D:$D),"")</f>
        <v/>
      </c>
      <c r="O1064" s="2">
        <f>IFERROR(XLOOKUP(A1064,Raw_Alerts!$B:$B,Raw_Alerts!$F:$F),"")</f>
        <v/>
      </c>
      <c r="P1064" s="2">
        <f>IF(H1064="Not Found","CRITICAL: No Risk Profile",IF(I1064="Missing","WARN: Missing KYC",IF(I1064="Expired","WARN: KYC Expired",IF(I1064="Pending","INFO: KYC Pending","OK"))))</f>
        <v/>
      </c>
    </row>
    <row r="1065">
      <c r="A1065" s="4">
        <f>Raw_Transactions!A1065</f>
        <v/>
      </c>
      <c r="B1065" s="4">
        <f>Raw_Transactions!B1065</f>
        <v/>
      </c>
      <c r="C1065" s="4">
        <f>Raw_Transactions!C1065</f>
        <v/>
      </c>
      <c r="D1065" s="5">
        <f>Raw_Transactions!D1065</f>
        <v/>
      </c>
      <c r="E1065" s="4">
        <f>Raw_Transactions!E1065</f>
        <v/>
      </c>
      <c r="F1065" s="4">
        <f>Raw_Transactions!F1065</f>
        <v/>
      </c>
      <c r="G1065" s="4">
        <f>Raw_Transactions!G1065</f>
        <v/>
      </c>
      <c r="H1065" s="4">
        <f>XLOOKUP(B1065,Raw_Risk_Profiles!$A:$A,Raw_Risk_Profiles!$B:$B,"Not Found")</f>
        <v/>
      </c>
      <c r="I1065" s="4">
        <f>XLOOKUP(B1065,Raw_Risk_Profiles!$A:$A,Raw_Risk_Profiles!$C:$C,"Missing")</f>
        <v/>
      </c>
      <c r="J1065" s="4">
        <f>XLOOKUP(B1065,Raw_Risk_Profiles!$A:$A,Raw_Risk_Profiles!$D:$D,"")</f>
        <v/>
      </c>
      <c r="K1065" s="4">
        <f>IFERROR(INDEX(Raw_Risk_Profiles!$E:$E,MATCH(B1065,Raw_Risk_Profiles!$A:$A,0)),"Unknown")</f>
        <v/>
      </c>
      <c r="L1065" s="4">
        <f>IFERROR(XLOOKUP(A1065,Raw_Alerts!$B:$B,Raw_Alerts!$A:$A),"No Alert")</f>
        <v/>
      </c>
      <c r="M1065" s="4">
        <f>IFERROR(XLOOKUP(A1065,Raw_Alerts!$B:$B,Raw_Alerts!$C:$C),"")</f>
        <v/>
      </c>
      <c r="N1065" s="4">
        <f>IFERROR(XLOOKUP(A1065,Raw_Alerts!$B:$B,Raw_Alerts!$D:$D),"")</f>
        <v/>
      </c>
      <c r="O1065" s="4">
        <f>IFERROR(XLOOKUP(A1065,Raw_Alerts!$B:$B,Raw_Alerts!$F:$F),"")</f>
        <v/>
      </c>
      <c r="P1065" s="4">
        <f>IF(H1065="Not Found","CRITICAL: No Risk Profile",IF(I1065="Missing","WARN: Missing KYC",IF(I1065="Expired","WARN: KYC Expired",IF(I1065="Pending","INFO: KYC Pending","OK"))))</f>
        <v/>
      </c>
    </row>
    <row r="1066">
      <c r="A1066" s="2">
        <f>Raw_Transactions!A1066</f>
        <v/>
      </c>
      <c r="B1066" s="2">
        <f>Raw_Transactions!B1066</f>
        <v/>
      </c>
      <c r="C1066" s="2">
        <f>Raw_Transactions!C1066</f>
        <v/>
      </c>
      <c r="D1066" s="3">
        <f>Raw_Transactions!D1066</f>
        <v/>
      </c>
      <c r="E1066" s="2">
        <f>Raw_Transactions!E1066</f>
        <v/>
      </c>
      <c r="F1066" s="2">
        <f>Raw_Transactions!F1066</f>
        <v/>
      </c>
      <c r="G1066" s="2">
        <f>Raw_Transactions!G1066</f>
        <v/>
      </c>
      <c r="H1066" s="2">
        <f>XLOOKUP(B1066,Raw_Risk_Profiles!$A:$A,Raw_Risk_Profiles!$B:$B,"Not Found")</f>
        <v/>
      </c>
      <c r="I1066" s="2">
        <f>XLOOKUP(B1066,Raw_Risk_Profiles!$A:$A,Raw_Risk_Profiles!$C:$C,"Missing")</f>
        <v/>
      </c>
      <c r="J1066" s="2">
        <f>XLOOKUP(B1066,Raw_Risk_Profiles!$A:$A,Raw_Risk_Profiles!$D:$D,"")</f>
        <v/>
      </c>
      <c r="K1066" s="2">
        <f>IFERROR(INDEX(Raw_Risk_Profiles!$E:$E,MATCH(B1066,Raw_Risk_Profiles!$A:$A,0)),"Unknown")</f>
        <v/>
      </c>
      <c r="L1066" s="2">
        <f>IFERROR(XLOOKUP(A1066,Raw_Alerts!$B:$B,Raw_Alerts!$A:$A),"No Alert")</f>
        <v/>
      </c>
      <c r="M1066" s="2">
        <f>IFERROR(XLOOKUP(A1066,Raw_Alerts!$B:$B,Raw_Alerts!$C:$C),"")</f>
        <v/>
      </c>
      <c r="N1066" s="2">
        <f>IFERROR(XLOOKUP(A1066,Raw_Alerts!$B:$B,Raw_Alerts!$D:$D),"")</f>
        <v/>
      </c>
      <c r="O1066" s="2">
        <f>IFERROR(XLOOKUP(A1066,Raw_Alerts!$B:$B,Raw_Alerts!$F:$F),"")</f>
        <v/>
      </c>
      <c r="P1066" s="2">
        <f>IF(H1066="Not Found","CRITICAL: No Risk Profile",IF(I1066="Missing","WARN: Missing KYC",IF(I1066="Expired","WARN: KYC Expired",IF(I1066="Pending","INFO: KYC Pending","OK"))))</f>
        <v/>
      </c>
    </row>
    <row r="1067">
      <c r="A1067" s="4">
        <f>Raw_Transactions!A1067</f>
        <v/>
      </c>
      <c r="B1067" s="4">
        <f>Raw_Transactions!B1067</f>
        <v/>
      </c>
      <c r="C1067" s="4">
        <f>Raw_Transactions!C1067</f>
        <v/>
      </c>
      <c r="D1067" s="5">
        <f>Raw_Transactions!D1067</f>
        <v/>
      </c>
      <c r="E1067" s="4">
        <f>Raw_Transactions!E1067</f>
        <v/>
      </c>
      <c r="F1067" s="4">
        <f>Raw_Transactions!F1067</f>
        <v/>
      </c>
      <c r="G1067" s="4">
        <f>Raw_Transactions!G1067</f>
        <v/>
      </c>
      <c r="H1067" s="4">
        <f>XLOOKUP(B1067,Raw_Risk_Profiles!$A:$A,Raw_Risk_Profiles!$B:$B,"Not Found")</f>
        <v/>
      </c>
      <c r="I1067" s="4">
        <f>XLOOKUP(B1067,Raw_Risk_Profiles!$A:$A,Raw_Risk_Profiles!$C:$C,"Missing")</f>
        <v/>
      </c>
      <c r="J1067" s="4">
        <f>XLOOKUP(B1067,Raw_Risk_Profiles!$A:$A,Raw_Risk_Profiles!$D:$D,"")</f>
        <v/>
      </c>
      <c r="K1067" s="4">
        <f>IFERROR(INDEX(Raw_Risk_Profiles!$E:$E,MATCH(B1067,Raw_Risk_Profiles!$A:$A,0)),"Unknown")</f>
        <v/>
      </c>
      <c r="L1067" s="4">
        <f>IFERROR(XLOOKUP(A1067,Raw_Alerts!$B:$B,Raw_Alerts!$A:$A),"No Alert")</f>
        <v/>
      </c>
      <c r="M1067" s="4">
        <f>IFERROR(XLOOKUP(A1067,Raw_Alerts!$B:$B,Raw_Alerts!$C:$C),"")</f>
        <v/>
      </c>
      <c r="N1067" s="4">
        <f>IFERROR(XLOOKUP(A1067,Raw_Alerts!$B:$B,Raw_Alerts!$D:$D),"")</f>
        <v/>
      </c>
      <c r="O1067" s="4">
        <f>IFERROR(XLOOKUP(A1067,Raw_Alerts!$B:$B,Raw_Alerts!$F:$F),"")</f>
        <v/>
      </c>
      <c r="P1067" s="4">
        <f>IF(H1067="Not Found","CRITICAL: No Risk Profile",IF(I1067="Missing","WARN: Missing KYC",IF(I1067="Expired","WARN: KYC Expired",IF(I1067="Pending","INFO: KYC Pending","OK"))))</f>
        <v/>
      </c>
    </row>
    <row r="1068">
      <c r="A1068" s="2">
        <f>Raw_Transactions!A1068</f>
        <v/>
      </c>
      <c r="B1068" s="2">
        <f>Raw_Transactions!B1068</f>
        <v/>
      </c>
      <c r="C1068" s="2">
        <f>Raw_Transactions!C1068</f>
        <v/>
      </c>
      <c r="D1068" s="3">
        <f>Raw_Transactions!D1068</f>
        <v/>
      </c>
      <c r="E1068" s="2">
        <f>Raw_Transactions!E1068</f>
        <v/>
      </c>
      <c r="F1068" s="2">
        <f>Raw_Transactions!F1068</f>
        <v/>
      </c>
      <c r="G1068" s="2">
        <f>Raw_Transactions!G1068</f>
        <v/>
      </c>
      <c r="H1068" s="2">
        <f>XLOOKUP(B1068,Raw_Risk_Profiles!$A:$A,Raw_Risk_Profiles!$B:$B,"Not Found")</f>
        <v/>
      </c>
      <c r="I1068" s="2">
        <f>XLOOKUP(B1068,Raw_Risk_Profiles!$A:$A,Raw_Risk_Profiles!$C:$C,"Missing")</f>
        <v/>
      </c>
      <c r="J1068" s="2">
        <f>XLOOKUP(B1068,Raw_Risk_Profiles!$A:$A,Raw_Risk_Profiles!$D:$D,"")</f>
        <v/>
      </c>
      <c r="K1068" s="2">
        <f>IFERROR(INDEX(Raw_Risk_Profiles!$E:$E,MATCH(B1068,Raw_Risk_Profiles!$A:$A,0)),"Unknown")</f>
        <v/>
      </c>
      <c r="L1068" s="2">
        <f>IFERROR(XLOOKUP(A1068,Raw_Alerts!$B:$B,Raw_Alerts!$A:$A),"No Alert")</f>
        <v/>
      </c>
      <c r="M1068" s="2">
        <f>IFERROR(XLOOKUP(A1068,Raw_Alerts!$B:$B,Raw_Alerts!$C:$C),"")</f>
        <v/>
      </c>
      <c r="N1068" s="2">
        <f>IFERROR(XLOOKUP(A1068,Raw_Alerts!$B:$B,Raw_Alerts!$D:$D),"")</f>
        <v/>
      </c>
      <c r="O1068" s="2">
        <f>IFERROR(XLOOKUP(A1068,Raw_Alerts!$B:$B,Raw_Alerts!$F:$F),"")</f>
        <v/>
      </c>
      <c r="P1068" s="2">
        <f>IF(H1068="Not Found","CRITICAL: No Risk Profile",IF(I1068="Missing","WARN: Missing KYC",IF(I1068="Expired","WARN: KYC Expired",IF(I1068="Pending","INFO: KYC Pending","OK"))))</f>
        <v/>
      </c>
    </row>
    <row r="1069">
      <c r="A1069" s="4">
        <f>Raw_Transactions!A1069</f>
        <v/>
      </c>
      <c r="B1069" s="4">
        <f>Raw_Transactions!B1069</f>
        <v/>
      </c>
      <c r="C1069" s="4">
        <f>Raw_Transactions!C1069</f>
        <v/>
      </c>
      <c r="D1069" s="5">
        <f>Raw_Transactions!D1069</f>
        <v/>
      </c>
      <c r="E1069" s="4">
        <f>Raw_Transactions!E1069</f>
        <v/>
      </c>
      <c r="F1069" s="4">
        <f>Raw_Transactions!F1069</f>
        <v/>
      </c>
      <c r="G1069" s="4">
        <f>Raw_Transactions!G1069</f>
        <v/>
      </c>
      <c r="H1069" s="4">
        <f>XLOOKUP(B1069,Raw_Risk_Profiles!$A:$A,Raw_Risk_Profiles!$B:$B,"Not Found")</f>
        <v/>
      </c>
      <c r="I1069" s="4">
        <f>XLOOKUP(B1069,Raw_Risk_Profiles!$A:$A,Raw_Risk_Profiles!$C:$C,"Missing")</f>
        <v/>
      </c>
      <c r="J1069" s="4">
        <f>XLOOKUP(B1069,Raw_Risk_Profiles!$A:$A,Raw_Risk_Profiles!$D:$D,"")</f>
        <v/>
      </c>
      <c r="K1069" s="4">
        <f>IFERROR(INDEX(Raw_Risk_Profiles!$E:$E,MATCH(B1069,Raw_Risk_Profiles!$A:$A,0)),"Unknown")</f>
        <v/>
      </c>
      <c r="L1069" s="4">
        <f>IFERROR(XLOOKUP(A1069,Raw_Alerts!$B:$B,Raw_Alerts!$A:$A),"No Alert")</f>
        <v/>
      </c>
      <c r="M1069" s="4">
        <f>IFERROR(XLOOKUP(A1069,Raw_Alerts!$B:$B,Raw_Alerts!$C:$C),"")</f>
        <v/>
      </c>
      <c r="N1069" s="4">
        <f>IFERROR(XLOOKUP(A1069,Raw_Alerts!$B:$B,Raw_Alerts!$D:$D),"")</f>
        <v/>
      </c>
      <c r="O1069" s="4">
        <f>IFERROR(XLOOKUP(A1069,Raw_Alerts!$B:$B,Raw_Alerts!$F:$F),"")</f>
        <v/>
      </c>
      <c r="P1069" s="4">
        <f>IF(H1069="Not Found","CRITICAL: No Risk Profile",IF(I1069="Missing","WARN: Missing KYC",IF(I1069="Expired","WARN: KYC Expired",IF(I1069="Pending","INFO: KYC Pending","OK"))))</f>
        <v/>
      </c>
    </row>
    <row r="1070">
      <c r="A1070" s="2">
        <f>Raw_Transactions!A1070</f>
        <v/>
      </c>
      <c r="B1070" s="2">
        <f>Raw_Transactions!B1070</f>
        <v/>
      </c>
      <c r="C1070" s="2">
        <f>Raw_Transactions!C1070</f>
        <v/>
      </c>
      <c r="D1070" s="3">
        <f>Raw_Transactions!D1070</f>
        <v/>
      </c>
      <c r="E1070" s="2">
        <f>Raw_Transactions!E1070</f>
        <v/>
      </c>
      <c r="F1070" s="2">
        <f>Raw_Transactions!F1070</f>
        <v/>
      </c>
      <c r="G1070" s="2">
        <f>Raw_Transactions!G1070</f>
        <v/>
      </c>
      <c r="H1070" s="2">
        <f>XLOOKUP(B1070,Raw_Risk_Profiles!$A:$A,Raw_Risk_Profiles!$B:$B,"Not Found")</f>
        <v/>
      </c>
      <c r="I1070" s="2">
        <f>XLOOKUP(B1070,Raw_Risk_Profiles!$A:$A,Raw_Risk_Profiles!$C:$C,"Missing")</f>
        <v/>
      </c>
      <c r="J1070" s="2">
        <f>XLOOKUP(B1070,Raw_Risk_Profiles!$A:$A,Raw_Risk_Profiles!$D:$D,"")</f>
        <v/>
      </c>
      <c r="K1070" s="2">
        <f>IFERROR(INDEX(Raw_Risk_Profiles!$E:$E,MATCH(B1070,Raw_Risk_Profiles!$A:$A,0)),"Unknown")</f>
        <v/>
      </c>
      <c r="L1070" s="2">
        <f>IFERROR(XLOOKUP(A1070,Raw_Alerts!$B:$B,Raw_Alerts!$A:$A),"No Alert")</f>
        <v/>
      </c>
      <c r="M1070" s="2">
        <f>IFERROR(XLOOKUP(A1070,Raw_Alerts!$B:$B,Raw_Alerts!$C:$C),"")</f>
        <v/>
      </c>
      <c r="N1070" s="2">
        <f>IFERROR(XLOOKUP(A1070,Raw_Alerts!$B:$B,Raw_Alerts!$D:$D),"")</f>
        <v/>
      </c>
      <c r="O1070" s="2">
        <f>IFERROR(XLOOKUP(A1070,Raw_Alerts!$B:$B,Raw_Alerts!$F:$F),"")</f>
        <v/>
      </c>
      <c r="P1070" s="2">
        <f>IF(H1070="Not Found","CRITICAL: No Risk Profile",IF(I1070="Missing","WARN: Missing KYC",IF(I1070="Expired","WARN: KYC Expired",IF(I1070="Pending","INFO: KYC Pending","OK"))))</f>
        <v/>
      </c>
    </row>
    <row r="1071">
      <c r="A1071" s="4">
        <f>Raw_Transactions!A1071</f>
        <v/>
      </c>
      <c r="B1071" s="4">
        <f>Raw_Transactions!B1071</f>
        <v/>
      </c>
      <c r="C1071" s="4">
        <f>Raw_Transactions!C1071</f>
        <v/>
      </c>
      <c r="D1071" s="5">
        <f>Raw_Transactions!D1071</f>
        <v/>
      </c>
      <c r="E1071" s="4">
        <f>Raw_Transactions!E1071</f>
        <v/>
      </c>
      <c r="F1071" s="4">
        <f>Raw_Transactions!F1071</f>
        <v/>
      </c>
      <c r="G1071" s="4">
        <f>Raw_Transactions!G1071</f>
        <v/>
      </c>
      <c r="H1071" s="4">
        <f>XLOOKUP(B1071,Raw_Risk_Profiles!$A:$A,Raw_Risk_Profiles!$B:$B,"Not Found")</f>
        <v/>
      </c>
      <c r="I1071" s="4">
        <f>XLOOKUP(B1071,Raw_Risk_Profiles!$A:$A,Raw_Risk_Profiles!$C:$C,"Missing")</f>
        <v/>
      </c>
      <c r="J1071" s="4">
        <f>XLOOKUP(B1071,Raw_Risk_Profiles!$A:$A,Raw_Risk_Profiles!$D:$D,"")</f>
        <v/>
      </c>
      <c r="K1071" s="4">
        <f>IFERROR(INDEX(Raw_Risk_Profiles!$E:$E,MATCH(B1071,Raw_Risk_Profiles!$A:$A,0)),"Unknown")</f>
        <v/>
      </c>
      <c r="L1071" s="4">
        <f>IFERROR(XLOOKUP(A1071,Raw_Alerts!$B:$B,Raw_Alerts!$A:$A),"No Alert")</f>
        <v/>
      </c>
      <c r="M1071" s="4">
        <f>IFERROR(XLOOKUP(A1071,Raw_Alerts!$B:$B,Raw_Alerts!$C:$C),"")</f>
        <v/>
      </c>
      <c r="N1071" s="4">
        <f>IFERROR(XLOOKUP(A1071,Raw_Alerts!$B:$B,Raw_Alerts!$D:$D),"")</f>
        <v/>
      </c>
      <c r="O1071" s="4">
        <f>IFERROR(XLOOKUP(A1071,Raw_Alerts!$B:$B,Raw_Alerts!$F:$F),"")</f>
        <v/>
      </c>
      <c r="P1071" s="4">
        <f>IF(H1071="Not Found","CRITICAL: No Risk Profile",IF(I1071="Missing","WARN: Missing KYC",IF(I1071="Expired","WARN: KYC Expired",IF(I1071="Pending","INFO: KYC Pending","OK"))))</f>
        <v/>
      </c>
    </row>
    <row r="1072">
      <c r="A1072" s="2">
        <f>Raw_Transactions!A1072</f>
        <v/>
      </c>
      <c r="B1072" s="2">
        <f>Raw_Transactions!B1072</f>
        <v/>
      </c>
      <c r="C1072" s="2">
        <f>Raw_Transactions!C1072</f>
        <v/>
      </c>
      <c r="D1072" s="3">
        <f>Raw_Transactions!D1072</f>
        <v/>
      </c>
      <c r="E1072" s="2">
        <f>Raw_Transactions!E1072</f>
        <v/>
      </c>
      <c r="F1072" s="2">
        <f>Raw_Transactions!F1072</f>
        <v/>
      </c>
      <c r="G1072" s="2">
        <f>Raw_Transactions!G1072</f>
        <v/>
      </c>
      <c r="H1072" s="2">
        <f>XLOOKUP(B1072,Raw_Risk_Profiles!$A:$A,Raw_Risk_Profiles!$B:$B,"Not Found")</f>
        <v/>
      </c>
      <c r="I1072" s="2">
        <f>XLOOKUP(B1072,Raw_Risk_Profiles!$A:$A,Raw_Risk_Profiles!$C:$C,"Missing")</f>
        <v/>
      </c>
      <c r="J1072" s="2">
        <f>XLOOKUP(B1072,Raw_Risk_Profiles!$A:$A,Raw_Risk_Profiles!$D:$D,"")</f>
        <v/>
      </c>
      <c r="K1072" s="2">
        <f>IFERROR(INDEX(Raw_Risk_Profiles!$E:$E,MATCH(B1072,Raw_Risk_Profiles!$A:$A,0)),"Unknown")</f>
        <v/>
      </c>
      <c r="L1072" s="2">
        <f>IFERROR(XLOOKUP(A1072,Raw_Alerts!$B:$B,Raw_Alerts!$A:$A),"No Alert")</f>
        <v/>
      </c>
      <c r="M1072" s="2">
        <f>IFERROR(XLOOKUP(A1072,Raw_Alerts!$B:$B,Raw_Alerts!$C:$C),"")</f>
        <v/>
      </c>
      <c r="N1072" s="2">
        <f>IFERROR(XLOOKUP(A1072,Raw_Alerts!$B:$B,Raw_Alerts!$D:$D),"")</f>
        <v/>
      </c>
      <c r="O1072" s="2">
        <f>IFERROR(XLOOKUP(A1072,Raw_Alerts!$B:$B,Raw_Alerts!$F:$F),"")</f>
        <v/>
      </c>
      <c r="P1072" s="2">
        <f>IF(H1072="Not Found","CRITICAL: No Risk Profile",IF(I1072="Missing","WARN: Missing KYC",IF(I1072="Expired","WARN: KYC Expired",IF(I1072="Pending","INFO: KYC Pending","OK"))))</f>
        <v/>
      </c>
    </row>
    <row r="1073">
      <c r="A1073" s="4">
        <f>Raw_Transactions!A1073</f>
        <v/>
      </c>
      <c r="B1073" s="4">
        <f>Raw_Transactions!B1073</f>
        <v/>
      </c>
      <c r="C1073" s="4">
        <f>Raw_Transactions!C1073</f>
        <v/>
      </c>
      <c r="D1073" s="5">
        <f>Raw_Transactions!D1073</f>
        <v/>
      </c>
      <c r="E1073" s="4">
        <f>Raw_Transactions!E1073</f>
        <v/>
      </c>
      <c r="F1073" s="4">
        <f>Raw_Transactions!F1073</f>
        <v/>
      </c>
      <c r="G1073" s="4">
        <f>Raw_Transactions!G1073</f>
        <v/>
      </c>
      <c r="H1073" s="4">
        <f>XLOOKUP(B1073,Raw_Risk_Profiles!$A:$A,Raw_Risk_Profiles!$B:$B,"Not Found")</f>
        <v/>
      </c>
      <c r="I1073" s="4">
        <f>XLOOKUP(B1073,Raw_Risk_Profiles!$A:$A,Raw_Risk_Profiles!$C:$C,"Missing")</f>
        <v/>
      </c>
      <c r="J1073" s="4">
        <f>XLOOKUP(B1073,Raw_Risk_Profiles!$A:$A,Raw_Risk_Profiles!$D:$D,"")</f>
        <v/>
      </c>
      <c r="K1073" s="4">
        <f>IFERROR(INDEX(Raw_Risk_Profiles!$E:$E,MATCH(B1073,Raw_Risk_Profiles!$A:$A,0)),"Unknown")</f>
        <v/>
      </c>
      <c r="L1073" s="4">
        <f>IFERROR(XLOOKUP(A1073,Raw_Alerts!$B:$B,Raw_Alerts!$A:$A),"No Alert")</f>
        <v/>
      </c>
      <c r="M1073" s="4">
        <f>IFERROR(XLOOKUP(A1073,Raw_Alerts!$B:$B,Raw_Alerts!$C:$C),"")</f>
        <v/>
      </c>
      <c r="N1073" s="4">
        <f>IFERROR(XLOOKUP(A1073,Raw_Alerts!$B:$B,Raw_Alerts!$D:$D),"")</f>
        <v/>
      </c>
      <c r="O1073" s="4">
        <f>IFERROR(XLOOKUP(A1073,Raw_Alerts!$B:$B,Raw_Alerts!$F:$F),"")</f>
        <v/>
      </c>
      <c r="P1073" s="4">
        <f>IF(H1073="Not Found","CRITICAL: No Risk Profile",IF(I1073="Missing","WARN: Missing KYC",IF(I1073="Expired","WARN: KYC Expired",IF(I1073="Pending","INFO: KYC Pending","OK"))))</f>
        <v/>
      </c>
    </row>
    <row r="1074">
      <c r="A1074" s="2">
        <f>Raw_Transactions!A1074</f>
        <v/>
      </c>
      <c r="B1074" s="2">
        <f>Raw_Transactions!B1074</f>
        <v/>
      </c>
      <c r="C1074" s="2">
        <f>Raw_Transactions!C1074</f>
        <v/>
      </c>
      <c r="D1074" s="3">
        <f>Raw_Transactions!D1074</f>
        <v/>
      </c>
      <c r="E1074" s="2">
        <f>Raw_Transactions!E1074</f>
        <v/>
      </c>
      <c r="F1074" s="2">
        <f>Raw_Transactions!F1074</f>
        <v/>
      </c>
      <c r="G1074" s="2">
        <f>Raw_Transactions!G1074</f>
        <v/>
      </c>
      <c r="H1074" s="2">
        <f>XLOOKUP(B1074,Raw_Risk_Profiles!$A:$A,Raw_Risk_Profiles!$B:$B,"Not Found")</f>
        <v/>
      </c>
      <c r="I1074" s="2">
        <f>XLOOKUP(B1074,Raw_Risk_Profiles!$A:$A,Raw_Risk_Profiles!$C:$C,"Missing")</f>
        <v/>
      </c>
      <c r="J1074" s="2">
        <f>XLOOKUP(B1074,Raw_Risk_Profiles!$A:$A,Raw_Risk_Profiles!$D:$D,"")</f>
        <v/>
      </c>
      <c r="K1074" s="2">
        <f>IFERROR(INDEX(Raw_Risk_Profiles!$E:$E,MATCH(B1074,Raw_Risk_Profiles!$A:$A,0)),"Unknown")</f>
        <v/>
      </c>
      <c r="L1074" s="2">
        <f>IFERROR(XLOOKUP(A1074,Raw_Alerts!$B:$B,Raw_Alerts!$A:$A),"No Alert")</f>
        <v/>
      </c>
      <c r="M1074" s="2">
        <f>IFERROR(XLOOKUP(A1074,Raw_Alerts!$B:$B,Raw_Alerts!$C:$C),"")</f>
        <v/>
      </c>
      <c r="N1074" s="2">
        <f>IFERROR(XLOOKUP(A1074,Raw_Alerts!$B:$B,Raw_Alerts!$D:$D),"")</f>
        <v/>
      </c>
      <c r="O1074" s="2">
        <f>IFERROR(XLOOKUP(A1074,Raw_Alerts!$B:$B,Raw_Alerts!$F:$F),"")</f>
        <v/>
      </c>
      <c r="P1074" s="2">
        <f>IF(H1074="Not Found","CRITICAL: No Risk Profile",IF(I1074="Missing","WARN: Missing KYC",IF(I1074="Expired","WARN: KYC Expired",IF(I1074="Pending","INFO: KYC Pending","OK"))))</f>
        <v/>
      </c>
    </row>
    <row r="1075">
      <c r="A1075" s="4">
        <f>Raw_Transactions!A1075</f>
        <v/>
      </c>
      <c r="B1075" s="4">
        <f>Raw_Transactions!B1075</f>
        <v/>
      </c>
      <c r="C1075" s="4">
        <f>Raw_Transactions!C1075</f>
        <v/>
      </c>
      <c r="D1075" s="5">
        <f>Raw_Transactions!D1075</f>
        <v/>
      </c>
      <c r="E1075" s="4">
        <f>Raw_Transactions!E1075</f>
        <v/>
      </c>
      <c r="F1075" s="4">
        <f>Raw_Transactions!F1075</f>
        <v/>
      </c>
      <c r="G1075" s="4">
        <f>Raw_Transactions!G1075</f>
        <v/>
      </c>
      <c r="H1075" s="4">
        <f>XLOOKUP(B1075,Raw_Risk_Profiles!$A:$A,Raw_Risk_Profiles!$B:$B,"Not Found")</f>
        <v/>
      </c>
      <c r="I1075" s="4">
        <f>XLOOKUP(B1075,Raw_Risk_Profiles!$A:$A,Raw_Risk_Profiles!$C:$C,"Missing")</f>
        <v/>
      </c>
      <c r="J1075" s="4">
        <f>XLOOKUP(B1075,Raw_Risk_Profiles!$A:$A,Raw_Risk_Profiles!$D:$D,"")</f>
        <v/>
      </c>
      <c r="K1075" s="4">
        <f>IFERROR(INDEX(Raw_Risk_Profiles!$E:$E,MATCH(B1075,Raw_Risk_Profiles!$A:$A,0)),"Unknown")</f>
        <v/>
      </c>
      <c r="L1075" s="4">
        <f>IFERROR(XLOOKUP(A1075,Raw_Alerts!$B:$B,Raw_Alerts!$A:$A),"No Alert")</f>
        <v/>
      </c>
      <c r="M1075" s="4">
        <f>IFERROR(XLOOKUP(A1075,Raw_Alerts!$B:$B,Raw_Alerts!$C:$C),"")</f>
        <v/>
      </c>
      <c r="N1075" s="4">
        <f>IFERROR(XLOOKUP(A1075,Raw_Alerts!$B:$B,Raw_Alerts!$D:$D),"")</f>
        <v/>
      </c>
      <c r="O1075" s="4">
        <f>IFERROR(XLOOKUP(A1075,Raw_Alerts!$B:$B,Raw_Alerts!$F:$F),"")</f>
        <v/>
      </c>
      <c r="P1075" s="4">
        <f>IF(H1075="Not Found","CRITICAL: No Risk Profile",IF(I1075="Missing","WARN: Missing KYC",IF(I1075="Expired","WARN: KYC Expired",IF(I1075="Pending","INFO: KYC Pending","OK"))))</f>
        <v/>
      </c>
    </row>
    <row r="1076">
      <c r="A1076" s="2">
        <f>Raw_Transactions!A1076</f>
        <v/>
      </c>
      <c r="B1076" s="2">
        <f>Raw_Transactions!B1076</f>
        <v/>
      </c>
      <c r="C1076" s="2">
        <f>Raw_Transactions!C1076</f>
        <v/>
      </c>
      <c r="D1076" s="3">
        <f>Raw_Transactions!D1076</f>
        <v/>
      </c>
      <c r="E1076" s="2">
        <f>Raw_Transactions!E1076</f>
        <v/>
      </c>
      <c r="F1076" s="2">
        <f>Raw_Transactions!F1076</f>
        <v/>
      </c>
      <c r="G1076" s="2">
        <f>Raw_Transactions!G1076</f>
        <v/>
      </c>
      <c r="H1076" s="2">
        <f>XLOOKUP(B1076,Raw_Risk_Profiles!$A:$A,Raw_Risk_Profiles!$B:$B,"Not Found")</f>
        <v/>
      </c>
      <c r="I1076" s="2">
        <f>XLOOKUP(B1076,Raw_Risk_Profiles!$A:$A,Raw_Risk_Profiles!$C:$C,"Missing")</f>
        <v/>
      </c>
      <c r="J1076" s="2">
        <f>XLOOKUP(B1076,Raw_Risk_Profiles!$A:$A,Raw_Risk_Profiles!$D:$D,"")</f>
        <v/>
      </c>
      <c r="K1076" s="2">
        <f>IFERROR(INDEX(Raw_Risk_Profiles!$E:$E,MATCH(B1076,Raw_Risk_Profiles!$A:$A,0)),"Unknown")</f>
        <v/>
      </c>
      <c r="L1076" s="2">
        <f>IFERROR(XLOOKUP(A1076,Raw_Alerts!$B:$B,Raw_Alerts!$A:$A),"No Alert")</f>
        <v/>
      </c>
      <c r="M1076" s="2">
        <f>IFERROR(XLOOKUP(A1076,Raw_Alerts!$B:$B,Raw_Alerts!$C:$C),"")</f>
        <v/>
      </c>
      <c r="N1076" s="2">
        <f>IFERROR(XLOOKUP(A1076,Raw_Alerts!$B:$B,Raw_Alerts!$D:$D),"")</f>
        <v/>
      </c>
      <c r="O1076" s="2">
        <f>IFERROR(XLOOKUP(A1076,Raw_Alerts!$B:$B,Raw_Alerts!$F:$F),"")</f>
        <v/>
      </c>
      <c r="P1076" s="2">
        <f>IF(H1076="Not Found","CRITICAL: No Risk Profile",IF(I1076="Missing","WARN: Missing KYC",IF(I1076="Expired","WARN: KYC Expired",IF(I1076="Pending","INFO: KYC Pending","OK"))))</f>
        <v/>
      </c>
    </row>
    <row r="1077">
      <c r="A1077" s="4">
        <f>Raw_Transactions!A1077</f>
        <v/>
      </c>
      <c r="B1077" s="4">
        <f>Raw_Transactions!B1077</f>
        <v/>
      </c>
      <c r="C1077" s="4">
        <f>Raw_Transactions!C1077</f>
        <v/>
      </c>
      <c r="D1077" s="5">
        <f>Raw_Transactions!D1077</f>
        <v/>
      </c>
      <c r="E1077" s="4">
        <f>Raw_Transactions!E1077</f>
        <v/>
      </c>
      <c r="F1077" s="4">
        <f>Raw_Transactions!F1077</f>
        <v/>
      </c>
      <c r="G1077" s="4">
        <f>Raw_Transactions!G1077</f>
        <v/>
      </c>
      <c r="H1077" s="4">
        <f>XLOOKUP(B1077,Raw_Risk_Profiles!$A:$A,Raw_Risk_Profiles!$B:$B,"Not Found")</f>
        <v/>
      </c>
      <c r="I1077" s="4">
        <f>XLOOKUP(B1077,Raw_Risk_Profiles!$A:$A,Raw_Risk_Profiles!$C:$C,"Missing")</f>
        <v/>
      </c>
      <c r="J1077" s="4">
        <f>XLOOKUP(B1077,Raw_Risk_Profiles!$A:$A,Raw_Risk_Profiles!$D:$D,"")</f>
        <v/>
      </c>
      <c r="K1077" s="4">
        <f>IFERROR(INDEX(Raw_Risk_Profiles!$E:$E,MATCH(B1077,Raw_Risk_Profiles!$A:$A,0)),"Unknown")</f>
        <v/>
      </c>
      <c r="L1077" s="4">
        <f>IFERROR(XLOOKUP(A1077,Raw_Alerts!$B:$B,Raw_Alerts!$A:$A),"No Alert")</f>
        <v/>
      </c>
      <c r="M1077" s="4">
        <f>IFERROR(XLOOKUP(A1077,Raw_Alerts!$B:$B,Raw_Alerts!$C:$C),"")</f>
        <v/>
      </c>
      <c r="N1077" s="4">
        <f>IFERROR(XLOOKUP(A1077,Raw_Alerts!$B:$B,Raw_Alerts!$D:$D),"")</f>
        <v/>
      </c>
      <c r="O1077" s="4">
        <f>IFERROR(XLOOKUP(A1077,Raw_Alerts!$B:$B,Raw_Alerts!$F:$F),"")</f>
        <v/>
      </c>
      <c r="P1077" s="4">
        <f>IF(H1077="Not Found","CRITICAL: No Risk Profile",IF(I1077="Missing","WARN: Missing KYC",IF(I1077="Expired","WARN: KYC Expired",IF(I1077="Pending","INFO: KYC Pending","OK"))))</f>
        <v/>
      </c>
    </row>
    <row r="1078">
      <c r="A1078" s="2">
        <f>Raw_Transactions!A1078</f>
        <v/>
      </c>
      <c r="B1078" s="2">
        <f>Raw_Transactions!B1078</f>
        <v/>
      </c>
      <c r="C1078" s="2">
        <f>Raw_Transactions!C1078</f>
        <v/>
      </c>
      <c r="D1078" s="3">
        <f>Raw_Transactions!D1078</f>
        <v/>
      </c>
      <c r="E1078" s="2">
        <f>Raw_Transactions!E1078</f>
        <v/>
      </c>
      <c r="F1078" s="2">
        <f>Raw_Transactions!F1078</f>
        <v/>
      </c>
      <c r="G1078" s="2">
        <f>Raw_Transactions!G1078</f>
        <v/>
      </c>
      <c r="H1078" s="2">
        <f>XLOOKUP(B1078,Raw_Risk_Profiles!$A:$A,Raw_Risk_Profiles!$B:$B,"Not Found")</f>
        <v/>
      </c>
      <c r="I1078" s="2">
        <f>XLOOKUP(B1078,Raw_Risk_Profiles!$A:$A,Raw_Risk_Profiles!$C:$C,"Missing")</f>
        <v/>
      </c>
      <c r="J1078" s="2">
        <f>XLOOKUP(B1078,Raw_Risk_Profiles!$A:$A,Raw_Risk_Profiles!$D:$D,"")</f>
        <v/>
      </c>
      <c r="K1078" s="2">
        <f>IFERROR(INDEX(Raw_Risk_Profiles!$E:$E,MATCH(B1078,Raw_Risk_Profiles!$A:$A,0)),"Unknown")</f>
        <v/>
      </c>
      <c r="L1078" s="2">
        <f>IFERROR(XLOOKUP(A1078,Raw_Alerts!$B:$B,Raw_Alerts!$A:$A),"No Alert")</f>
        <v/>
      </c>
      <c r="M1078" s="2">
        <f>IFERROR(XLOOKUP(A1078,Raw_Alerts!$B:$B,Raw_Alerts!$C:$C),"")</f>
        <v/>
      </c>
      <c r="N1078" s="2">
        <f>IFERROR(XLOOKUP(A1078,Raw_Alerts!$B:$B,Raw_Alerts!$D:$D),"")</f>
        <v/>
      </c>
      <c r="O1078" s="2">
        <f>IFERROR(XLOOKUP(A1078,Raw_Alerts!$B:$B,Raw_Alerts!$F:$F),"")</f>
        <v/>
      </c>
      <c r="P1078" s="2">
        <f>IF(H1078="Not Found","CRITICAL: No Risk Profile",IF(I1078="Missing","WARN: Missing KYC",IF(I1078="Expired","WARN: KYC Expired",IF(I1078="Pending","INFO: KYC Pending","OK"))))</f>
        <v/>
      </c>
    </row>
    <row r="1079">
      <c r="A1079" s="4">
        <f>Raw_Transactions!A1079</f>
        <v/>
      </c>
      <c r="B1079" s="4">
        <f>Raw_Transactions!B1079</f>
        <v/>
      </c>
      <c r="C1079" s="4">
        <f>Raw_Transactions!C1079</f>
        <v/>
      </c>
      <c r="D1079" s="5">
        <f>Raw_Transactions!D1079</f>
        <v/>
      </c>
      <c r="E1079" s="4">
        <f>Raw_Transactions!E1079</f>
        <v/>
      </c>
      <c r="F1079" s="4">
        <f>Raw_Transactions!F1079</f>
        <v/>
      </c>
      <c r="G1079" s="4">
        <f>Raw_Transactions!G1079</f>
        <v/>
      </c>
      <c r="H1079" s="4">
        <f>XLOOKUP(B1079,Raw_Risk_Profiles!$A:$A,Raw_Risk_Profiles!$B:$B,"Not Found")</f>
        <v/>
      </c>
      <c r="I1079" s="4">
        <f>XLOOKUP(B1079,Raw_Risk_Profiles!$A:$A,Raw_Risk_Profiles!$C:$C,"Missing")</f>
        <v/>
      </c>
      <c r="J1079" s="4">
        <f>XLOOKUP(B1079,Raw_Risk_Profiles!$A:$A,Raw_Risk_Profiles!$D:$D,"")</f>
        <v/>
      </c>
      <c r="K1079" s="4">
        <f>IFERROR(INDEX(Raw_Risk_Profiles!$E:$E,MATCH(B1079,Raw_Risk_Profiles!$A:$A,0)),"Unknown")</f>
        <v/>
      </c>
      <c r="L1079" s="4">
        <f>IFERROR(XLOOKUP(A1079,Raw_Alerts!$B:$B,Raw_Alerts!$A:$A),"No Alert")</f>
        <v/>
      </c>
      <c r="M1079" s="4">
        <f>IFERROR(XLOOKUP(A1079,Raw_Alerts!$B:$B,Raw_Alerts!$C:$C),"")</f>
        <v/>
      </c>
      <c r="N1079" s="4">
        <f>IFERROR(XLOOKUP(A1079,Raw_Alerts!$B:$B,Raw_Alerts!$D:$D),"")</f>
        <v/>
      </c>
      <c r="O1079" s="4">
        <f>IFERROR(XLOOKUP(A1079,Raw_Alerts!$B:$B,Raw_Alerts!$F:$F),"")</f>
        <v/>
      </c>
      <c r="P1079" s="4">
        <f>IF(H1079="Not Found","CRITICAL: No Risk Profile",IF(I1079="Missing","WARN: Missing KYC",IF(I1079="Expired","WARN: KYC Expired",IF(I1079="Pending","INFO: KYC Pending","OK"))))</f>
        <v/>
      </c>
    </row>
    <row r="1080">
      <c r="A1080" s="2">
        <f>Raw_Transactions!A1080</f>
        <v/>
      </c>
      <c r="B1080" s="2">
        <f>Raw_Transactions!B1080</f>
        <v/>
      </c>
      <c r="C1080" s="2">
        <f>Raw_Transactions!C1080</f>
        <v/>
      </c>
      <c r="D1080" s="3">
        <f>Raw_Transactions!D1080</f>
        <v/>
      </c>
      <c r="E1080" s="2">
        <f>Raw_Transactions!E1080</f>
        <v/>
      </c>
      <c r="F1080" s="2">
        <f>Raw_Transactions!F1080</f>
        <v/>
      </c>
      <c r="G1080" s="2">
        <f>Raw_Transactions!G1080</f>
        <v/>
      </c>
      <c r="H1080" s="2">
        <f>XLOOKUP(B1080,Raw_Risk_Profiles!$A:$A,Raw_Risk_Profiles!$B:$B,"Not Found")</f>
        <v/>
      </c>
      <c r="I1080" s="2">
        <f>XLOOKUP(B1080,Raw_Risk_Profiles!$A:$A,Raw_Risk_Profiles!$C:$C,"Missing")</f>
        <v/>
      </c>
      <c r="J1080" s="2">
        <f>XLOOKUP(B1080,Raw_Risk_Profiles!$A:$A,Raw_Risk_Profiles!$D:$D,"")</f>
        <v/>
      </c>
      <c r="K1080" s="2">
        <f>IFERROR(INDEX(Raw_Risk_Profiles!$E:$E,MATCH(B1080,Raw_Risk_Profiles!$A:$A,0)),"Unknown")</f>
        <v/>
      </c>
      <c r="L1080" s="2">
        <f>IFERROR(XLOOKUP(A1080,Raw_Alerts!$B:$B,Raw_Alerts!$A:$A),"No Alert")</f>
        <v/>
      </c>
      <c r="M1080" s="2">
        <f>IFERROR(XLOOKUP(A1080,Raw_Alerts!$B:$B,Raw_Alerts!$C:$C),"")</f>
        <v/>
      </c>
      <c r="N1080" s="2">
        <f>IFERROR(XLOOKUP(A1080,Raw_Alerts!$B:$B,Raw_Alerts!$D:$D),"")</f>
        <v/>
      </c>
      <c r="O1080" s="2">
        <f>IFERROR(XLOOKUP(A1080,Raw_Alerts!$B:$B,Raw_Alerts!$F:$F),"")</f>
        <v/>
      </c>
      <c r="P1080" s="2">
        <f>IF(H1080="Not Found","CRITICAL: No Risk Profile",IF(I1080="Missing","WARN: Missing KYC",IF(I1080="Expired","WARN: KYC Expired",IF(I1080="Pending","INFO: KYC Pending","OK"))))</f>
        <v/>
      </c>
    </row>
    <row r="1081">
      <c r="A1081" s="4">
        <f>Raw_Transactions!A1081</f>
        <v/>
      </c>
      <c r="B1081" s="4">
        <f>Raw_Transactions!B1081</f>
        <v/>
      </c>
      <c r="C1081" s="4">
        <f>Raw_Transactions!C1081</f>
        <v/>
      </c>
      <c r="D1081" s="5">
        <f>Raw_Transactions!D1081</f>
        <v/>
      </c>
      <c r="E1081" s="4">
        <f>Raw_Transactions!E1081</f>
        <v/>
      </c>
      <c r="F1081" s="4">
        <f>Raw_Transactions!F1081</f>
        <v/>
      </c>
      <c r="G1081" s="4">
        <f>Raw_Transactions!G1081</f>
        <v/>
      </c>
      <c r="H1081" s="4">
        <f>XLOOKUP(B1081,Raw_Risk_Profiles!$A:$A,Raw_Risk_Profiles!$B:$B,"Not Found")</f>
        <v/>
      </c>
      <c r="I1081" s="4">
        <f>XLOOKUP(B1081,Raw_Risk_Profiles!$A:$A,Raw_Risk_Profiles!$C:$C,"Missing")</f>
        <v/>
      </c>
      <c r="J1081" s="4">
        <f>XLOOKUP(B1081,Raw_Risk_Profiles!$A:$A,Raw_Risk_Profiles!$D:$D,"")</f>
        <v/>
      </c>
      <c r="K1081" s="4">
        <f>IFERROR(INDEX(Raw_Risk_Profiles!$E:$E,MATCH(B1081,Raw_Risk_Profiles!$A:$A,0)),"Unknown")</f>
        <v/>
      </c>
      <c r="L1081" s="4">
        <f>IFERROR(XLOOKUP(A1081,Raw_Alerts!$B:$B,Raw_Alerts!$A:$A),"No Alert")</f>
        <v/>
      </c>
      <c r="M1081" s="4">
        <f>IFERROR(XLOOKUP(A1081,Raw_Alerts!$B:$B,Raw_Alerts!$C:$C),"")</f>
        <v/>
      </c>
      <c r="N1081" s="4">
        <f>IFERROR(XLOOKUP(A1081,Raw_Alerts!$B:$B,Raw_Alerts!$D:$D),"")</f>
        <v/>
      </c>
      <c r="O1081" s="4">
        <f>IFERROR(XLOOKUP(A1081,Raw_Alerts!$B:$B,Raw_Alerts!$F:$F),"")</f>
        <v/>
      </c>
      <c r="P1081" s="4">
        <f>IF(H1081="Not Found","CRITICAL: No Risk Profile",IF(I1081="Missing","WARN: Missing KYC",IF(I1081="Expired","WARN: KYC Expired",IF(I1081="Pending","INFO: KYC Pending","OK"))))</f>
        <v/>
      </c>
    </row>
    <row r="1082">
      <c r="A1082" s="2">
        <f>Raw_Transactions!A1082</f>
        <v/>
      </c>
      <c r="B1082" s="2">
        <f>Raw_Transactions!B1082</f>
        <v/>
      </c>
      <c r="C1082" s="2">
        <f>Raw_Transactions!C1082</f>
        <v/>
      </c>
      <c r="D1082" s="3">
        <f>Raw_Transactions!D1082</f>
        <v/>
      </c>
      <c r="E1082" s="2">
        <f>Raw_Transactions!E1082</f>
        <v/>
      </c>
      <c r="F1082" s="2">
        <f>Raw_Transactions!F1082</f>
        <v/>
      </c>
      <c r="G1082" s="2">
        <f>Raw_Transactions!G1082</f>
        <v/>
      </c>
      <c r="H1082" s="2">
        <f>XLOOKUP(B1082,Raw_Risk_Profiles!$A:$A,Raw_Risk_Profiles!$B:$B,"Not Found")</f>
        <v/>
      </c>
      <c r="I1082" s="2">
        <f>XLOOKUP(B1082,Raw_Risk_Profiles!$A:$A,Raw_Risk_Profiles!$C:$C,"Missing")</f>
        <v/>
      </c>
      <c r="J1082" s="2">
        <f>XLOOKUP(B1082,Raw_Risk_Profiles!$A:$A,Raw_Risk_Profiles!$D:$D,"")</f>
        <v/>
      </c>
      <c r="K1082" s="2">
        <f>IFERROR(INDEX(Raw_Risk_Profiles!$E:$E,MATCH(B1082,Raw_Risk_Profiles!$A:$A,0)),"Unknown")</f>
        <v/>
      </c>
      <c r="L1082" s="2">
        <f>IFERROR(XLOOKUP(A1082,Raw_Alerts!$B:$B,Raw_Alerts!$A:$A),"No Alert")</f>
        <v/>
      </c>
      <c r="M1082" s="2">
        <f>IFERROR(XLOOKUP(A1082,Raw_Alerts!$B:$B,Raw_Alerts!$C:$C),"")</f>
        <v/>
      </c>
      <c r="N1082" s="2">
        <f>IFERROR(XLOOKUP(A1082,Raw_Alerts!$B:$B,Raw_Alerts!$D:$D),"")</f>
        <v/>
      </c>
      <c r="O1082" s="2">
        <f>IFERROR(XLOOKUP(A1082,Raw_Alerts!$B:$B,Raw_Alerts!$F:$F),"")</f>
        <v/>
      </c>
      <c r="P1082" s="2">
        <f>IF(H1082="Not Found","CRITICAL: No Risk Profile",IF(I1082="Missing","WARN: Missing KYC",IF(I1082="Expired","WARN: KYC Expired",IF(I1082="Pending","INFO: KYC Pending","OK"))))</f>
        <v/>
      </c>
    </row>
    <row r="1083">
      <c r="A1083" s="4">
        <f>Raw_Transactions!A1083</f>
        <v/>
      </c>
      <c r="B1083" s="4">
        <f>Raw_Transactions!B1083</f>
        <v/>
      </c>
      <c r="C1083" s="4">
        <f>Raw_Transactions!C1083</f>
        <v/>
      </c>
      <c r="D1083" s="5">
        <f>Raw_Transactions!D1083</f>
        <v/>
      </c>
      <c r="E1083" s="4">
        <f>Raw_Transactions!E1083</f>
        <v/>
      </c>
      <c r="F1083" s="4">
        <f>Raw_Transactions!F1083</f>
        <v/>
      </c>
      <c r="G1083" s="4">
        <f>Raw_Transactions!G1083</f>
        <v/>
      </c>
      <c r="H1083" s="4">
        <f>XLOOKUP(B1083,Raw_Risk_Profiles!$A:$A,Raw_Risk_Profiles!$B:$B,"Not Found")</f>
        <v/>
      </c>
      <c r="I1083" s="4">
        <f>XLOOKUP(B1083,Raw_Risk_Profiles!$A:$A,Raw_Risk_Profiles!$C:$C,"Missing")</f>
        <v/>
      </c>
      <c r="J1083" s="4">
        <f>XLOOKUP(B1083,Raw_Risk_Profiles!$A:$A,Raw_Risk_Profiles!$D:$D,"")</f>
        <v/>
      </c>
      <c r="K1083" s="4">
        <f>IFERROR(INDEX(Raw_Risk_Profiles!$E:$E,MATCH(B1083,Raw_Risk_Profiles!$A:$A,0)),"Unknown")</f>
        <v/>
      </c>
      <c r="L1083" s="4">
        <f>IFERROR(XLOOKUP(A1083,Raw_Alerts!$B:$B,Raw_Alerts!$A:$A),"No Alert")</f>
        <v/>
      </c>
      <c r="M1083" s="4">
        <f>IFERROR(XLOOKUP(A1083,Raw_Alerts!$B:$B,Raw_Alerts!$C:$C),"")</f>
        <v/>
      </c>
      <c r="N1083" s="4">
        <f>IFERROR(XLOOKUP(A1083,Raw_Alerts!$B:$B,Raw_Alerts!$D:$D),"")</f>
        <v/>
      </c>
      <c r="O1083" s="4">
        <f>IFERROR(XLOOKUP(A1083,Raw_Alerts!$B:$B,Raw_Alerts!$F:$F),"")</f>
        <v/>
      </c>
      <c r="P1083" s="4">
        <f>IF(H1083="Not Found","CRITICAL: No Risk Profile",IF(I1083="Missing","WARN: Missing KYC",IF(I1083="Expired","WARN: KYC Expired",IF(I1083="Pending","INFO: KYC Pending","OK"))))</f>
        <v/>
      </c>
    </row>
    <row r="1084">
      <c r="A1084" s="2">
        <f>Raw_Transactions!A1084</f>
        <v/>
      </c>
      <c r="B1084" s="2">
        <f>Raw_Transactions!B1084</f>
        <v/>
      </c>
      <c r="C1084" s="2">
        <f>Raw_Transactions!C1084</f>
        <v/>
      </c>
      <c r="D1084" s="3">
        <f>Raw_Transactions!D1084</f>
        <v/>
      </c>
      <c r="E1084" s="2">
        <f>Raw_Transactions!E1084</f>
        <v/>
      </c>
      <c r="F1084" s="2">
        <f>Raw_Transactions!F1084</f>
        <v/>
      </c>
      <c r="G1084" s="2">
        <f>Raw_Transactions!G1084</f>
        <v/>
      </c>
      <c r="H1084" s="2">
        <f>XLOOKUP(B1084,Raw_Risk_Profiles!$A:$A,Raw_Risk_Profiles!$B:$B,"Not Found")</f>
        <v/>
      </c>
      <c r="I1084" s="2">
        <f>XLOOKUP(B1084,Raw_Risk_Profiles!$A:$A,Raw_Risk_Profiles!$C:$C,"Missing")</f>
        <v/>
      </c>
      <c r="J1084" s="2">
        <f>XLOOKUP(B1084,Raw_Risk_Profiles!$A:$A,Raw_Risk_Profiles!$D:$D,"")</f>
        <v/>
      </c>
      <c r="K1084" s="2">
        <f>IFERROR(INDEX(Raw_Risk_Profiles!$E:$E,MATCH(B1084,Raw_Risk_Profiles!$A:$A,0)),"Unknown")</f>
        <v/>
      </c>
      <c r="L1084" s="2">
        <f>IFERROR(XLOOKUP(A1084,Raw_Alerts!$B:$B,Raw_Alerts!$A:$A),"No Alert")</f>
        <v/>
      </c>
      <c r="M1084" s="2">
        <f>IFERROR(XLOOKUP(A1084,Raw_Alerts!$B:$B,Raw_Alerts!$C:$C),"")</f>
        <v/>
      </c>
      <c r="N1084" s="2">
        <f>IFERROR(XLOOKUP(A1084,Raw_Alerts!$B:$B,Raw_Alerts!$D:$D),"")</f>
        <v/>
      </c>
      <c r="O1084" s="2">
        <f>IFERROR(XLOOKUP(A1084,Raw_Alerts!$B:$B,Raw_Alerts!$F:$F),"")</f>
        <v/>
      </c>
      <c r="P1084" s="2">
        <f>IF(H1084="Not Found","CRITICAL: No Risk Profile",IF(I1084="Missing","WARN: Missing KYC",IF(I1084="Expired","WARN: KYC Expired",IF(I1084="Pending","INFO: KYC Pending","OK"))))</f>
        <v/>
      </c>
    </row>
    <row r="1085">
      <c r="A1085" s="4">
        <f>Raw_Transactions!A1085</f>
        <v/>
      </c>
      <c r="B1085" s="4">
        <f>Raw_Transactions!B1085</f>
        <v/>
      </c>
      <c r="C1085" s="4">
        <f>Raw_Transactions!C1085</f>
        <v/>
      </c>
      <c r="D1085" s="5">
        <f>Raw_Transactions!D1085</f>
        <v/>
      </c>
      <c r="E1085" s="4">
        <f>Raw_Transactions!E1085</f>
        <v/>
      </c>
      <c r="F1085" s="4">
        <f>Raw_Transactions!F1085</f>
        <v/>
      </c>
      <c r="G1085" s="4">
        <f>Raw_Transactions!G1085</f>
        <v/>
      </c>
      <c r="H1085" s="4">
        <f>XLOOKUP(B1085,Raw_Risk_Profiles!$A:$A,Raw_Risk_Profiles!$B:$B,"Not Found")</f>
        <v/>
      </c>
      <c r="I1085" s="4">
        <f>XLOOKUP(B1085,Raw_Risk_Profiles!$A:$A,Raw_Risk_Profiles!$C:$C,"Missing")</f>
        <v/>
      </c>
      <c r="J1085" s="4">
        <f>XLOOKUP(B1085,Raw_Risk_Profiles!$A:$A,Raw_Risk_Profiles!$D:$D,"")</f>
        <v/>
      </c>
      <c r="K1085" s="4">
        <f>IFERROR(INDEX(Raw_Risk_Profiles!$E:$E,MATCH(B1085,Raw_Risk_Profiles!$A:$A,0)),"Unknown")</f>
        <v/>
      </c>
      <c r="L1085" s="4">
        <f>IFERROR(XLOOKUP(A1085,Raw_Alerts!$B:$B,Raw_Alerts!$A:$A),"No Alert")</f>
        <v/>
      </c>
      <c r="M1085" s="4">
        <f>IFERROR(XLOOKUP(A1085,Raw_Alerts!$B:$B,Raw_Alerts!$C:$C),"")</f>
        <v/>
      </c>
      <c r="N1085" s="4">
        <f>IFERROR(XLOOKUP(A1085,Raw_Alerts!$B:$B,Raw_Alerts!$D:$D),"")</f>
        <v/>
      </c>
      <c r="O1085" s="4">
        <f>IFERROR(XLOOKUP(A1085,Raw_Alerts!$B:$B,Raw_Alerts!$F:$F),"")</f>
        <v/>
      </c>
      <c r="P1085" s="4">
        <f>IF(H1085="Not Found","CRITICAL: No Risk Profile",IF(I1085="Missing","WARN: Missing KYC",IF(I1085="Expired","WARN: KYC Expired",IF(I1085="Pending","INFO: KYC Pending","OK"))))</f>
        <v/>
      </c>
    </row>
    <row r="1086">
      <c r="A1086" s="2">
        <f>Raw_Transactions!A1086</f>
        <v/>
      </c>
      <c r="B1086" s="2">
        <f>Raw_Transactions!B1086</f>
        <v/>
      </c>
      <c r="C1086" s="2">
        <f>Raw_Transactions!C1086</f>
        <v/>
      </c>
      <c r="D1086" s="3">
        <f>Raw_Transactions!D1086</f>
        <v/>
      </c>
      <c r="E1086" s="2">
        <f>Raw_Transactions!E1086</f>
        <v/>
      </c>
      <c r="F1086" s="2">
        <f>Raw_Transactions!F1086</f>
        <v/>
      </c>
      <c r="G1086" s="2">
        <f>Raw_Transactions!G1086</f>
        <v/>
      </c>
      <c r="H1086" s="2">
        <f>XLOOKUP(B1086,Raw_Risk_Profiles!$A:$A,Raw_Risk_Profiles!$B:$B,"Not Found")</f>
        <v/>
      </c>
      <c r="I1086" s="2">
        <f>XLOOKUP(B1086,Raw_Risk_Profiles!$A:$A,Raw_Risk_Profiles!$C:$C,"Missing")</f>
        <v/>
      </c>
      <c r="J1086" s="2">
        <f>XLOOKUP(B1086,Raw_Risk_Profiles!$A:$A,Raw_Risk_Profiles!$D:$D,"")</f>
        <v/>
      </c>
      <c r="K1086" s="2">
        <f>IFERROR(INDEX(Raw_Risk_Profiles!$E:$E,MATCH(B1086,Raw_Risk_Profiles!$A:$A,0)),"Unknown")</f>
        <v/>
      </c>
      <c r="L1086" s="2">
        <f>IFERROR(XLOOKUP(A1086,Raw_Alerts!$B:$B,Raw_Alerts!$A:$A),"No Alert")</f>
        <v/>
      </c>
      <c r="M1086" s="2">
        <f>IFERROR(XLOOKUP(A1086,Raw_Alerts!$B:$B,Raw_Alerts!$C:$C),"")</f>
        <v/>
      </c>
      <c r="N1086" s="2">
        <f>IFERROR(XLOOKUP(A1086,Raw_Alerts!$B:$B,Raw_Alerts!$D:$D),"")</f>
        <v/>
      </c>
      <c r="O1086" s="2">
        <f>IFERROR(XLOOKUP(A1086,Raw_Alerts!$B:$B,Raw_Alerts!$F:$F),"")</f>
        <v/>
      </c>
      <c r="P1086" s="2">
        <f>IF(H1086="Not Found","CRITICAL: No Risk Profile",IF(I1086="Missing","WARN: Missing KYC",IF(I1086="Expired","WARN: KYC Expired",IF(I1086="Pending","INFO: KYC Pending","OK"))))</f>
        <v/>
      </c>
    </row>
    <row r="1087">
      <c r="A1087" s="4">
        <f>Raw_Transactions!A1087</f>
        <v/>
      </c>
      <c r="B1087" s="4">
        <f>Raw_Transactions!B1087</f>
        <v/>
      </c>
      <c r="C1087" s="4">
        <f>Raw_Transactions!C1087</f>
        <v/>
      </c>
      <c r="D1087" s="5">
        <f>Raw_Transactions!D1087</f>
        <v/>
      </c>
      <c r="E1087" s="4">
        <f>Raw_Transactions!E1087</f>
        <v/>
      </c>
      <c r="F1087" s="4">
        <f>Raw_Transactions!F1087</f>
        <v/>
      </c>
      <c r="G1087" s="4">
        <f>Raw_Transactions!G1087</f>
        <v/>
      </c>
      <c r="H1087" s="4">
        <f>XLOOKUP(B1087,Raw_Risk_Profiles!$A:$A,Raw_Risk_Profiles!$B:$B,"Not Found")</f>
        <v/>
      </c>
      <c r="I1087" s="4">
        <f>XLOOKUP(B1087,Raw_Risk_Profiles!$A:$A,Raw_Risk_Profiles!$C:$C,"Missing")</f>
        <v/>
      </c>
      <c r="J1087" s="4">
        <f>XLOOKUP(B1087,Raw_Risk_Profiles!$A:$A,Raw_Risk_Profiles!$D:$D,"")</f>
        <v/>
      </c>
      <c r="K1087" s="4">
        <f>IFERROR(INDEX(Raw_Risk_Profiles!$E:$E,MATCH(B1087,Raw_Risk_Profiles!$A:$A,0)),"Unknown")</f>
        <v/>
      </c>
      <c r="L1087" s="4">
        <f>IFERROR(XLOOKUP(A1087,Raw_Alerts!$B:$B,Raw_Alerts!$A:$A),"No Alert")</f>
        <v/>
      </c>
      <c r="M1087" s="4">
        <f>IFERROR(XLOOKUP(A1087,Raw_Alerts!$B:$B,Raw_Alerts!$C:$C),"")</f>
        <v/>
      </c>
      <c r="N1087" s="4">
        <f>IFERROR(XLOOKUP(A1087,Raw_Alerts!$B:$B,Raw_Alerts!$D:$D),"")</f>
        <v/>
      </c>
      <c r="O1087" s="4">
        <f>IFERROR(XLOOKUP(A1087,Raw_Alerts!$B:$B,Raw_Alerts!$F:$F),"")</f>
        <v/>
      </c>
      <c r="P1087" s="4">
        <f>IF(H1087="Not Found","CRITICAL: No Risk Profile",IF(I1087="Missing","WARN: Missing KYC",IF(I1087="Expired","WARN: KYC Expired",IF(I1087="Pending","INFO: KYC Pending","OK"))))</f>
        <v/>
      </c>
    </row>
    <row r="1088">
      <c r="A1088" s="2">
        <f>Raw_Transactions!A1088</f>
        <v/>
      </c>
      <c r="B1088" s="2">
        <f>Raw_Transactions!B1088</f>
        <v/>
      </c>
      <c r="C1088" s="2">
        <f>Raw_Transactions!C1088</f>
        <v/>
      </c>
      <c r="D1088" s="3">
        <f>Raw_Transactions!D1088</f>
        <v/>
      </c>
      <c r="E1088" s="2">
        <f>Raw_Transactions!E1088</f>
        <v/>
      </c>
      <c r="F1088" s="2">
        <f>Raw_Transactions!F1088</f>
        <v/>
      </c>
      <c r="G1088" s="2">
        <f>Raw_Transactions!G1088</f>
        <v/>
      </c>
      <c r="H1088" s="2">
        <f>XLOOKUP(B1088,Raw_Risk_Profiles!$A:$A,Raw_Risk_Profiles!$B:$B,"Not Found")</f>
        <v/>
      </c>
      <c r="I1088" s="2">
        <f>XLOOKUP(B1088,Raw_Risk_Profiles!$A:$A,Raw_Risk_Profiles!$C:$C,"Missing")</f>
        <v/>
      </c>
      <c r="J1088" s="2">
        <f>XLOOKUP(B1088,Raw_Risk_Profiles!$A:$A,Raw_Risk_Profiles!$D:$D,"")</f>
        <v/>
      </c>
      <c r="K1088" s="2">
        <f>IFERROR(INDEX(Raw_Risk_Profiles!$E:$E,MATCH(B1088,Raw_Risk_Profiles!$A:$A,0)),"Unknown")</f>
        <v/>
      </c>
      <c r="L1088" s="2">
        <f>IFERROR(XLOOKUP(A1088,Raw_Alerts!$B:$B,Raw_Alerts!$A:$A),"No Alert")</f>
        <v/>
      </c>
      <c r="M1088" s="2">
        <f>IFERROR(XLOOKUP(A1088,Raw_Alerts!$B:$B,Raw_Alerts!$C:$C),"")</f>
        <v/>
      </c>
      <c r="N1088" s="2">
        <f>IFERROR(XLOOKUP(A1088,Raw_Alerts!$B:$B,Raw_Alerts!$D:$D),"")</f>
        <v/>
      </c>
      <c r="O1088" s="2">
        <f>IFERROR(XLOOKUP(A1088,Raw_Alerts!$B:$B,Raw_Alerts!$F:$F),"")</f>
        <v/>
      </c>
      <c r="P1088" s="2">
        <f>IF(H1088="Not Found","CRITICAL: No Risk Profile",IF(I1088="Missing","WARN: Missing KYC",IF(I1088="Expired","WARN: KYC Expired",IF(I1088="Pending","INFO: KYC Pending","OK"))))</f>
        <v/>
      </c>
    </row>
    <row r="1089">
      <c r="A1089" s="4">
        <f>Raw_Transactions!A1089</f>
        <v/>
      </c>
      <c r="B1089" s="4">
        <f>Raw_Transactions!B1089</f>
        <v/>
      </c>
      <c r="C1089" s="4">
        <f>Raw_Transactions!C1089</f>
        <v/>
      </c>
      <c r="D1089" s="5">
        <f>Raw_Transactions!D1089</f>
        <v/>
      </c>
      <c r="E1089" s="4">
        <f>Raw_Transactions!E1089</f>
        <v/>
      </c>
      <c r="F1089" s="4">
        <f>Raw_Transactions!F1089</f>
        <v/>
      </c>
      <c r="G1089" s="4">
        <f>Raw_Transactions!G1089</f>
        <v/>
      </c>
      <c r="H1089" s="4">
        <f>XLOOKUP(B1089,Raw_Risk_Profiles!$A:$A,Raw_Risk_Profiles!$B:$B,"Not Found")</f>
        <v/>
      </c>
      <c r="I1089" s="4">
        <f>XLOOKUP(B1089,Raw_Risk_Profiles!$A:$A,Raw_Risk_Profiles!$C:$C,"Missing")</f>
        <v/>
      </c>
      <c r="J1089" s="4">
        <f>XLOOKUP(B1089,Raw_Risk_Profiles!$A:$A,Raw_Risk_Profiles!$D:$D,"")</f>
        <v/>
      </c>
      <c r="K1089" s="4">
        <f>IFERROR(INDEX(Raw_Risk_Profiles!$E:$E,MATCH(B1089,Raw_Risk_Profiles!$A:$A,0)),"Unknown")</f>
        <v/>
      </c>
      <c r="L1089" s="4">
        <f>IFERROR(XLOOKUP(A1089,Raw_Alerts!$B:$B,Raw_Alerts!$A:$A),"No Alert")</f>
        <v/>
      </c>
      <c r="M1089" s="4">
        <f>IFERROR(XLOOKUP(A1089,Raw_Alerts!$B:$B,Raw_Alerts!$C:$C),"")</f>
        <v/>
      </c>
      <c r="N1089" s="4">
        <f>IFERROR(XLOOKUP(A1089,Raw_Alerts!$B:$B,Raw_Alerts!$D:$D),"")</f>
        <v/>
      </c>
      <c r="O1089" s="4">
        <f>IFERROR(XLOOKUP(A1089,Raw_Alerts!$B:$B,Raw_Alerts!$F:$F),"")</f>
        <v/>
      </c>
      <c r="P1089" s="4">
        <f>IF(H1089="Not Found","CRITICAL: No Risk Profile",IF(I1089="Missing","WARN: Missing KYC",IF(I1089="Expired","WARN: KYC Expired",IF(I1089="Pending","INFO: KYC Pending","OK"))))</f>
        <v/>
      </c>
    </row>
    <row r="1090">
      <c r="A1090" s="2">
        <f>Raw_Transactions!A1090</f>
        <v/>
      </c>
      <c r="B1090" s="2">
        <f>Raw_Transactions!B1090</f>
        <v/>
      </c>
      <c r="C1090" s="2">
        <f>Raw_Transactions!C1090</f>
        <v/>
      </c>
      <c r="D1090" s="3">
        <f>Raw_Transactions!D1090</f>
        <v/>
      </c>
      <c r="E1090" s="2">
        <f>Raw_Transactions!E1090</f>
        <v/>
      </c>
      <c r="F1090" s="2">
        <f>Raw_Transactions!F1090</f>
        <v/>
      </c>
      <c r="G1090" s="2">
        <f>Raw_Transactions!G1090</f>
        <v/>
      </c>
      <c r="H1090" s="2">
        <f>XLOOKUP(B1090,Raw_Risk_Profiles!$A:$A,Raw_Risk_Profiles!$B:$B,"Not Found")</f>
        <v/>
      </c>
      <c r="I1090" s="2">
        <f>XLOOKUP(B1090,Raw_Risk_Profiles!$A:$A,Raw_Risk_Profiles!$C:$C,"Missing")</f>
        <v/>
      </c>
      <c r="J1090" s="2">
        <f>XLOOKUP(B1090,Raw_Risk_Profiles!$A:$A,Raw_Risk_Profiles!$D:$D,"")</f>
        <v/>
      </c>
      <c r="K1090" s="2">
        <f>IFERROR(INDEX(Raw_Risk_Profiles!$E:$E,MATCH(B1090,Raw_Risk_Profiles!$A:$A,0)),"Unknown")</f>
        <v/>
      </c>
      <c r="L1090" s="2">
        <f>IFERROR(XLOOKUP(A1090,Raw_Alerts!$B:$B,Raw_Alerts!$A:$A),"No Alert")</f>
        <v/>
      </c>
      <c r="M1090" s="2">
        <f>IFERROR(XLOOKUP(A1090,Raw_Alerts!$B:$B,Raw_Alerts!$C:$C),"")</f>
        <v/>
      </c>
      <c r="N1090" s="2">
        <f>IFERROR(XLOOKUP(A1090,Raw_Alerts!$B:$B,Raw_Alerts!$D:$D),"")</f>
        <v/>
      </c>
      <c r="O1090" s="2">
        <f>IFERROR(XLOOKUP(A1090,Raw_Alerts!$B:$B,Raw_Alerts!$F:$F),"")</f>
        <v/>
      </c>
      <c r="P1090" s="2">
        <f>IF(H1090="Not Found","CRITICAL: No Risk Profile",IF(I1090="Missing","WARN: Missing KYC",IF(I1090="Expired","WARN: KYC Expired",IF(I1090="Pending","INFO: KYC Pending","OK"))))</f>
        <v/>
      </c>
    </row>
    <row r="1091">
      <c r="A1091" s="4">
        <f>Raw_Transactions!A1091</f>
        <v/>
      </c>
      <c r="B1091" s="4">
        <f>Raw_Transactions!B1091</f>
        <v/>
      </c>
      <c r="C1091" s="4">
        <f>Raw_Transactions!C1091</f>
        <v/>
      </c>
      <c r="D1091" s="5">
        <f>Raw_Transactions!D1091</f>
        <v/>
      </c>
      <c r="E1091" s="4">
        <f>Raw_Transactions!E1091</f>
        <v/>
      </c>
      <c r="F1091" s="4">
        <f>Raw_Transactions!F1091</f>
        <v/>
      </c>
      <c r="G1091" s="4">
        <f>Raw_Transactions!G1091</f>
        <v/>
      </c>
      <c r="H1091" s="4">
        <f>XLOOKUP(B1091,Raw_Risk_Profiles!$A:$A,Raw_Risk_Profiles!$B:$B,"Not Found")</f>
        <v/>
      </c>
      <c r="I1091" s="4">
        <f>XLOOKUP(B1091,Raw_Risk_Profiles!$A:$A,Raw_Risk_Profiles!$C:$C,"Missing")</f>
        <v/>
      </c>
      <c r="J1091" s="4">
        <f>XLOOKUP(B1091,Raw_Risk_Profiles!$A:$A,Raw_Risk_Profiles!$D:$D,"")</f>
        <v/>
      </c>
      <c r="K1091" s="4">
        <f>IFERROR(INDEX(Raw_Risk_Profiles!$E:$E,MATCH(B1091,Raw_Risk_Profiles!$A:$A,0)),"Unknown")</f>
        <v/>
      </c>
      <c r="L1091" s="4">
        <f>IFERROR(XLOOKUP(A1091,Raw_Alerts!$B:$B,Raw_Alerts!$A:$A),"No Alert")</f>
        <v/>
      </c>
      <c r="M1091" s="4">
        <f>IFERROR(XLOOKUP(A1091,Raw_Alerts!$B:$B,Raw_Alerts!$C:$C),"")</f>
        <v/>
      </c>
      <c r="N1091" s="4">
        <f>IFERROR(XLOOKUP(A1091,Raw_Alerts!$B:$B,Raw_Alerts!$D:$D),"")</f>
        <v/>
      </c>
      <c r="O1091" s="4">
        <f>IFERROR(XLOOKUP(A1091,Raw_Alerts!$B:$B,Raw_Alerts!$F:$F),"")</f>
        <v/>
      </c>
      <c r="P1091" s="4">
        <f>IF(H1091="Not Found","CRITICAL: No Risk Profile",IF(I1091="Missing","WARN: Missing KYC",IF(I1091="Expired","WARN: KYC Expired",IF(I1091="Pending","INFO: KYC Pending","OK"))))</f>
        <v/>
      </c>
    </row>
    <row r="1092">
      <c r="A1092" s="2">
        <f>Raw_Transactions!A1092</f>
        <v/>
      </c>
      <c r="B1092" s="2">
        <f>Raw_Transactions!B1092</f>
        <v/>
      </c>
      <c r="C1092" s="2">
        <f>Raw_Transactions!C1092</f>
        <v/>
      </c>
      <c r="D1092" s="3">
        <f>Raw_Transactions!D1092</f>
        <v/>
      </c>
      <c r="E1092" s="2">
        <f>Raw_Transactions!E1092</f>
        <v/>
      </c>
      <c r="F1092" s="2">
        <f>Raw_Transactions!F1092</f>
        <v/>
      </c>
      <c r="G1092" s="2">
        <f>Raw_Transactions!G1092</f>
        <v/>
      </c>
      <c r="H1092" s="2">
        <f>XLOOKUP(B1092,Raw_Risk_Profiles!$A:$A,Raw_Risk_Profiles!$B:$B,"Not Found")</f>
        <v/>
      </c>
      <c r="I1092" s="2">
        <f>XLOOKUP(B1092,Raw_Risk_Profiles!$A:$A,Raw_Risk_Profiles!$C:$C,"Missing")</f>
        <v/>
      </c>
      <c r="J1092" s="2">
        <f>XLOOKUP(B1092,Raw_Risk_Profiles!$A:$A,Raw_Risk_Profiles!$D:$D,"")</f>
        <v/>
      </c>
      <c r="K1092" s="2">
        <f>IFERROR(INDEX(Raw_Risk_Profiles!$E:$E,MATCH(B1092,Raw_Risk_Profiles!$A:$A,0)),"Unknown")</f>
        <v/>
      </c>
      <c r="L1092" s="2">
        <f>IFERROR(XLOOKUP(A1092,Raw_Alerts!$B:$B,Raw_Alerts!$A:$A),"No Alert")</f>
        <v/>
      </c>
      <c r="M1092" s="2">
        <f>IFERROR(XLOOKUP(A1092,Raw_Alerts!$B:$B,Raw_Alerts!$C:$C),"")</f>
        <v/>
      </c>
      <c r="N1092" s="2">
        <f>IFERROR(XLOOKUP(A1092,Raw_Alerts!$B:$B,Raw_Alerts!$D:$D),"")</f>
        <v/>
      </c>
      <c r="O1092" s="2">
        <f>IFERROR(XLOOKUP(A1092,Raw_Alerts!$B:$B,Raw_Alerts!$F:$F),"")</f>
        <v/>
      </c>
      <c r="P1092" s="2">
        <f>IF(H1092="Not Found","CRITICAL: No Risk Profile",IF(I1092="Missing","WARN: Missing KYC",IF(I1092="Expired","WARN: KYC Expired",IF(I1092="Pending","INFO: KYC Pending","OK"))))</f>
        <v/>
      </c>
    </row>
    <row r="1093">
      <c r="A1093" s="4">
        <f>Raw_Transactions!A1093</f>
        <v/>
      </c>
      <c r="B1093" s="4">
        <f>Raw_Transactions!B1093</f>
        <v/>
      </c>
      <c r="C1093" s="4">
        <f>Raw_Transactions!C1093</f>
        <v/>
      </c>
      <c r="D1093" s="5">
        <f>Raw_Transactions!D1093</f>
        <v/>
      </c>
      <c r="E1093" s="4">
        <f>Raw_Transactions!E1093</f>
        <v/>
      </c>
      <c r="F1093" s="4">
        <f>Raw_Transactions!F1093</f>
        <v/>
      </c>
      <c r="G1093" s="4">
        <f>Raw_Transactions!G1093</f>
        <v/>
      </c>
      <c r="H1093" s="4">
        <f>XLOOKUP(B1093,Raw_Risk_Profiles!$A:$A,Raw_Risk_Profiles!$B:$B,"Not Found")</f>
        <v/>
      </c>
      <c r="I1093" s="4">
        <f>XLOOKUP(B1093,Raw_Risk_Profiles!$A:$A,Raw_Risk_Profiles!$C:$C,"Missing")</f>
        <v/>
      </c>
      <c r="J1093" s="4">
        <f>XLOOKUP(B1093,Raw_Risk_Profiles!$A:$A,Raw_Risk_Profiles!$D:$D,"")</f>
        <v/>
      </c>
      <c r="K1093" s="4">
        <f>IFERROR(INDEX(Raw_Risk_Profiles!$E:$E,MATCH(B1093,Raw_Risk_Profiles!$A:$A,0)),"Unknown")</f>
        <v/>
      </c>
      <c r="L1093" s="4">
        <f>IFERROR(XLOOKUP(A1093,Raw_Alerts!$B:$B,Raw_Alerts!$A:$A),"No Alert")</f>
        <v/>
      </c>
      <c r="M1093" s="4">
        <f>IFERROR(XLOOKUP(A1093,Raw_Alerts!$B:$B,Raw_Alerts!$C:$C),"")</f>
        <v/>
      </c>
      <c r="N1093" s="4">
        <f>IFERROR(XLOOKUP(A1093,Raw_Alerts!$B:$B,Raw_Alerts!$D:$D),"")</f>
        <v/>
      </c>
      <c r="O1093" s="4">
        <f>IFERROR(XLOOKUP(A1093,Raw_Alerts!$B:$B,Raw_Alerts!$F:$F),"")</f>
        <v/>
      </c>
      <c r="P1093" s="4">
        <f>IF(H1093="Not Found","CRITICAL: No Risk Profile",IF(I1093="Missing","WARN: Missing KYC",IF(I1093="Expired","WARN: KYC Expired",IF(I1093="Pending","INFO: KYC Pending","OK"))))</f>
        <v/>
      </c>
    </row>
    <row r="1094">
      <c r="A1094" s="2">
        <f>Raw_Transactions!A1094</f>
        <v/>
      </c>
      <c r="B1094" s="2">
        <f>Raw_Transactions!B1094</f>
        <v/>
      </c>
      <c r="C1094" s="2">
        <f>Raw_Transactions!C1094</f>
        <v/>
      </c>
      <c r="D1094" s="3">
        <f>Raw_Transactions!D1094</f>
        <v/>
      </c>
      <c r="E1094" s="2">
        <f>Raw_Transactions!E1094</f>
        <v/>
      </c>
      <c r="F1094" s="2">
        <f>Raw_Transactions!F1094</f>
        <v/>
      </c>
      <c r="G1094" s="2">
        <f>Raw_Transactions!G1094</f>
        <v/>
      </c>
      <c r="H1094" s="2">
        <f>XLOOKUP(B1094,Raw_Risk_Profiles!$A:$A,Raw_Risk_Profiles!$B:$B,"Not Found")</f>
        <v/>
      </c>
      <c r="I1094" s="2">
        <f>XLOOKUP(B1094,Raw_Risk_Profiles!$A:$A,Raw_Risk_Profiles!$C:$C,"Missing")</f>
        <v/>
      </c>
      <c r="J1094" s="2">
        <f>XLOOKUP(B1094,Raw_Risk_Profiles!$A:$A,Raw_Risk_Profiles!$D:$D,"")</f>
        <v/>
      </c>
      <c r="K1094" s="2">
        <f>IFERROR(INDEX(Raw_Risk_Profiles!$E:$E,MATCH(B1094,Raw_Risk_Profiles!$A:$A,0)),"Unknown")</f>
        <v/>
      </c>
      <c r="L1094" s="2">
        <f>IFERROR(XLOOKUP(A1094,Raw_Alerts!$B:$B,Raw_Alerts!$A:$A),"No Alert")</f>
        <v/>
      </c>
      <c r="M1094" s="2">
        <f>IFERROR(XLOOKUP(A1094,Raw_Alerts!$B:$B,Raw_Alerts!$C:$C),"")</f>
        <v/>
      </c>
      <c r="N1094" s="2">
        <f>IFERROR(XLOOKUP(A1094,Raw_Alerts!$B:$B,Raw_Alerts!$D:$D),"")</f>
        <v/>
      </c>
      <c r="O1094" s="2">
        <f>IFERROR(XLOOKUP(A1094,Raw_Alerts!$B:$B,Raw_Alerts!$F:$F),"")</f>
        <v/>
      </c>
      <c r="P1094" s="2">
        <f>IF(H1094="Not Found","CRITICAL: No Risk Profile",IF(I1094="Missing","WARN: Missing KYC",IF(I1094="Expired","WARN: KYC Expired",IF(I1094="Pending","INFO: KYC Pending","OK"))))</f>
        <v/>
      </c>
    </row>
    <row r="1095">
      <c r="A1095" s="4">
        <f>Raw_Transactions!A1095</f>
        <v/>
      </c>
      <c r="B1095" s="4">
        <f>Raw_Transactions!B1095</f>
        <v/>
      </c>
      <c r="C1095" s="4">
        <f>Raw_Transactions!C1095</f>
        <v/>
      </c>
      <c r="D1095" s="5">
        <f>Raw_Transactions!D1095</f>
        <v/>
      </c>
      <c r="E1095" s="4">
        <f>Raw_Transactions!E1095</f>
        <v/>
      </c>
      <c r="F1095" s="4">
        <f>Raw_Transactions!F1095</f>
        <v/>
      </c>
      <c r="G1095" s="4">
        <f>Raw_Transactions!G1095</f>
        <v/>
      </c>
      <c r="H1095" s="4">
        <f>XLOOKUP(B1095,Raw_Risk_Profiles!$A:$A,Raw_Risk_Profiles!$B:$B,"Not Found")</f>
        <v/>
      </c>
      <c r="I1095" s="4">
        <f>XLOOKUP(B1095,Raw_Risk_Profiles!$A:$A,Raw_Risk_Profiles!$C:$C,"Missing")</f>
        <v/>
      </c>
      <c r="J1095" s="4">
        <f>XLOOKUP(B1095,Raw_Risk_Profiles!$A:$A,Raw_Risk_Profiles!$D:$D,"")</f>
        <v/>
      </c>
      <c r="K1095" s="4">
        <f>IFERROR(INDEX(Raw_Risk_Profiles!$E:$E,MATCH(B1095,Raw_Risk_Profiles!$A:$A,0)),"Unknown")</f>
        <v/>
      </c>
      <c r="L1095" s="4">
        <f>IFERROR(XLOOKUP(A1095,Raw_Alerts!$B:$B,Raw_Alerts!$A:$A),"No Alert")</f>
        <v/>
      </c>
      <c r="M1095" s="4">
        <f>IFERROR(XLOOKUP(A1095,Raw_Alerts!$B:$B,Raw_Alerts!$C:$C),"")</f>
        <v/>
      </c>
      <c r="N1095" s="4">
        <f>IFERROR(XLOOKUP(A1095,Raw_Alerts!$B:$B,Raw_Alerts!$D:$D),"")</f>
        <v/>
      </c>
      <c r="O1095" s="4">
        <f>IFERROR(XLOOKUP(A1095,Raw_Alerts!$B:$B,Raw_Alerts!$F:$F),"")</f>
        <v/>
      </c>
      <c r="P1095" s="4">
        <f>IF(H1095="Not Found","CRITICAL: No Risk Profile",IF(I1095="Missing","WARN: Missing KYC",IF(I1095="Expired","WARN: KYC Expired",IF(I1095="Pending","INFO: KYC Pending","OK"))))</f>
        <v/>
      </c>
    </row>
    <row r="1096">
      <c r="A1096" s="2">
        <f>Raw_Transactions!A1096</f>
        <v/>
      </c>
      <c r="B1096" s="2">
        <f>Raw_Transactions!B1096</f>
        <v/>
      </c>
      <c r="C1096" s="2">
        <f>Raw_Transactions!C1096</f>
        <v/>
      </c>
      <c r="D1096" s="3">
        <f>Raw_Transactions!D1096</f>
        <v/>
      </c>
      <c r="E1096" s="2">
        <f>Raw_Transactions!E1096</f>
        <v/>
      </c>
      <c r="F1096" s="2">
        <f>Raw_Transactions!F1096</f>
        <v/>
      </c>
      <c r="G1096" s="2">
        <f>Raw_Transactions!G1096</f>
        <v/>
      </c>
      <c r="H1096" s="2">
        <f>XLOOKUP(B1096,Raw_Risk_Profiles!$A:$A,Raw_Risk_Profiles!$B:$B,"Not Found")</f>
        <v/>
      </c>
      <c r="I1096" s="2">
        <f>XLOOKUP(B1096,Raw_Risk_Profiles!$A:$A,Raw_Risk_Profiles!$C:$C,"Missing")</f>
        <v/>
      </c>
      <c r="J1096" s="2">
        <f>XLOOKUP(B1096,Raw_Risk_Profiles!$A:$A,Raw_Risk_Profiles!$D:$D,"")</f>
        <v/>
      </c>
      <c r="K1096" s="2">
        <f>IFERROR(INDEX(Raw_Risk_Profiles!$E:$E,MATCH(B1096,Raw_Risk_Profiles!$A:$A,0)),"Unknown")</f>
        <v/>
      </c>
      <c r="L1096" s="2">
        <f>IFERROR(XLOOKUP(A1096,Raw_Alerts!$B:$B,Raw_Alerts!$A:$A),"No Alert")</f>
        <v/>
      </c>
      <c r="M1096" s="2">
        <f>IFERROR(XLOOKUP(A1096,Raw_Alerts!$B:$B,Raw_Alerts!$C:$C),"")</f>
        <v/>
      </c>
      <c r="N1096" s="2">
        <f>IFERROR(XLOOKUP(A1096,Raw_Alerts!$B:$B,Raw_Alerts!$D:$D),"")</f>
        <v/>
      </c>
      <c r="O1096" s="2">
        <f>IFERROR(XLOOKUP(A1096,Raw_Alerts!$B:$B,Raw_Alerts!$F:$F),"")</f>
        <v/>
      </c>
      <c r="P1096" s="2">
        <f>IF(H1096="Not Found","CRITICAL: No Risk Profile",IF(I1096="Missing","WARN: Missing KYC",IF(I1096="Expired","WARN: KYC Expired",IF(I1096="Pending","INFO: KYC Pending","OK"))))</f>
        <v/>
      </c>
    </row>
    <row r="1097">
      <c r="A1097" s="4">
        <f>Raw_Transactions!A1097</f>
        <v/>
      </c>
      <c r="B1097" s="4">
        <f>Raw_Transactions!B1097</f>
        <v/>
      </c>
      <c r="C1097" s="4">
        <f>Raw_Transactions!C1097</f>
        <v/>
      </c>
      <c r="D1097" s="5">
        <f>Raw_Transactions!D1097</f>
        <v/>
      </c>
      <c r="E1097" s="4">
        <f>Raw_Transactions!E1097</f>
        <v/>
      </c>
      <c r="F1097" s="4">
        <f>Raw_Transactions!F1097</f>
        <v/>
      </c>
      <c r="G1097" s="4">
        <f>Raw_Transactions!G1097</f>
        <v/>
      </c>
      <c r="H1097" s="4">
        <f>XLOOKUP(B1097,Raw_Risk_Profiles!$A:$A,Raw_Risk_Profiles!$B:$B,"Not Found")</f>
        <v/>
      </c>
      <c r="I1097" s="4">
        <f>XLOOKUP(B1097,Raw_Risk_Profiles!$A:$A,Raw_Risk_Profiles!$C:$C,"Missing")</f>
        <v/>
      </c>
      <c r="J1097" s="4">
        <f>XLOOKUP(B1097,Raw_Risk_Profiles!$A:$A,Raw_Risk_Profiles!$D:$D,"")</f>
        <v/>
      </c>
      <c r="K1097" s="4">
        <f>IFERROR(INDEX(Raw_Risk_Profiles!$E:$E,MATCH(B1097,Raw_Risk_Profiles!$A:$A,0)),"Unknown")</f>
        <v/>
      </c>
      <c r="L1097" s="4">
        <f>IFERROR(XLOOKUP(A1097,Raw_Alerts!$B:$B,Raw_Alerts!$A:$A),"No Alert")</f>
        <v/>
      </c>
      <c r="M1097" s="4">
        <f>IFERROR(XLOOKUP(A1097,Raw_Alerts!$B:$B,Raw_Alerts!$C:$C),"")</f>
        <v/>
      </c>
      <c r="N1097" s="4">
        <f>IFERROR(XLOOKUP(A1097,Raw_Alerts!$B:$B,Raw_Alerts!$D:$D),"")</f>
        <v/>
      </c>
      <c r="O1097" s="4">
        <f>IFERROR(XLOOKUP(A1097,Raw_Alerts!$B:$B,Raw_Alerts!$F:$F),"")</f>
        <v/>
      </c>
      <c r="P1097" s="4">
        <f>IF(H1097="Not Found","CRITICAL: No Risk Profile",IF(I1097="Missing","WARN: Missing KYC",IF(I1097="Expired","WARN: KYC Expired",IF(I1097="Pending","INFO: KYC Pending","OK"))))</f>
        <v/>
      </c>
    </row>
    <row r="1098">
      <c r="A1098" s="2">
        <f>Raw_Transactions!A1098</f>
        <v/>
      </c>
      <c r="B1098" s="2">
        <f>Raw_Transactions!B1098</f>
        <v/>
      </c>
      <c r="C1098" s="2">
        <f>Raw_Transactions!C1098</f>
        <v/>
      </c>
      <c r="D1098" s="3">
        <f>Raw_Transactions!D1098</f>
        <v/>
      </c>
      <c r="E1098" s="2">
        <f>Raw_Transactions!E1098</f>
        <v/>
      </c>
      <c r="F1098" s="2">
        <f>Raw_Transactions!F1098</f>
        <v/>
      </c>
      <c r="G1098" s="2">
        <f>Raw_Transactions!G1098</f>
        <v/>
      </c>
      <c r="H1098" s="2">
        <f>XLOOKUP(B1098,Raw_Risk_Profiles!$A:$A,Raw_Risk_Profiles!$B:$B,"Not Found")</f>
        <v/>
      </c>
      <c r="I1098" s="2">
        <f>XLOOKUP(B1098,Raw_Risk_Profiles!$A:$A,Raw_Risk_Profiles!$C:$C,"Missing")</f>
        <v/>
      </c>
      <c r="J1098" s="2">
        <f>XLOOKUP(B1098,Raw_Risk_Profiles!$A:$A,Raw_Risk_Profiles!$D:$D,"")</f>
        <v/>
      </c>
      <c r="K1098" s="2">
        <f>IFERROR(INDEX(Raw_Risk_Profiles!$E:$E,MATCH(B1098,Raw_Risk_Profiles!$A:$A,0)),"Unknown")</f>
        <v/>
      </c>
      <c r="L1098" s="2">
        <f>IFERROR(XLOOKUP(A1098,Raw_Alerts!$B:$B,Raw_Alerts!$A:$A),"No Alert")</f>
        <v/>
      </c>
      <c r="M1098" s="2">
        <f>IFERROR(XLOOKUP(A1098,Raw_Alerts!$B:$B,Raw_Alerts!$C:$C),"")</f>
        <v/>
      </c>
      <c r="N1098" s="2">
        <f>IFERROR(XLOOKUP(A1098,Raw_Alerts!$B:$B,Raw_Alerts!$D:$D),"")</f>
        <v/>
      </c>
      <c r="O1098" s="2">
        <f>IFERROR(XLOOKUP(A1098,Raw_Alerts!$B:$B,Raw_Alerts!$F:$F),"")</f>
        <v/>
      </c>
      <c r="P1098" s="2">
        <f>IF(H1098="Not Found","CRITICAL: No Risk Profile",IF(I1098="Missing","WARN: Missing KYC",IF(I1098="Expired","WARN: KYC Expired",IF(I1098="Pending","INFO: KYC Pending","OK"))))</f>
        <v/>
      </c>
    </row>
    <row r="1099">
      <c r="A1099" s="4">
        <f>Raw_Transactions!A1099</f>
        <v/>
      </c>
      <c r="B1099" s="4">
        <f>Raw_Transactions!B1099</f>
        <v/>
      </c>
      <c r="C1099" s="4">
        <f>Raw_Transactions!C1099</f>
        <v/>
      </c>
      <c r="D1099" s="5">
        <f>Raw_Transactions!D1099</f>
        <v/>
      </c>
      <c r="E1099" s="4">
        <f>Raw_Transactions!E1099</f>
        <v/>
      </c>
      <c r="F1099" s="4">
        <f>Raw_Transactions!F1099</f>
        <v/>
      </c>
      <c r="G1099" s="4">
        <f>Raw_Transactions!G1099</f>
        <v/>
      </c>
      <c r="H1099" s="4">
        <f>XLOOKUP(B1099,Raw_Risk_Profiles!$A:$A,Raw_Risk_Profiles!$B:$B,"Not Found")</f>
        <v/>
      </c>
      <c r="I1099" s="4">
        <f>XLOOKUP(B1099,Raw_Risk_Profiles!$A:$A,Raw_Risk_Profiles!$C:$C,"Missing")</f>
        <v/>
      </c>
      <c r="J1099" s="4">
        <f>XLOOKUP(B1099,Raw_Risk_Profiles!$A:$A,Raw_Risk_Profiles!$D:$D,"")</f>
        <v/>
      </c>
      <c r="K1099" s="4">
        <f>IFERROR(INDEX(Raw_Risk_Profiles!$E:$E,MATCH(B1099,Raw_Risk_Profiles!$A:$A,0)),"Unknown")</f>
        <v/>
      </c>
      <c r="L1099" s="4">
        <f>IFERROR(XLOOKUP(A1099,Raw_Alerts!$B:$B,Raw_Alerts!$A:$A),"No Alert")</f>
        <v/>
      </c>
      <c r="M1099" s="4">
        <f>IFERROR(XLOOKUP(A1099,Raw_Alerts!$B:$B,Raw_Alerts!$C:$C),"")</f>
        <v/>
      </c>
      <c r="N1099" s="4">
        <f>IFERROR(XLOOKUP(A1099,Raw_Alerts!$B:$B,Raw_Alerts!$D:$D),"")</f>
        <v/>
      </c>
      <c r="O1099" s="4">
        <f>IFERROR(XLOOKUP(A1099,Raw_Alerts!$B:$B,Raw_Alerts!$F:$F),"")</f>
        <v/>
      </c>
      <c r="P1099" s="4">
        <f>IF(H1099="Not Found","CRITICAL: No Risk Profile",IF(I1099="Missing","WARN: Missing KYC",IF(I1099="Expired","WARN: KYC Expired",IF(I1099="Pending","INFO: KYC Pending","OK"))))</f>
        <v/>
      </c>
    </row>
    <row r="1100">
      <c r="A1100" s="2">
        <f>Raw_Transactions!A1100</f>
        <v/>
      </c>
      <c r="B1100" s="2">
        <f>Raw_Transactions!B1100</f>
        <v/>
      </c>
      <c r="C1100" s="2">
        <f>Raw_Transactions!C1100</f>
        <v/>
      </c>
      <c r="D1100" s="3">
        <f>Raw_Transactions!D1100</f>
        <v/>
      </c>
      <c r="E1100" s="2">
        <f>Raw_Transactions!E1100</f>
        <v/>
      </c>
      <c r="F1100" s="2">
        <f>Raw_Transactions!F1100</f>
        <v/>
      </c>
      <c r="G1100" s="2">
        <f>Raw_Transactions!G1100</f>
        <v/>
      </c>
      <c r="H1100" s="2">
        <f>XLOOKUP(B1100,Raw_Risk_Profiles!$A:$A,Raw_Risk_Profiles!$B:$B,"Not Found")</f>
        <v/>
      </c>
      <c r="I1100" s="2">
        <f>XLOOKUP(B1100,Raw_Risk_Profiles!$A:$A,Raw_Risk_Profiles!$C:$C,"Missing")</f>
        <v/>
      </c>
      <c r="J1100" s="2">
        <f>XLOOKUP(B1100,Raw_Risk_Profiles!$A:$A,Raw_Risk_Profiles!$D:$D,"")</f>
        <v/>
      </c>
      <c r="K1100" s="2">
        <f>IFERROR(INDEX(Raw_Risk_Profiles!$E:$E,MATCH(B1100,Raw_Risk_Profiles!$A:$A,0)),"Unknown")</f>
        <v/>
      </c>
      <c r="L1100" s="2">
        <f>IFERROR(XLOOKUP(A1100,Raw_Alerts!$B:$B,Raw_Alerts!$A:$A),"No Alert")</f>
        <v/>
      </c>
      <c r="M1100" s="2">
        <f>IFERROR(XLOOKUP(A1100,Raw_Alerts!$B:$B,Raw_Alerts!$C:$C),"")</f>
        <v/>
      </c>
      <c r="N1100" s="2">
        <f>IFERROR(XLOOKUP(A1100,Raw_Alerts!$B:$B,Raw_Alerts!$D:$D),"")</f>
        <v/>
      </c>
      <c r="O1100" s="2">
        <f>IFERROR(XLOOKUP(A1100,Raw_Alerts!$B:$B,Raw_Alerts!$F:$F),"")</f>
        <v/>
      </c>
      <c r="P1100" s="2">
        <f>IF(H1100="Not Found","CRITICAL: No Risk Profile",IF(I1100="Missing","WARN: Missing KYC",IF(I1100="Expired","WARN: KYC Expired",IF(I1100="Pending","INFO: KYC Pending","OK"))))</f>
        <v/>
      </c>
    </row>
    <row r="1101">
      <c r="A1101" s="4">
        <f>Raw_Transactions!A1101</f>
        <v/>
      </c>
      <c r="B1101" s="4">
        <f>Raw_Transactions!B1101</f>
        <v/>
      </c>
      <c r="C1101" s="4">
        <f>Raw_Transactions!C1101</f>
        <v/>
      </c>
      <c r="D1101" s="5">
        <f>Raw_Transactions!D1101</f>
        <v/>
      </c>
      <c r="E1101" s="4">
        <f>Raw_Transactions!E1101</f>
        <v/>
      </c>
      <c r="F1101" s="4">
        <f>Raw_Transactions!F1101</f>
        <v/>
      </c>
      <c r="G1101" s="4">
        <f>Raw_Transactions!G1101</f>
        <v/>
      </c>
      <c r="H1101" s="4">
        <f>XLOOKUP(B1101,Raw_Risk_Profiles!$A:$A,Raw_Risk_Profiles!$B:$B,"Not Found")</f>
        <v/>
      </c>
      <c r="I1101" s="4">
        <f>XLOOKUP(B1101,Raw_Risk_Profiles!$A:$A,Raw_Risk_Profiles!$C:$C,"Missing")</f>
        <v/>
      </c>
      <c r="J1101" s="4">
        <f>XLOOKUP(B1101,Raw_Risk_Profiles!$A:$A,Raw_Risk_Profiles!$D:$D,"")</f>
        <v/>
      </c>
      <c r="K1101" s="4">
        <f>IFERROR(INDEX(Raw_Risk_Profiles!$E:$E,MATCH(B1101,Raw_Risk_Profiles!$A:$A,0)),"Unknown")</f>
        <v/>
      </c>
      <c r="L1101" s="4">
        <f>IFERROR(XLOOKUP(A1101,Raw_Alerts!$B:$B,Raw_Alerts!$A:$A),"No Alert")</f>
        <v/>
      </c>
      <c r="M1101" s="4">
        <f>IFERROR(XLOOKUP(A1101,Raw_Alerts!$B:$B,Raw_Alerts!$C:$C),"")</f>
        <v/>
      </c>
      <c r="N1101" s="4">
        <f>IFERROR(XLOOKUP(A1101,Raw_Alerts!$B:$B,Raw_Alerts!$D:$D),"")</f>
        <v/>
      </c>
      <c r="O1101" s="4">
        <f>IFERROR(XLOOKUP(A1101,Raw_Alerts!$B:$B,Raw_Alerts!$F:$F),"")</f>
        <v/>
      </c>
      <c r="P1101" s="4">
        <f>IF(H1101="Not Found","CRITICAL: No Risk Profile",IF(I1101="Missing","WARN: Missing KYC",IF(I1101="Expired","WARN: KYC Expired",IF(I1101="Pending","INFO: KYC Pending","OK"))))</f>
        <v/>
      </c>
    </row>
    <row r="1102">
      <c r="A1102" s="2">
        <f>Raw_Transactions!A1102</f>
        <v/>
      </c>
      <c r="B1102" s="2">
        <f>Raw_Transactions!B1102</f>
        <v/>
      </c>
      <c r="C1102" s="2">
        <f>Raw_Transactions!C1102</f>
        <v/>
      </c>
      <c r="D1102" s="3">
        <f>Raw_Transactions!D1102</f>
        <v/>
      </c>
      <c r="E1102" s="2">
        <f>Raw_Transactions!E1102</f>
        <v/>
      </c>
      <c r="F1102" s="2">
        <f>Raw_Transactions!F1102</f>
        <v/>
      </c>
      <c r="G1102" s="2">
        <f>Raw_Transactions!G1102</f>
        <v/>
      </c>
      <c r="H1102" s="2">
        <f>XLOOKUP(B1102,Raw_Risk_Profiles!$A:$A,Raw_Risk_Profiles!$B:$B,"Not Found")</f>
        <v/>
      </c>
      <c r="I1102" s="2">
        <f>XLOOKUP(B1102,Raw_Risk_Profiles!$A:$A,Raw_Risk_Profiles!$C:$C,"Missing")</f>
        <v/>
      </c>
      <c r="J1102" s="2">
        <f>XLOOKUP(B1102,Raw_Risk_Profiles!$A:$A,Raw_Risk_Profiles!$D:$D,"")</f>
        <v/>
      </c>
      <c r="K1102" s="2">
        <f>IFERROR(INDEX(Raw_Risk_Profiles!$E:$E,MATCH(B1102,Raw_Risk_Profiles!$A:$A,0)),"Unknown")</f>
        <v/>
      </c>
      <c r="L1102" s="2">
        <f>IFERROR(XLOOKUP(A1102,Raw_Alerts!$B:$B,Raw_Alerts!$A:$A),"No Alert")</f>
        <v/>
      </c>
      <c r="M1102" s="2">
        <f>IFERROR(XLOOKUP(A1102,Raw_Alerts!$B:$B,Raw_Alerts!$C:$C),"")</f>
        <v/>
      </c>
      <c r="N1102" s="2">
        <f>IFERROR(XLOOKUP(A1102,Raw_Alerts!$B:$B,Raw_Alerts!$D:$D),"")</f>
        <v/>
      </c>
      <c r="O1102" s="2">
        <f>IFERROR(XLOOKUP(A1102,Raw_Alerts!$B:$B,Raw_Alerts!$F:$F),"")</f>
        <v/>
      </c>
      <c r="P1102" s="2">
        <f>IF(H1102="Not Found","CRITICAL: No Risk Profile",IF(I1102="Missing","WARN: Missing KYC",IF(I1102="Expired","WARN: KYC Expired",IF(I1102="Pending","INFO: KYC Pending","OK"))))</f>
        <v/>
      </c>
    </row>
    <row r="1103">
      <c r="A1103" s="4">
        <f>Raw_Transactions!A1103</f>
        <v/>
      </c>
      <c r="B1103" s="4">
        <f>Raw_Transactions!B1103</f>
        <v/>
      </c>
      <c r="C1103" s="4">
        <f>Raw_Transactions!C1103</f>
        <v/>
      </c>
      <c r="D1103" s="5">
        <f>Raw_Transactions!D1103</f>
        <v/>
      </c>
      <c r="E1103" s="4">
        <f>Raw_Transactions!E1103</f>
        <v/>
      </c>
      <c r="F1103" s="4">
        <f>Raw_Transactions!F1103</f>
        <v/>
      </c>
      <c r="G1103" s="4">
        <f>Raw_Transactions!G1103</f>
        <v/>
      </c>
      <c r="H1103" s="4">
        <f>XLOOKUP(B1103,Raw_Risk_Profiles!$A:$A,Raw_Risk_Profiles!$B:$B,"Not Found")</f>
        <v/>
      </c>
      <c r="I1103" s="4">
        <f>XLOOKUP(B1103,Raw_Risk_Profiles!$A:$A,Raw_Risk_Profiles!$C:$C,"Missing")</f>
        <v/>
      </c>
      <c r="J1103" s="4">
        <f>XLOOKUP(B1103,Raw_Risk_Profiles!$A:$A,Raw_Risk_Profiles!$D:$D,"")</f>
        <v/>
      </c>
      <c r="K1103" s="4">
        <f>IFERROR(INDEX(Raw_Risk_Profiles!$E:$E,MATCH(B1103,Raw_Risk_Profiles!$A:$A,0)),"Unknown")</f>
        <v/>
      </c>
      <c r="L1103" s="4">
        <f>IFERROR(XLOOKUP(A1103,Raw_Alerts!$B:$B,Raw_Alerts!$A:$A),"No Alert")</f>
        <v/>
      </c>
      <c r="M1103" s="4">
        <f>IFERROR(XLOOKUP(A1103,Raw_Alerts!$B:$B,Raw_Alerts!$C:$C),"")</f>
        <v/>
      </c>
      <c r="N1103" s="4">
        <f>IFERROR(XLOOKUP(A1103,Raw_Alerts!$B:$B,Raw_Alerts!$D:$D),"")</f>
        <v/>
      </c>
      <c r="O1103" s="4">
        <f>IFERROR(XLOOKUP(A1103,Raw_Alerts!$B:$B,Raw_Alerts!$F:$F),"")</f>
        <v/>
      </c>
      <c r="P1103" s="4">
        <f>IF(H1103="Not Found","CRITICAL: No Risk Profile",IF(I1103="Missing","WARN: Missing KYC",IF(I1103="Expired","WARN: KYC Expired",IF(I1103="Pending","INFO: KYC Pending","OK"))))</f>
        <v/>
      </c>
    </row>
    <row r="1104">
      <c r="A1104" s="2">
        <f>Raw_Transactions!A1104</f>
        <v/>
      </c>
      <c r="B1104" s="2">
        <f>Raw_Transactions!B1104</f>
        <v/>
      </c>
      <c r="C1104" s="2">
        <f>Raw_Transactions!C1104</f>
        <v/>
      </c>
      <c r="D1104" s="3">
        <f>Raw_Transactions!D1104</f>
        <v/>
      </c>
      <c r="E1104" s="2">
        <f>Raw_Transactions!E1104</f>
        <v/>
      </c>
      <c r="F1104" s="2">
        <f>Raw_Transactions!F1104</f>
        <v/>
      </c>
      <c r="G1104" s="2">
        <f>Raw_Transactions!G1104</f>
        <v/>
      </c>
      <c r="H1104" s="2">
        <f>XLOOKUP(B1104,Raw_Risk_Profiles!$A:$A,Raw_Risk_Profiles!$B:$B,"Not Found")</f>
        <v/>
      </c>
      <c r="I1104" s="2">
        <f>XLOOKUP(B1104,Raw_Risk_Profiles!$A:$A,Raw_Risk_Profiles!$C:$C,"Missing")</f>
        <v/>
      </c>
      <c r="J1104" s="2">
        <f>XLOOKUP(B1104,Raw_Risk_Profiles!$A:$A,Raw_Risk_Profiles!$D:$D,"")</f>
        <v/>
      </c>
      <c r="K1104" s="2">
        <f>IFERROR(INDEX(Raw_Risk_Profiles!$E:$E,MATCH(B1104,Raw_Risk_Profiles!$A:$A,0)),"Unknown")</f>
        <v/>
      </c>
      <c r="L1104" s="2">
        <f>IFERROR(XLOOKUP(A1104,Raw_Alerts!$B:$B,Raw_Alerts!$A:$A),"No Alert")</f>
        <v/>
      </c>
      <c r="M1104" s="2">
        <f>IFERROR(XLOOKUP(A1104,Raw_Alerts!$B:$B,Raw_Alerts!$C:$C),"")</f>
        <v/>
      </c>
      <c r="N1104" s="2">
        <f>IFERROR(XLOOKUP(A1104,Raw_Alerts!$B:$B,Raw_Alerts!$D:$D),"")</f>
        <v/>
      </c>
      <c r="O1104" s="2">
        <f>IFERROR(XLOOKUP(A1104,Raw_Alerts!$B:$B,Raw_Alerts!$F:$F),"")</f>
        <v/>
      </c>
      <c r="P1104" s="2">
        <f>IF(H1104="Not Found","CRITICAL: No Risk Profile",IF(I1104="Missing","WARN: Missing KYC",IF(I1104="Expired","WARN: KYC Expired",IF(I1104="Pending","INFO: KYC Pending","OK"))))</f>
        <v/>
      </c>
    </row>
    <row r="1105">
      <c r="A1105" s="4">
        <f>Raw_Transactions!A1105</f>
        <v/>
      </c>
      <c r="B1105" s="4">
        <f>Raw_Transactions!B1105</f>
        <v/>
      </c>
      <c r="C1105" s="4">
        <f>Raw_Transactions!C1105</f>
        <v/>
      </c>
      <c r="D1105" s="5">
        <f>Raw_Transactions!D1105</f>
        <v/>
      </c>
      <c r="E1105" s="4">
        <f>Raw_Transactions!E1105</f>
        <v/>
      </c>
      <c r="F1105" s="4">
        <f>Raw_Transactions!F1105</f>
        <v/>
      </c>
      <c r="G1105" s="4">
        <f>Raw_Transactions!G1105</f>
        <v/>
      </c>
      <c r="H1105" s="4">
        <f>XLOOKUP(B1105,Raw_Risk_Profiles!$A:$A,Raw_Risk_Profiles!$B:$B,"Not Found")</f>
        <v/>
      </c>
      <c r="I1105" s="4">
        <f>XLOOKUP(B1105,Raw_Risk_Profiles!$A:$A,Raw_Risk_Profiles!$C:$C,"Missing")</f>
        <v/>
      </c>
      <c r="J1105" s="4">
        <f>XLOOKUP(B1105,Raw_Risk_Profiles!$A:$A,Raw_Risk_Profiles!$D:$D,"")</f>
        <v/>
      </c>
      <c r="K1105" s="4">
        <f>IFERROR(INDEX(Raw_Risk_Profiles!$E:$E,MATCH(B1105,Raw_Risk_Profiles!$A:$A,0)),"Unknown")</f>
        <v/>
      </c>
      <c r="L1105" s="4">
        <f>IFERROR(XLOOKUP(A1105,Raw_Alerts!$B:$B,Raw_Alerts!$A:$A),"No Alert")</f>
        <v/>
      </c>
      <c r="M1105" s="4">
        <f>IFERROR(XLOOKUP(A1105,Raw_Alerts!$B:$B,Raw_Alerts!$C:$C),"")</f>
        <v/>
      </c>
      <c r="N1105" s="4">
        <f>IFERROR(XLOOKUP(A1105,Raw_Alerts!$B:$B,Raw_Alerts!$D:$D),"")</f>
        <v/>
      </c>
      <c r="O1105" s="4">
        <f>IFERROR(XLOOKUP(A1105,Raw_Alerts!$B:$B,Raw_Alerts!$F:$F),"")</f>
        <v/>
      </c>
      <c r="P1105" s="4">
        <f>IF(H1105="Not Found","CRITICAL: No Risk Profile",IF(I1105="Missing","WARN: Missing KYC",IF(I1105="Expired","WARN: KYC Expired",IF(I1105="Pending","INFO: KYC Pending","OK"))))</f>
        <v/>
      </c>
    </row>
    <row r="1106">
      <c r="A1106" s="2">
        <f>Raw_Transactions!A1106</f>
        <v/>
      </c>
      <c r="B1106" s="2">
        <f>Raw_Transactions!B1106</f>
        <v/>
      </c>
      <c r="C1106" s="2">
        <f>Raw_Transactions!C1106</f>
        <v/>
      </c>
      <c r="D1106" s="3">
        <f>Raw_Transactions!D1106</f>
        <v/>
      </c>
      <c r="E1106" s="2">
        <f>Raw_Transactions!E1106</f>
        <v/>
      </c>
      <c r="F1106" s="2">
        <f>Raw_Transactions!F1106</f>
        <v/>
      </c>
      <c r="G1106" s="2">
        <f>Raw_Transactions!G1106</f>
        <v/>
      </c>
      <c r="H1106" s="2">
        <f>XLOOKUP(B1106,Raw_Risk_Profiles!$A:$A,Raw_Risk_Profiles!$B:$B,"Not Found")</f>
        <v/>
      </c>
      <c r="I1106" s="2">
        <f>XLOOKUP(B1106,Raw_Risk_Profiles!$A:$A,Raw_Risk_Profiles!$C:$C,"Missing")</f>
        <v/>
      </c>
      <c r="J1106" s="2">
        <f>XLOOKUP(B1106,Raw_Risk_Profiles!$A:$A,Raw_Risk_Profiles!$D:$D,"")</f>
        <v/>
      </c>
      <c r="K1106" s="2">
        <f>IFERROR(INDEX(Raw_Risk_Profiles!$E:$E,MATCH(B1106,Raw_Risk_Profiles!$A:$A,0)),"Unknown")</f>
        <v/>
      </c>
      <c r="L1106" s="2">
        <f>IFERROR(XLOOKUP(A1106,Raw_Alerts!$B:$B,Raw_Alerts!$A:$A),"No Alert")</f>
        <v/>
      </c>
      <c r="M1106" s="2">
        <f>IFERROR(XLOOKUP(A1106,Raw_Alerts!$B:$B,Raw_Alerts!$C:$C),"")</f>
        <v/>
      </c>
      <c r="N1106" s="2">
        <f>IFERROR(XLOOKUP(A1106,Raw_Alerts!$B:$B,Raw_Alerts!$D:$D),"")</f>
        <v/>
      </c>
      <c r="O1106" s="2">
        <f>IFERROR(XLOOKUP(A1106,Raw_Alerts!$B:$B,Raw_Alerts!$F:$F),"")</f>
        <v/>
      </c>
      <c r="P1106" s="2">
        <f>IF(H1106="Not Found","CRITICAL: No Risk Profile",IF(I1106="Missing","WARN: Missing KYC",IF(I1106="Expired","WARN: KYC Expired",IF(I1106="Pending","INFO: KYC Pending","OK"))))</f>
        <v/>
      </c>
    </row>
    <row r="1107">
      <c r="A1107" s="4">
        <f>Raw_Transactions!A1107</f>
        <v/>
      </c>
      <c r="B1107" s="4">
        <f>Raw_Transactions!B1107</f>
        <v/>
      </c>
      <c r="C1107" s="4">
        <f>Raw_Transactions!C1107</f>
        <v/>
      </c>
      <c r="D1107" s="5">
        <f>Raw_Transactions!D1107</f>
        <v/>
      </c>
      <c r="E1107" s="4">
        <f>Raw_Transactions!E1107</f>
        <v/>
      </c>
      <c r="F1107" s="4">
        <f>Raw_Transactions!F1107</f>
        <v/>
      </c>
      <c r="G1107" s="4">
        <f>Raw_Transactions!G1107</f>
        <v/>
      </c>
      <c r="H1107" s="4">
        <f>XLOOKUP(B1107,Raw_Risk_Profiles!$A:$A,Raw_Risk_Profiles!$B:$B,"Not Found")</f>
        <v/>
      </c>
      <c r="I1107" s="4">
        <f>XLOOKUP(B1107,Raw_Risk_Profiles!$A:$A,Raw_Risk_Profiles!$C:$C,"Missing")</f>
        <v/>
      </c>
      <c r="J1107" s="4">
        <f>XLOOKUP(B1107,Raw_Risk_Profiles!$A:$A,Raw_Risk_Profiles!$D:$D,"")</f>
        <v/>
      </c>
      <c r="K1107" s="4">
        <f>IFERROR(INDEX(Raw_Risk_Profiles!$E:$E,MATCH(B1107,Raw_Risk_Profiles!$A:$A,0)),"Unknown")</f>
        <v/>
      </c>
      <c r="L1107" s="4">
        <f>IFERROR(XLOOKUP(A1107,Raw_Alerts!$B:$B,Raw_Alerts!$A:$A),"No Alert")</f>
        <v/>
      </c>
      <c r="M1107" s="4">
        <f>IFERROR(XLOOKUP(A1107,Raw_Alerts!$B:$B,Raw_Alerts!$C:$C),"")</f>
        <v/>
      </c>
      <c r="N1107" s="4">
        <f>IFERROR(XLOOKUP(A1107,Raw_Alerts!$B:$B,Raw_Alerts!$D:$D),"")</f>
        <v/>
      </c>
      <c r="O1107" s="4">
        <f>IFERROR(XLOOKUP(A1107,Raw_Alerts!$B:$B,Raw_Alerts!$F:$F),"")</f>
        <v/>
      </c>
      <c r="P1107" s="4">
        <f>IF(H1107="Not Found","CRITICAL: No Risk Profile",IF(I1107="Missing","WARN: Missing KYC",IF(I1107="Expired","WARN: KYC Expired",IF(I1107="Pending","INFO: KYC Pending","OK"))))</f>
        <v/>
      </c>
    </row>
    <row r="1108">
      <c r="A1108" s="2">
        <f>Raw_Transactions!A1108</f>
        <v/>
      </c>
      <c r="B1108" s="2">
        <f>Raw_Transactions!B1108</f>
        <v/>
      </c>
      <c r="C1108" s="2">
        <f>Raw_Transactions!C1108</f>
        <v/>
      </c>
      <c r="D1108" s="3">
        <f>Raw_Transactions!D1108</f>
        <v/>
      </c>
      <c r="E1108" s="2">
        <f>Raw_Transactions!E1108</f>
        <v/>
      </c>
      <c r="F1108" s="2">
        <f>Raw_Transactions!F1108</f>
        <v/>
      </c>
      <c r="G1108" s="2">
        <f>Raw_Transactions!G1108</f>
        <v/>
      </c>
      <c r="H1108" s="2">
        <f>XLOOKUP(B1108,Raw_Risk_Profiles!$A:$A,Raw_Risk_Profiles!$B:$B,"Not Found")</f>
        <v/>
      </c>
      <c r="I1108" s="2">
        <f>XLOOKUP(B1108,Raw_Risk_Profiles!$A:$A,Raw_Risk_Profiles!$C:$C,"Missing")</f>
        <v/>
      </c>
      <c r="J1108" s="2">
        <f>XLOOKUP(B1108,Raw_Risk_Profiles!$A:$A,Raw_Risk_Profiles!$D:$D,"")</f>
        <v/>
      </c>
      <c r="K1108" s="2">
        <f>IFERROR(INDEX(Raw_Risk_Profiles!$E:$E,MATCH(B1108,Raw_Risk_Profiles!$A:$A,0)),"Unknown")</f>
        <v/>
      </c>
      <c r="L1108" s="2">
        <f>IFERROR(XLOOKUP(A1108,Raw_Alerts!$B:$B,Raw_Alerts!$A:$A),"No Alert")</f>
        <v/>
      </c>
      <c r="M1108" s="2">
        <f>IFERROR(XLOOKUP(A1108,Raw_Alerts!$B:$B,Raw_Alerts!$C:$C),"")</f>
        <v/>
      </c>
      <c r="N1108" s="2">
        <f>IFERROR(XLOOKUP(A1108,Raw_Alerts!$B:$B,Raw_Alerts!$D:$D),"")</f>
        <v/>
      </c>
      <c r="O1108" s="2">
        <f>IFERROR(XLOOKUP(A1108,Raw_Alerts!$B:$B,Raw_Alerts!$F:$F),"")</f>
        <v/>
      </c>
      <c r="P1108" s="2">
        <f>IF(H1108="Not Found","CRITICAL: No Risk Profile",IF(I1108="Missing","WARN: Missing KYC",IF(I1108="Expired","WARN: KYC Expired",IF(I1108="Pending","INFO: KYC Pending","OK"))))</f>
        <v/>
      </c>
    </row>
    <row r="1109">
      <c r="A1109" s="4">
        <f>Raw_Transactions!A1109</f>
        <v/>
      </c>
      <c r="B1109" s="4">
        <f>Raw_Transactions!B1109</f>
        <v/>
      </c>
      <c r="C1109" s="4">
        <f>Raw_Transactions!C1109</f>
        <v/>
      </c>
      <c r="D1109" s="5">
        <f>Raw_Transactions!D1109</f>
        <v/>
      </c>
      <c r="E1109" s="4">
        <f>Raw_Transactions!E1109</f>
        <v/>
      </c>
      <c r="F1109" s="4">
        <f>Raw_Transactions!F1109</f>
        <v/>
      </c>
      <c r="G1109" s="4">
        <f>Raw_Transactions!G1109</f>
        <v/>
      </c>
      <c r="H1109" s="4">
        <f>XLOOKUP(B1109,Raw_Risk_Profiles!$A:$A,Raw_Risk_Profiles!$B:$B,"Not Found")</f>
        <v/>
      </c>
      <c r="I1109" s="4">
        <f>XLOOKUP(B1109,Raw_Risk_Profiles!$A:$A,Raw_Risk_Profiles!$C:$C,"Missing")</f>
        <v/>
      </c>
      <c r="J1109" s="4">
        <f>XLOOKUP(B1109,Raw_Risk_Profiles!$A:$A,Raw_Risk_Profiles!$D:$D,"")</f>
        <v/>
      </c>
      <c r="K1109" s="4">
        <f>IFERROR(INDEX(Raw_Risk_Profiles!$E:$E,MATCH(B1109,Raw_Risk_Profiles!$A:$A,0)),"Unknown")</f>
        <v/>
      </c>
      <c r="L1109" s="4">
        <f>IFERROR(XLOOKUP(A1109,Raw_Alerts!$B:$B,Raw_Alerts!$A:$A),"No Alert")</f>
        <v/>
      </c>
      <c r="M1109" s="4">
        <f>IFERROR(XLOOKUP(A1109,Raw_Alerts!$B:$B,Raw_Alerts!$C:$C),"")</f>
        <v/>
      </c>
      <c r="N1109" s="4">
        <f>IFERROR(XLOOKUP(A1109,Raw_Alerts!$B:$B,Raw_Alerts!$D:$D),"")</f>
        <v/>
      </c>
      <c r="O1109" s="4">
        <f>IFERROR(XLOOKUP(A1109,Raw_Alerts!$B:$B,Raw_Alerts!$F:$F),"")</f>
        <v/>
      </c>
      <c r="P1109" s="4">
        <f>IF(H1109="Not Found","CRITICAL: No Risk Profile",IF(I1109="Missing","WARN: Missing KYC",IF(I1109="Expired","WARN: KYC Expired",IF(I1109="Pending","INFO: KYC Pending","OK"))))</f>
        <v/>
      </c>
    </row>
    <row r="1110">
      <c r="A1110" s="2">
        <f>Raw_Transactions!A1110</f>
        <v/>
      </c>
      <c r="B1110" s="2">
        <f>Raw_Transactions!B1110</f>
        <v/>
      </c>
      <c r="C1110" s="2">
        <f>Raw_Transactions!C1110</f>
        <v/>
      </c>
      <c r="D1110" s="3">
        <f>Raw_Transactions!D1110</f>
        <v/>
      </c>
      <c r="E1110" s="2">
        <f>Raw_Transactions!E1110</f>
        <v/>
      </c>
      <c r="F1110" s="2">
        <f>Raw_Transactions!F1110</f>
        <v/>
      </c>
      <c r="G1110" s="2">
        <f>Raw_Transactions!G1110</f>
        <v/>
      </c>
      <c r="H1110" s="2">
        <f>XLOOKUP(B1110,Raw_Risk_Profiles!$A:$A,Raw_Risk_Profiles!$B:$B,"Not Found")</f>
        <v/>
      </c>
      <c r="I1110" s="2">
        <f>XLOOKUP(B1110,Raw_Risk_Profiles!$A:$A,Raw_Risk_Profiles!$C:$C,"Missing")</f>
        <v/>
      </c>
      <c r="J1110" s="2">
        <f>XLOOKUP(B1110,Raw_Risk_Profiles!$A:$A,Raw_Risk_Profiles!$D:$D,"")</f>
        <v/>
      </c>
      <c r="K1110" s="2">
        <f>IFERROR(INDEX(Raw_Risk_Profiles!$E:$E,MATCH(B1110,Raw_Risk_Profiles!$A:$A,0)),"Unknown")</f>
        <v/>
      </c>
      <c r="L1110" s="2">
        <f>IFERROR(XLOOKUP(A1110,Raw_Alerts!$B:$B,Raw_Alerts!$A:$A),"No Alert")</f>
        <v/>
      </c>
      <c r="M1110" s="2">
        <f>IFERROR(XLOOKUP(A1110,Raw_Alerts!$B:$B,Raw_Alerts!$C:$C),"")</f>
        <v/>
      </c>
      <c r="N1110" s="2">
        <f>IFERROR(XLOOKUP(A1110,Raw_Alerts!$B:$B,Raw_Alerts!$D:$D),"")</f>
        <v/>
      </c>
      <c r="O1110" s="2">
        <f>IFERROR(XLOOKUP(A1110,Raw_Alerts!$B:$B,Raw_Alerts!$F:$F),"")</f>
        <v/>
      </c>
      <c r="P1110" s="2">
        <f>IF(H1110="Not Found","CRITICAL: No Risk Profile",IF(I1110="Missing","WARN: Missing KYC",IF(I1110="Expired","WARN: KYC Expired",IF(I1110="Pending","INFO: KYC Pending","OK"))))</f>
        <v/>
      </c>
    </row>
    <row r="1111">
      <c r="A1111" s="4">
        <f>Raw_Transactions!A1111</f>
        <v/>
      </c>
      <c r="B1111" s="4">
        <f>Raw_Transactions!B1111</f>
        <v/>
      </c>
      <c r="C1111" s="4">
        <f>Raw_Transactions!C1111</f>
        <v/>
      </c>
      <c r="D1111" s="5">
        <f>Raw_Transactions!D1111</f>
        <v/>
      </c>
      <c r="E1111" s="4">
        <f>Raw_Transactions!E1111</f>
        <v/>
      </c>
      <c r="F1111" s="4">
        <f>Raw_Transactions!F1111</f>
        <v/>
      </c>
      <c r="G1111" s="4">
        <f>Raw_Transactions!G1111</f>
        <v/>
      </c>
      <c r="H1111" s="4">
        <f>XLOOKUP(B1111,Raw_Risk_Profiles!$A:$A,Raw_Risk_Profiles!$B:$B,"Not Found")</f>
        <v/>
      </c>
      <c r="I1111" s="4">
        <f>XLOOKUP(B1111,Raw_Risk_Profiles!$A:$A,Raw_Risk_Profiles!$C:$C,"Missing")</f>
        <v/>
      </c>
      <c r="J1111" s="4">
        <f>XLOOKUP(B1111,Raw_Risk_Profiles!$A:$A,Raw_Risk_Profiles!$D:$D,"")</f>
        <v/>
      </c>
      <c r="K1111" s="4">
        <f>IFERROR(INDEX(Raw_Risk_Profiles!$E:$E,MATCH(B1111,Raw_Risk_Profiles!$A:$A,0)),"Unknown")</f>
        <v/>
      </c>
      <c r="L1111" s="4">
        <f>IFERROR(XLOOKUP(A1111,Raw_Alerts!$B:$B,Raw_Alerts!$A:$A),"No Alert")</f>
        <v/>
      </c>
      <c r="M1111" s="4">
        <f>IFERROR(XLOOKUP(A1111,Raw_Alerts!$B:$B,Raw_Alerts!$C:$C),"")</f>
        <v/>
      </c>
      <c r="N1111" s="4">
        <f>IFERROR(XLOOKUP(A1111,Raw_Alerts!$B:$B,Raw_Alerts!$D:$D),"")</f>
        <v/>
      </c>
      <c r="O1111" s="4">
        <f>IFERROR(XLOOKUP(A1111,Raw_Alerts!$B:$B,Raw_Alerts!$F:$F),"")</f>
        <v/>
      </c>
      <c r="P1111" s="4">
        <f>IF(H1111="Not Found","CRITICAL: No Risk Profile",IF(I1111="Missing","WARN: Missing KYC",IF(I1111="Expired","WARN: KYC Expired",IF(I1111="Pending","INFO: KYC Pending","OK"))))</f>
        <v/>
      </c>
    </row>
    <row r="1112">
      <c r="A1112" s="2">
        <f>Raw_Transactions!A1112</f>
        <v/>
      </c>
      <c r="B1112" s="2">
        <f>Raw_Transactions!B1112</f>
        <v/>
      </c>
      <c r="C1112" s="2">
        <f>Raw_Transactions!C1112</f>
        <v/>
      </c>
      <c r="D1112" s="3">
        <f>Raw_Transactions!D1112</f>
        <v/>
      </c>
      <c r="E1112" s="2">
        <f>Raw_Transactions!E1112</f>
        <v/>
      </c>
      <c r="F1112" s="2">
        <f>Raw_Transactions!F1112</f>
        <v/>
      </c>
      <c r="G1112" s="2">
        <f>Raw_Transactions!G1112</f>
        <v/>
      </c>
      <c r="H1112" s="2">
        <f>XLOOKUP(B1112,Raw_Risk_Profiles!$A:$A,Raw_Risk_Profiles!$B:$B,"Not Found")</f>
        <v/>
      </c>
      <c r="I1112" s="2">
        <f>XLOOKUP(B1112,Raw_Risk_Profiles!$A:$A,Raw_Risk_Profiles!$C:$C,"Missing")</f>
        <v/>
      </c>
      <c r="J1112" s="2">
        <f>XLOOKUP(B1112,Raw_Risk_Profiles!$A:$A,Raw_Risk_Profiles!$D:$D,"")</f>
        <v/>
      </c>
      <c r="K1112" s="2">
        <f>IFERROR(INDEX(Raw_Risk_Profiles!$E:$E,MATCH(B1112,Raw_Risk_Profiles!$A:$A,0)),"Unknown")</f>
        <v/>
      </c>
      <c r="L1112" s="2">
        <f>IFERROR(XLOOKUP(A1112,Raw_Alerts!$B:$B,Raw_Alerts!$A:$A),"No Alert")</f>
        <v/>
      </c>
      <c r="M1112" s="2">
        <f>IFERROR(XLOOKUP(A1112,Raw_Alerts!$B:$B,Raw_Alerts!$C:$C),"")</f>
        <v/>
      </c>
      <c r="N1112" s="2">
        <f>IFERROR(XLOOKUP(A1112,Raw_Alerts!$B:$B,Raw_Alerts!$D:$D),"")</f>
        <v/>
      </c>
      <c r="O1112" s="2">
        <f>IFERROR(XLOOKUP(A1112,Raw_Alerts!$B:$B,Raw_Alerts!$F:$F),"")</f>
        <v/>
      </c>
      <c r="P1112" s="2">
        <f>IF(H1112="Not Found","CRITICAL: No Risk Profile",IF(I1112="Missing","WARN: Missing KYC",IF(I1112="Expired","WARN: KYC Expired",IF(I1112="Pending","INFO: KYC Pending","OK"))))</f>
        <v/>
      </c>
    </row>
    <row r="1113">
      <c r="A1113" s="4">
        <f>Raw_Transactions!A1113</f>
        <v/>
      </c>
      <c r="B1113" s="4">
        <f>Raw_Transactions!B1113</f>
        <v/>
      </c>
      <c r="C1113" s="4">
        <f>Raw_Transactions!C1113</f>
        <v/>
      </c>
      <c r="D1113" s="5">
        <f>Raw_Transactions!D1113</f>
        <v/>
      </c>
      <c r="E1113" s="4">
        <f>Raw_Transactions!E1113</f>
        <v/>
      </c>
      <c r="F1113" s="4">
        <f>Raw_Transactions!F1113</f>
        <v/>
      </c>
      <c r="G1113" s="4">
        <f>Raw_Transactions!G1113</f>
        <v/>
      </c>
      <c r="H1113" s="4">
        <f>XLOOKUP(B1113,Raw_Risk_Profiles!$A:$A,Raw_Risk_Profiles!$B:$B,"Not Found")</f>
        <v/>
      </c>
      <c r="I1113" s="4">
        <f>XLOOKUP(B1113,Raw_Risk_Profiles!$A:$A,Raw_Risk_Profiles!$C:$C,"Missing")</f>
        <v/>
      </c>
      <c r="J1113" s="4">
        <f>XLOOKUP(B1113,Raw_Risk_Profiles!$A:$A,Raw_Risk_Profiles!$D:$D,"")</f>
        <v/>
      </c>
      <c r="K1113" s="4">
        <f>IFERROR(INDEX(Raw_Risk_Profiles!$E:$E,MATCH(B1113,Raw_Risk_Profiles!$A:$A,0)),"Unknown")</f>
        <v/>
      </c>
      <c r="L1113" s="4">
        <f>IFERROR(XLOOKUP(A1113,Raw_Alerts!$B:$B,Raw_Alerts!$A:$A),"No Alert")</f>
        <v/>
      </c>
      <c r="M1113" s="4">
        <f>IFERROR(XLOOKUP(A1113,Raw_Alerts!$B:$B,Raw_Alerts!$C:$C),"")</f>
        <v/>
      </c>
      <c r="N1113" s="4">
        <f>IFERROR(XLOOKUP(A1113,Raw_Alerts!$B:$B,Raw_Alerts!$D:$D),"")</f>
        <v/>
      </c>
      <c r="O1113" s="4">
        <f>IFERROR(XLOOKUP(A1113,Raw_Alerts!$B:$B,Raw_Alerts!$F:$F),"")</f>
        <v/>
      </c>
      <c r="P1113" s="4">
        <f>IF(H1113="Not Found","CRITICAL: No Risk Profile",IF(I1113="Missing","WARN: Missing KYC",IF(I1113="Expired","WARN: KYC Expired",IF(I1113="Pending","INFO: KYC Pending","OK"))))</f>
        <v/>
      </c>
    </row>
    <row r="1114">
      <c r="A1114" s="2">
        <f>Raw_Transactions!A1114</f>
        <v/>
      </c>
      <c r="B1114" s="2">
        <f>Raw_Transactions!B1114</f>
        <v/>
      </c>
      <c r="C1114" s="2">
        <f>Raw_Transactions!C1114</f>
        <v/>
      </c>
      <c r="D1114" s="3">
        <f>Raw_Transactions!D1114</f>
        <v/>
      </c>
      <c r="E1114" s="2">
        <f>Raw_Transactions!E1114</f>
        <v/>
      </c>
      <c r="F1114" s="2">
        <f>Raw_Transactions!F1114</f>
        <v/>
      </c>
      <c r="G1114" s="2">
        <f>Raw_Transactions!G1114</f>
        <v/>
      </c>
      <c r="H1114" s="2">
        <f>XLOOKUP(B1114,Raw_Risk_Profiles!$A:$A,Raw_Risk_Profiles!$B:$B,"Not Found")</f>
        <v/>
      </c>
      <c r="I1114" s="2">
        <f>XLOOKUP(B1114,Raw_Risk_Profiles!$A:$A,Raw_Risk_Profiles!$C:$C,"Missing")</f>
        <v/>
      </c>
      <c r="J1114" s="2">
        <f>XLOOKUP(B1114,Raw_Risk_Profiles!$A:$A,Raw_Risk_Profiles!$D:$D,"")</f>
        <v/>
      </c>
      <c r="K1114" s="2">
        <f>IFERROR(INDEX(Raw_Risk_Profiles!$E:$E,MATCH(B1114,Raw_Risk_Profiles!$A:$A,0)),"Unknown")</f>
        <v/>
      </c>
      <c r="L1114" s="2">
        <f>IFERROR(XLOOKUP(A1114,Raw_Alerts!$B:$B,Raw_Alerts!$A:$A),"No Alert")</f>
        <v/>
      </c>
      <c r="M1114" s="2">
        <f>IFERROR(XLOOKUP(A1114,Raw_Alerts!$B:$B,Raw_Alerts!$C:$C),"")</f>
        <v/>
      </c>
      <c r="N1114" s="2">
        <f>IFERROR(XLOOKUP(A1114,Raw_Alerts!$B:$B,Raw_Alerts!$D:$D),"")</f>
        <v/>
      </c>
      <c r="O1114" s="2">
        <f>IFERROR(XLOOKUP(A1114,Raw_Alerts!$B:$B,Raw_Alerts!$F:$F),"")</f>
        <v/>
      </c>
      <c r="P1114" s="2">
        <f>IF(H1114="Not Found","CRITICAL: No Risk Profile",IF(I1114="Missing","WARN: Missing KYC",IF(I1114="Expired","WARN: KYC Expired",IF(I1114="Pending","INFO: KYC Pending","OK"))))</f>
        <v/>
      </c>
    </row>
    <row r="1115">
      <c r="A1115" s="4">
        <f>Raw_Transactions!A1115</f>
        <v/>
      </c>
      <c r="B1115" s="4">
        <f>Raw_Transactions!B1115</f>
        <v/>
      </c>
      <c r="C1115" s="4">
        <f>Raw_Transactions!C1115</f>
        <v/>
      </c>
      <c r="D1115" s="5">
        <f>Raw_Transactions!D1115</f>
        <v/>
      </c>
      <c r="E1115" s="4">
        <f>Raw_Transactions!E1115</f>
        <v/>
      </c>
      <c r="F1115" s="4">
        <f>Raw_Transactions!F1115</f>
        <v/>
      </c>
      <c r="G1115" s="4">
        <f>Raw_Transactions!G1115</f>
        <v/>
      </c>
      <c r="H1115" s="4">
        <f>XLOOKUP(B1115,Raw_Risk_Profiles!$A:$A,Raw_Risk_Profiles!$B:$B,"Not Found")</f>
        <v/>
      </c>
      <c r="I1115" s="4">
        <f>XLOOKUP(B1115,Raw_Risk_Profiles!$A:$A,Raw_Risk_Profiles!$C:$C,"Missing")</f>
        <v/>
      </c>
      <c r="J1115" s="4">
        <f>XLOOKUP(B1115,Raw_Risk_Profiles!$A:$A,Raw_Risk_Profiles!$D:$D,"")</f>
        <v/>
      </c>
      <c r="K1115" s="4">
        <f>IFERROR(INDEX(Raw_Risk_Profiles!$E:$E,MATCH(B1115,Raw_Risk_Profiles!$A:$A,0)),"Unknown")</f>
        <v/>
      </c>
      <c r="L1115" s="4">
        <f>IFERROR(XLOOKUP(A1115,Raw_Alerts!$B:$B,Raw_Alerts!$A:$A),"No Alert")</f>
        <v/>
      </c>
      <c r="M1115" s="4">
        <f>IFERROR(XLOOKUP(A1115,Raw_Alerts!$B:$B,Raw_Alerts!$C:$C),"")</f>
        <v/>
      </c>
      <c r="N1115" s="4">
        <f>IFERROR(XLOOKUP(A1115,Raw_Alerts!$B:$B,Raw_Alerts!$D:$D),"")</f>
        <v/>
      </c>
      <c r="O1115" s="4">
        <f>IFERROR(XLOOKUP(A1115,Raw_Alerts!$B:$B,Raw_Alerts!$F:$F),"")</f>
        <v/>
      </c>
      <c r="P1115" s="4">
        <f>IF(H1115="Not Found","CRITICAL: No Risk Profile",IF(I1115="Missing","WARN: Missing KYC",IF(I1115="Expired","WARN: KYC Expired",IF(I1115="Pending","INFO: KYC Pending","OK"))))</f>
        <v/>
      </c>
    </row>
    <row r="1116">
      <c r="A1116" s="2">
        <f>Raw_Transactions!A1116</f>
        <v/>
      </c>
      <c r="B1116" s="2">
        <f>Raw_Transactions!B1116</f>
        <v/>
      </c>
      <c r="C1116" s="2">
        <f>Raw_Transactions!C1116</f>
        <v/>
      </c>
      <c r="D1116" s="3">
        <f>Raw_Transactions!D1116</f>
        <v/>
      </c>
      <c r="E1116" s="2">
        <f>Raw_Transactions!E1116</f>
        <v/>
      </c>
      <c r="F1116" s="2">
        <f>Raw_Transactions!F1116</f>
        <v/>
      </c>
      <c r="G1116" s="2">
        <f>Raw_Transactions!G1116</f>
        <v/>
      </c>
      <c r="H1116" s="2">
        <f>XLOOKUP(B1116,Raw_Risk_Profiles!$A:$A,Raw_Risk_Profiles!$B:$B,"Not Found")</f>
        <v/>
      </c>
      <c r="I1116" s="2">
        <f>XLOOKUP(B1116,Raw_Risk_Profiles!$A:$A,Raw_Risk_Profiles!$C:$C,"Missing")</f>
        <v/>
      </c>
      <c r="J1116" s="2">
        <f>XLOOKUP(B1116,Raw_Risk_Profiles!$A:$A,Raw_Risk_Profiles!$D:$D,"")</f>
        <v/>
      </c>
      <c r="K1116" s="2">
        <f>IFERROR(INDEX(Raw_Risk_Profiles!$E:$E,MATCH(B1116,Raw_Risk_Profiles!$A:$A,0)),"Unknown")</f>
        <v/>
      </c>
      <c r="L1116" s="2">
        <f>IFERROR(XLOOKUP(A1116,Raw_Alerts!$B:$B,Raw_Alerts!$A:$A),"No Alert")</f>
        <v/>
      </c>
      <c r="M1116" s="2">
        <f>IFERROR(XLOOKUP(A1116,Raw_Alerts!$B:$B,Raw_Alerts!$C:$C),"")</f>
        <v/>
      </c>
      <c r="N1116" s="2">
        <f>IFERROR(XLOOKUP(A1116,Raw_Alerts!$B:$B,Raw_Alerts!$D:$D),"")</f>
        <v/>
      </c>
      <c r="O1116" s="2">
        <f>IFERROR(XLOOKUP(A1116,Raw_Alerts!$B:$B,Raw_Alerts!$F:$F),"")</f>
        <v/>
      </c>
      <c r="P1116" s="2">
        <f>IF(H1116="Not Found","CRITICAL: No Risk Profile",IF(I1116="Missing","WARN: Missing KYC",IF(I1116="Expired","WARN: KYC Expired",IF(I1116="Pending","INFO: KYC Pending","OK"))))</f>
        <v/>
      </c>
    </row>
    <row r="1117">
      <c r="A1117" s="4">
        <f>Raw_Transactions!A1117</f>
        <v/>
      </c>
      <c r="B1117" s="4">
        <f>Raw_Transactions!B1117</f>
        <v/>
      </c>
      <c r="C1117" s="4">
        <f>Raw_Transactions!C1117</f>
        <v/>
      </c>
      <c r="D1117" s="5">
        <f>Raw_Transactions!D1117</f>
        <v/>
      </c>
      <c r="E1117" s="4">
        <f>Raw_Transactions!E1117</f>
        <v/>
      </c>
      <c r="F1117" s="4">
        <f>Raw_Transactions!F1117</f>
        <v/>
      </c>
      <c r="G1117" s="4">
        <f>Raw_Transactions!G1117</f>
        <v/>
      </c>
      <c r="H1117" s="4">
        <f>XLOOKUP(B1117,Raw_Risk_Profiles!$A:$A,Raw_Risk_Profiles!$B:$B,"Not Found")</f>
        <v/>
      </c>
      <c r="I1117" s="4">
        <f>XLOOKUP(B1117,Raw_Risk_Profiles!$A:$A,Raw_Risk_Profiles!$C:$C,"Missing")</f>
        <v/>
      </c>
      <c r="J1117" s="4">
        <f>XLOOKUP(B1117,Raw_Risk_Profiles!$A:$A,Raw_Risk_Profiles!$D:$D,"")</f>
        <v/>
      </c>
      <c r="K1117" s="4">
        <f>IFERROR(INDEX(Raw_Risk_Profiles!$E:$E,MATCH(B1117,Raw_Risk_Profiles!$A:$A,0)),"Unknown")</f>
        <v/>
      </c>
      <c r="L1117" s="4">
        <f>IFERROR(XLOOKUP(A1117,Raw_Alerts!$B:$B,Raw_Alerts!$A:$A),"No Alert")</f>
        <v/>
      </c>
      <c r="M1117" s="4">
        <f>IFERROR(XLOOKUP(A1117,Raw_Alerts!$B:$B,Raw_Alerts!$C:$C),"")</f>
        <v/>
      </c>
      <c r="N1117" s="4">
        <f>IFERROR(XLOOKUP(A1117,Raw_Alerts!$B:$B,Raw_Alerts!$D:$D),"")</f>
        <v/>
      </c>
      <c r="O1117" s="4">
        <f>IFERROR(XLOOKUP(A1117,Raw_Alerts!$B:$B,Raw_Alerts!$F:$F),"")</f>
        <v/>
      </c>
      <c r="P1117" s="4">
        <f>IF(H1117="Not Found","CRITICAL: No Risk Profile",IF(I1117="Missing","WARN: Missing KYC",IF(I1117="Expired","WARN: KYC Expired",IF(I1117="Pending","INFO: KYC Pending","OK"))))</f>
        <v/>
      </c>
    </row>
    <row r="1118">
      <c r="A1118" s="2">
        <f>Raw_Transactions!A1118</f>
        <v/>
      </c>
      <c r="B1118" s="2">
        <f>Raw_Transactions!B1118</f>
        <v/>
      </c>
      <c r="C1118" s="2">
        <f>Raw_Transactions!C1118</f>
        <v/>
      </c>
      <c r="D1118" s="3">
        <f>Raw_Transactions!D1118</f>
        <v/>
      </c>
      <c r="E1118" s="2">
        <f>Raw_Transactions!E1118</f>
        <v/>
      </c>
      <c r="F1118" s="2">
        <f>Raw_Transactions!F1118</f>
        <v/>
      </c>
      <c r="G1118" s="2">
        <f>Raw_Transactions!G1118</f>
        <v/>
      </c>
      <c r="H1118" s="2">
        <f>XLOOKUP(B1118,Raw_Risk_Profiles!$A:$A,Raw_Risk_Profiles!$B:$B,"Not Found")</f>
        <v/>
      </c>
      <c r="I1118" s="2">
        <f>XLOOKUP(B1118,Raw_Risk_Profiles!$A:$A,Raw_Risk_Profiles!$C:$C,"Missing")</f>
        <v/>
      </c>
      <c r="J1118" s="2">
        <f>XLOOKUP(B1118,Raw_Risk_Profiles!$A:$A,Raw_Risk_Profiles!$D:$D,"")</f>
        <v/>
      </c>
      <c r="K1118" s="2">
        <f>IFERROR(INDEX(Raw_Risk_Profiles!$E:$E,MATCH(B1118,Raw_Risk_Profiles!$A:$A,0)),"Unknown")</f>
        <v/>
      </c>
      <c r="L1118" s="2">
        <f>IFERROR(XLOOKUP(A1118,Raw_Alerts!$B:$B,Raw_Alerts!$A:$A),"No Alert")</f>
        <v/>
      </c>
      <c r="M1118" s="2">
        <f>IFERROR(XLOOKUP(A1118,Raw_Alerts!$B:$B,Raw_Alerts!$C:$C),"")</f>
        <v/>
      </c>
      <c r="N1118" s="2">
        <f>IFERROR(XLOOKUP(A1118,Raw_Alerts!$B:$B,Raw_Alerts!$D:$D),"")</f>
        <v/>
      </c>
      <c r="O1118" s="2">
        <f>IFERROR(XLOOKUP(A1118,Raw_Alerts!$B:$B,Raw_Alerts!$F:$F),"")</f>
        <v/>
      </c>
      <c r="P1118" s="2">
        <f>IF(H1118="Not Found","CRITICAL: No Risk Profile",IF(I1118="Missing","WARN: Missing KYC",IF(I1118="Expired","WARN: KYC Expired",IF(I1118="Pending","INFO: KYC Pending","OK"))))</f>
        <v/>
      </c>
    </row>
    <row r="1119">
      <c r="A1119" s="4">
        <f>Raw_Transactions!A1119</f>
        <v/>
      </c>
      <c r="B1119" s="4">
        <f>Raw_Transactions!B1119</f>
        <v/>
      </c>
      <c r="C1119" s="4">
        <f>Raw_Transactions!C1119</f>
        <v/>
      </c>
      <c r="D1119" s="5">
        <f>Raw_Transactions!D1119</f>
        <v/>
      </c>
      <c r="E1119" s="4">
        <f>Raw_Transactions!E1119</f>
        <v/>
      </c>
      <c r="F1119" s="4">
        <f>Raw_Transactions!F1119</f>
        <v/>
      </c>
      <c r="G1119" s="4">
        <f>Raw_Transactions!G1119</f>
        <v/>
      </c>
      <c r="H1119" s="4">
        <f>XLOOKUP(B1119,Raw_Risk_Profiles!$A:$A,Raw_Risk_Profiles!$B:$B,"Not Found")</f>
        <v/>
      </c>
      <c r="I1119" s="4">
        <f>XLOOKUP(B1119,Raw_Risk_Profiles!$A:$A,Raw_Risk_Profiles!$C:$C,"Missing")</f>
        <v/>
      </c>
      <c r="J1119" s="4">
        <f>XLOOKUP(B1119,Raw_Risk_Profiles!$A:$A,Raw_Risk_Profiles!$D:$D,"")</f>
        <v/>
      </c>
      <c r="K1119" s="4">
        <f>IFERROR(INDEX(Raw_Risk_Profiles!$E:$E,MATCH(B1119,Raw_Risk_Profiles!$A:$A,0)),"Unknown")</f>
        <v/>
      </c>
      <c r="L1119" s="4">
        <f>IFERROR(XLOOKUP(A1119,Raw_Alerts!$B:$B,Raw_Alerts!$A:$A),"No Alert")</f>
        <v/>
      </c>
      <c r="M1119" s="4">
        <f>IFERROR(XLOOKUP(A1119,Raw_Alerts!$B:$B,Raw_Alerts!$C:$C),"")</f>
        <v/>
      </c>
      <c r="N1119" s="4">
        <f>IFERROR(XLOOKUP(A1119,Raw_Alerts!$B:$B,Raw_Alerts!$D:$D),"")</f>
        <v/>
      </c>
      <c r="O1119" s="4">
        <f>IFERROR(XLOOKUP(A1119,Raw_Alerts!$B:$B,Raw_Alerts!$F:$F),"")</f>
        <v/>
      </c>
      <c r="P1119" s="4">
        <f>IF(H1119="Not Found","CRITICAL: No Risk Profile",IF(I1119="Missing","WARN: Missing KYC",IF(I1119="Expired","WARN: KYC Expired",IF(I1119="Pending","INFO: KYC Pending","OK"))))</f>
        <v/>
      </c>
    </row>
    <row r="1120">
      <c r="A1120" s="2">
        <f>Raw_Transactions!A1120</f>
        <v/>
      </c>
      <c r="B1120" s="2">
        <f>Raw_Transactions!B1120</f>
        <v/>
      </c>
      <c r="C1120" s="2">
        <f>Raw_Transactions!C1120</f>
        <v/>
      </c>
      <c r="D1120" s="3">
        <f>Raw_Transactions!D1120</f>
        <v/>
      </c>
      <c r="E1120" s="2">
        <f>Raw_Transactions!E1120</f>
        <v/>
      </c>
      <c r="F1120" s="2">
        <f>Raw_Transactions!F1120</f>
        <v/>
      </c>
      <c r="G1120" s="2">
        <f>Raw_Transactions!G1120</f>
        <v/>
      </c>
      <c r="H1120" s="2">
        <f>XLOOKUP(B1120,Raw_Risk_Profiles!$A:$A,Raw_Risk_Profiles!$B:$B,"Not Found")</f>
        <v/>
      </c>
      <c r="I1120" s="2">
        <f>XLOOKUP(B1120,Raw_Risk_Profiles!$A:$A,Raw_Risk_Profiles!$C:$C,"Missing")</f>
        <v/>
      </c>
      <c r="J1120" s="2">
        <f>XLOOKUP(B1120,Raw_Risk_Profiles!$A:$A,Raw_Risk_Profiles!$D:$D,"")</f>
        <v/>
      </c>
      <c r="K1120" s="2">
        <f>IFERROR(INDEX(Raw_Risk_Profiles!$E:$E,MATCH(B1120,Raw_Risk_Profiles!$A:$A,0)),"Unknown")</f>
        <v/>
      </c>
      <c r="L1120" s="2">
        <f>IFERROR(XLOOKUP(A1120,Raw_Alerts!$B:$B,Raw_Alerts!$A:$A),"No Alert")</f>
        <v/>
      </c>
      <c r="M1120" s="2">
        <f>IFERROR(XLOOKUP(A1120,Raw_Alerts!$B:$B,Raw_Alerts!$C:$C),"")</f>
        <v/>
      </c>
      <c r="N1120" s="2">
        <f>IFERROR(XLOOKUP(A1120,Raw_Alerts!$B:$B,Raw_Alerts!$D:$D),"")</f>
        <v/>
      </c>
      <c r="O1120" s="2">
        <f>IFERROR(XLOOKUP(A1120,Raw_Alerts!$B:$B,Raw_Alerts!$F:$F),"")</f>
        <v/>
      </c>
      <c r="P1120" s="2">
        <f>IF(H1120="Not Found","CRITICAL: No Risk Profile",IF(I1120="Missing","WARN: Missing KYC",IF(I1120="Expired","WARN: KYC Expired",IF(I1120="Pending","INFO: KYC Pending","OK"))))</f>
        <v/>
      </c>
    </row>
    <row r="1121">
      <c r="A1121" s="4">
        <f>Raw_Transactions!A1121</f>
        <v/>
      </c>
      <c r="B1121" s="4">
        <f>Raw_Transactions!B1121</f>
        <v/>
      </c>
      <c r="C1121" s="4">
        <f>Raw_Transactions!C1121</f>
        <v/>
      </c>
      <c r="D1121" s="5">
        <f>Raw_Transactions!D1121</f>
        <v/>
      </c>
      <c r="E1121" s="4">
        <f>Raw_Transactions!E1121</f>
        <v/>
      </c>
      <c r="F1121" s="4">
        <f>Raw_Transactions!F1121</f>
        <v/>
      </c>
      <c r="G1121" s="4">
        <f>Raw_Transactions!G1121</f>
        <v/>
      </c>
      <c r="H1121" s="4">
        <f>XLOOKUP(B1121,Raw_Risk_Profiles!$A:$A,Raw_Risk_Profiles!$B:$B,"Not Found")</f>
        <v/>
      </c>
      <c r="I1121" s="4">
        <f>XLOOKUP(B1121,Raw_Risk_Profiles!$A:$A,Raw_Risk_Profiles!$C:$C,"Missing")</f>
        <v/>
      </c>
      <c r="J1121" s="4">
        <f>XLOOKUP(B1121,Raw_Risk_Profiles!$A:$A,Raw_Risk_Profiles!$D:$D,"")</f>
        <v/>
      </c>
      <c r="K1121" s="4">
        <f>IFERROR(INDEX(Raw_Risk_Profiles!$E:$E,MATCH(B1121,Raw_Risk_Profiles!$A:$A,0)),"Unknown")</f>
        <v/>
      </c>
      <c r="L1121" s="4">
        <f>IFERROR(XLOOKUP(A1121,Raw_Alerts!$B:$B,Raw_Alerts!$A:$A),"No Alert")</f>
        <v/>
      </c>
      <c r="M1121" s="4">
        <f>IFERROR(XLOOKUP(A1121,Raw_Alerts!$B:$B,Raw_Alerts!$C:$C),"")</f>
        <v/>
      </c>
      <c r="N1121" s="4">
        <f>IFERROR(XLOOKUP(A1121,Raw_Alerts!$B:$B,Raw_Alerts!$D:$D),"")</f>
        <v/>
      </c>
      <c r="O1121" s="4">
        <f>IFERROR(XLOOKUP(A1121,Raw_Alerts!$B:$B,Raw_Alerts!$F:$F),"")</f>
        <v/>
      </c>
      <c r="P1121" s="4">
        <f>IF(H1121="Not Found","CRITICAL: No Risk Profile",IF(I1121="Missing","WARN: Missing KYC",IF(I1121="Expired","WARN: KYC Expired",IF(I1121="Pending","INFO: KYC Pending","OK"))))</f>
        <v/>
      </c>
    </row>
    <row r="1122">
      <c r="A1122" s="2">
        <f>Raw_Transactions!A1122</f>
        <v/>
      </c>
      <c r="B1122" s="2">
        <f>Raw_Transactions!B1122</f>
        <v/>
      </c>
      <c r="C1122" s="2">
        <f>Raw_Transactions!C1122</f>
        <v/>
      </c>
      <c r="D1122" s="3">
        <f>Raw_Transactions!D1122</f>
        <v/>
      </c>
      <c r="E1122" s="2">
        <f>Raw_Transactions!E1122</f>
        <v/>
      </c>
      <c r="F1122" s="2">
        <f>Raw_Transactions!F1122</f>
        <v/>
      </c>
      <c r="G1122" s="2">
        <f>Raw_Transactions!G1122</f>
        <v/>
      </c>
      <c r="H1122" s="2">
        <f>XLOOKUP(B1122,Raw_Risk_Profiles!$A:$A,Raw_Risk_Profiles!$B:$B,"Not Found")</f>
        <v/>
      </c>
      <c r="I1122" s="2">
        <f>XLOOKUP(B1122,Raw_Risk_Profiles!$A:$A,Raw_Risk_Profiles!$C:$C,"Missing")</f>
        <v/>
      </c>
      <c r="J1122" s="2">
        <f>XLOOKUP(B1122,Raw_Risk_Profiles!$A:$A,Raw_Risk_Profiles!$D:$D,"")</f>
        <v/>
      </c>
      <c r="K1122" s="2">
        <f>IFERROR(INDEX(Raw_Risk_Profiles!$E:$E,MATCH(B1122,Raw_Risk_Profiles!$A:$A,0)),"Unknown")</f>
        <v/>
      </c>
      <c r="L1122" s="2">
        <f>IFERROR(XLOOKUP(A1122,Raw_Alerts!$B:$B,Raw_Alerts!$A:$A),"No Alert")</f>
        <v/>
      </c>
      <c r="M1122" s="2">
        <f>IFERROR(XLOOKUP(A1122,Raw_Alerts!$B:$B,Raw_Alerts!$C:$C),"")</f>
        <v/>
      </c>
      <c r="N1122" s="2">
        <f>IFERROR(XLOOKUP(A1122,Raw_Alerts!$B:$B,Raw_Alerts!$D:$D),"")</f>
        <v/>
      </c>
      <c r="O1122" s="2">
        <f>IFERROR(XLOOKUP(A1122,Raw_Alerts!$B:$B,Raw_Alerts!$F:$F),"")</f>
        <v/>
      </c>
      <c r="P1122" s="2">
        <f>IF(H1122="Not Found","CRITICAL: No Risk Profile",IF(I1122="Missing","WARN: Missing KYC",IF(I1122="Expired","WARN: KYC Expired",IF(I1122="Pending","INFO: KYC Pending","OK"))))</f>
        <v/>
      </c>
    </row>
    <row r="1123">
      <c r="A1123" s="4">
        <f>Raw_Transactions!A1123</f>
        <v/>
      </c>
      <c r="B1123" s="4">
        <f>Raw_Transactions!B1123</f>
        <v/>
      </c>
      <c r="C1123" s="4">
        <f>Raw_Transactions!C1123</f>
        <v/>
      </c>
      <c r="D1123" s="5">
        <f>Raw_Transactions!D1123</f>
        <v/>
      </c>
      <c r="E1123" s="4">
        <f>Raw_Transactions!E1123</f>
        <v/>
      </c>
      <c r="F1123" s="4">
        <f>Raw_Transactions!F1123</f>
        <v/>
      </c>
      <c r="G1123" s="4">
        <f>Raw_Transactions!G1123</f>
        <v/>
      </c>
      <c r="H1123" s="4">
        <f>XLOOKUP(B1123,Raw_Risk_Profiles!$A:$A,Raw_Risk_Profiles!$B:$B,"Not Found")</f>
        <v/>
      </c>
      <c r="I1123" s="4">
        <f>XLOOKUP(B1123,Raw_Risk_Profiles!$A:$A,Raw_Risk_Profiles!$C:$C,"Missing")</f>
        <v/>
      </c>
      <c r="J1123" s="4">
        <f>XLOOKUP(B1123,Raw_Risk_Profiles!$A:$A,Raw_Risk_Profiles!$D:$D,"")</f>
        <v/>
      </c>
      <c r="K1123" s="4">
        <f>IFERROR(INDEX(Raw_Risk_Profiles!$E:$E,MATCH(B1123,Raw_Risk_Profiles!$A:$A,0)),"Unknown")</f>
        <v/>
      </c>
      <c r="L1123" s="4">
        <f>IFERROR(XLOOKUP(A1123,Raw_Alerts!$B:$B,Raw_Alerts!$A:$A),"No Alert")</f>
        <v/>
      </c>
      <c r="M1123" s="4">
        <f>IFERROR(XLOOKUP(A1123,Raw_Alerts!$B:$B,Raw_Alerts!$C:$C),"")</f>
        <v/>
      </c>
      <c r="N1123" s="4">
        <f>IFERROR(XLOOKUP(A1123,Raw_Alerts!$B:$B,Raw_Alerts!$D:$D),"")</f>
        <v/>
      </c>
      <c r="O1123" s="4">
        <f>IFERROR(XLOOKUP(A1123,Raw_Alerts!$B:$B,Raw_Alerts!$F:$F),"")</f>
        <v/>
      </c>
      <c r="P1123" s="4">
        <f>IF(H1123="Not Found","CRITICAL: No Risk Profile",IF(I1123="Missing","WARN: Missing KYC",IF(I1123="Expired","WARN: KYC Expired",IF(I1123="Pending","INFO: KYC Pending","OK"))))</f>
        <v/>
      </c>
    </row>
    <row r="1124">
      <c r="A1124" s="2">
        <f>Raw_Transactions!A1124</f>
        <v/>
      </c>
      <c r="B1124" s="2">
        <f>Raw_Transactions!B1124</f>
        <v/>
      </c>
      <c r="C1124" s="2">
        <f>Raw_Transactions!C1124</f>
        <v/>
      </c>
      <c r="D1124" s="3">
        <f>Raw_Transactions!D1124</f>
        <v/>
      </c>
      <c r="E1124" s="2">
        <f>Raw_Transactions!E1124</f>
        <v/>
      </c>
      <c r="F1124" s="2">
        <f>Raw_Transactions!F1124</f>
        <v/>
      </c>
      <c r="G1124" s="2">
        <f>Raw_Transactions!G1124</f>
        <v/>
      </c>
      <c r="H1124" s="2">
        <f>XLOOKUP(B1124,Raw_Risk_Profiles!$A:$A,Raw_Risk_Profiles!$B:$B,"Not Found")</f>
        <v/>
      </c>
      <c r="I1124" s="2">
        <f>XLOOKUP(B1124,Raw_Risk_Profiles!$A:$A,Raw_Risk_Profiles!$C:$C,"Missing")</f>
        <v/>
      </c>
      <c r="J1124" s="2">
        <f>XLOOKUP(B1124,Raw_Risk_Profiles!$A:$A,Raw_Risk_Profiles!$D:$D,"")</f>
        <v/>
      </c>
      <c r="K1124" s="2">
        <f>IFERROR(INDEX(Raw_Risk_Profiles!$E:$E,MATCH(B1124,Raw_Risk_Profiles!$A:$A,0)),"Unknown")</f>
        <v/>
      </c>
      <c r="L1124" s="2">
        <f>IFERROR(XLOOKUP(A1124,Raw_Alerts!$B:$B,Raw_Alerts!$A:$A),"No Alert")</f>
        <v/>
      </c>
      <c r="M1124" s="2">
        <f>IFERROR(XLOOKUP(A1124,Raw_Alerts!$B:$B,Raw_Alerts!$C:$C),"")</f>
        <v/>
      </c>
      <c r="N1124" s="2">
        <f>IFERROR(XLOOKUP(A1124,Raw_Alerts!$B:$B,Raw_Alerts!$D:$D),"")</f>
        <v/>
      </c>
      <c r="O1124" s="2">
        <f>IFERROR(XLOOKUP(A1124,Raw_Alerts!$B:$B,Raw_Alerts!$F:$F),"")</f>
        <v/>
      </c>
      <c r="P1124" s="2">
        <f>IF(H1124="Not Found","CRITICAL: No Risk Profile",IF(I1124="Missing","WARN: Missing KYC",IF(I1124="Expired","WARN: KYC Expired",IF(I1124="Pending","INFO: KYC Pending","OK"))))</f>
        <v/>
      </c>
    </row>
    <row r="1125">
      <c r="A1125" s="4">
        <f>Raw_Transactions!A1125</f>
        <v/>
      </c>
      <c r="B1125" s="4">
        <f>Raw_Transactions!B1125</f>
        <v/>
      </c>
      <c r="C1125" s="4">
        <f>Raw_Transactions!C1125</f>
        <v/>
      </c>
      <c r="D1125" s="5">
        <f>Raw_Transactions!D1125</f>
        <v/>
      </c>
      <c r="E1125" s="4">
        <f>Raw_Transactions!E1125</f>
        <v/>
      </c>
      <c r="F1125" s="4">
        <f>Raw_Transactions!F1125</f>
        <v/>
      </c>
      <c r="G1125" s="4">
        <f>Raw_Transactions!G1125</f>
        <v/>
      </c>
      <c r="H1125" s="4">
        <f>XLOOKUP(B1125,Raw_Risk_Profiles!$A:$A,Raw_Risk_Profiles!$B:$B,"Not Found")</f>
        <v/>
      </c>
      <c r="I1125" s="4">
        <f>XLOOKUP(B1125,Raw_Risk_Profiles!$A:$A,Raw_Risk_Profiles!$C:$C,"Missing")</f>
        <v/>
      </c>
      <c r="J1125" s="4">
        <f>XLOOKUP(B1125,Raw_Risk_Profiles!$A:$A,Raw_Risk_Profiles!$D:$D,"")</f>
        <v/>
      </c>
      <c r="K1125" s="4">
        <f>IFERROR(INDEX(Raw_Risk_Profiles!$E:$E,MATCH(B1125,Raw_Risk_Profiles!$A:$A,0)),"Unknown")</f>
        <v/>
      </c>
      <c r="L1125" s="4">
        <f>IFERROR(XLOOKUP(A1125,Raw_Alerts!$B:$B,Raw_Alerts!$A:$A),"No Alert")</f>
        <v/>
      </c>
      <c r="M1125" s="4">
        <f>IFERROR(XLOOKUP(A1125,Raw_Alerts!$B:$B,Raw_Alerts!$C:$C),"")</f>
        <v/>
      </c>
      <c r="N1125" s="4">
        <f>IFERROR(XLOOKUP(A1125,Raw_Alerts!$B:$B,Raw_Alerts!$D:$D),"")</f>
        <v/>
      </c>
      <c r="O1125" s="4">
        <f>IFERROR(XLOOKUP(A1125,Raw_Alerts!$B:$B,Raw_Alerts!$F:$F),"")</f>
        <v/>
      </c>
      <c r="P1125" s="4">
        <f>IF(H1125="Not Found","CRITICAL: No Risk Profile",IF(I1125="Missing","WARN: Missing KYC",IF(I1125="Expired","WARN: KYC Expired",IF(I1125="Pending","INFO: KYC Pending","OK"))))</f>
        <v/>
      </c>
    </row>
    <row r="1126">
      <c r="A1126" s="2">
        <f>Raw_Transactions!A1126</f>
        <v/>
      </c>
      <c r="B1126" s="2">
        <f>Raw_Transactions!B1126</f>
        <v/>
      </c>
      <c r="C1126" s="2">
        <f>Raw_Transactions!C1126</f>
        <v/>
      </c>
      <c r="D1126" s="3">
        <f>Raw_Transactions!D1126</f>
        <v/>
      </c>
      <c r="E1126" s="2">
        <f>Raw_Transactions!E1126</f>
        <v/>
      </c>
      <c r="F1126" s="2">
        <f>Raw_Transactions!F1126</f>
        <v/>
      </c>
      <c r="G1126" s="2">
        <f>Raw_Transactions!G1126</f>
        <v/>
      </c>
      <c r="H1126" s="2">
        <f>XLOOKUP(B1126,Raw_Risk_Profiles!$A:$A,Raw_Risk_Profiles!$B:$B,"Not Found")</f>
        <v/>
      </c>
      <c r="I1126" s="2">
        <f>XLOOKUP(B1126,Raw_Risk_Profiles!$A:$A,Raw_Risk_Profiles!$C:$C,"Missing")</f>
        <v/>
      </c>
      <c r="J1126" s="2">
        <f>XLOOKUP(B1126,Raw_Risk_Profiles!$A:$A,Raw_Risk_Profiles!$D:$D,"")</f>
        <v/>
      </c>
      <c r="K1126" s="2">
        <f>IFERROR(INDEX(Raw_Risk_Profiles!$E:$E,MATCH(B1126,Raw_Risk_Profiles!$A:$A,0)),"Unknown")</f>
        <v/>
      </c>
      <c r="L1126" s="2">
        <f>IFERROR(XLOOKUP(A1126,Raw_Alerts!$B:$B,Raw_Alerts!$A:$A),"No Alert")</f>
        <v/>
      </c>
      <c r="M1126" s="2">
        <f>IFERROR(XLOOKUP(A1126,Raw_Alerts!$B:$B,Raw_Alerts!$C:$C),"")</f>
        <v/>
      </c>
      <c r="N1126" s="2">
        <f>IFERROR(XLOOKUP(A1126,Raw_Alerts!$B:$B,Raw_Alerts!$D:$D),"")</f>
        <v/>
      </c>
      <c r="O1126" s="2">
        <f>IFERROR(XLOOKUP(A1126,Raw_Alerts!$B:$B,Raw_Alerts!$F:$F),"")</f>
        <v/>
      </c>
      <c r="P1126" s="2">
        <f>IF(H1126="Not Found","CRITICAL: No Risk Profile",IF(I1126="Missing","WARN: Missing KYC",IF(I1126="Expired","WARN: KYC Expired",IF(I1126="Pending","INFO: KYC Pending","OK"))))</f>
        <v/>
      </c>
    </row>
    <row r="1127">
      <c r="A1127" s="4">
        <f>Raw_Transactions!A1127</f>
        <v/>
      </c>
      <c r="B1127" s="4">
        <f>Raw_Transactions!B1127</f>
        <v/>
      </c>
      <c r="C1127" s="4">
        <f>Raw_Transactions!C1127</f>
        <v/>
      </c>
      <c r="D1127" s="5">
        <f>Raw_Transactions!D1127</f>
        <v/>
      </c>
      <c r="E1127" s="4">
        <f>Raw_Transactions!E1127</f>
        <v/>
      </c>
      <c r="F1127" s="4">
        <f>Raw_Transactions!F1127</f>
        <v/>
      </c>
      <c r="G1127" s="4">
        <f>Raw_Transactions!G1127</f>
        <v/>
      </c>
      <c r="H1127" s="4">
        <f>XLOOKUP(B1127,Raw_Risk_Profiles!$A:$A,Raw_Risk_Profiles!$B:$B,"Not Found")</f>
        <v/>
      </c>
      <c r="I1127" s="4">
        <f>XLOOKUP(B1127,Raw_Risk_Profiles!$A:$A,Raw_Risk_Profiles!$C:$C,"Missing")</f>
        <v/>
      </c>
      <c r="J1127" s="4">
        <f>XLOOKUP(B1127,Raw_Risk_Profiles!$A:$A,Raw_Risk_Profiles!$D:$D,"")</f>
        <v/>
      </c>
      <c r="K1127" s="4">
        <f>IFERROR(INDEX(Raw_Risk_Profiles!$E:$E,MATCH(B1127,Raw_Risk_Profiles!$A:$A,0)),"Unknown")</f>
        <v/>
      </c>
      <c r="L1127" s="4">
        <f>IFERROR(XLOOKUP(A1127,Raw_Alerts!$B:$B,Raw_Alerts!$A:$A),"No Alert")</f>
        <v/>
      </c>
      <c r="M1127" s="4">
        <f>IFERROR(XLOOKUP(A1127,Raw_Alerts!$B:$B,Raw_Alerts!$C:$C),"")</f>
        <v/>
      </c>
      <c r="N1127" s="4">
        <f>IFERROR(XLOOKUP(A1127,Raw_Alerts!$B:$B,Raw_Alerts!$D:$D),"")</f>
        <v/>
      </c>
      <c r="O1127" s="4">
        <f>IFERROR(XLOOKUP(A1127,Raw_Alerts!$B:$B,Raw_Alerts!$F:$F),"")</f>
        <v/>
      </c>
      <c r="P1127" s="4">
        <f>IF(H1127="Not Found","CRITICAL: No Risk Profile",IF(I1127="Missing","WARN: Missing KYC",IF(I1127="Expired","WARN: KYC Expired",IF(I1127="Pending","INFO: KYC Pending","OK"))))</f>
        <v/>
      </c>
    </row>
    <row r="1128">
      <c r="A1128" s="2">
        <f>Raw_Transactions!A1128</f>
        <v/>
      </c>
      <c r="B1128" s="2">
        <f>Raw_Transactions!B1128</f>
        <v/>
      </c>
      <c r="C1128" s="2">
        <f>Raw_Transactions!C1128</f>
        <v/>
      </c>
      <c r="D1128" s="3">
        <f>Raw_Transactions!D1128</f>
        <v/>
      </c>
      <c r="E1128" s="2">
        <f>Raw_Transactions!E1128</f>
        <v/>
      </c>
      <c r="F1128" s="2">
        <f>Raw_Transactions!F1128</f>
        <v/>
      </c>
      <c r="G1128" s="2">
        <f>Raw_Transactions!G1128</f>
        <v/>
      </c>
      <c r="H1128" s="2">
        <f>XLOOKUP(B1128,Raw_Risk_Profiles!$A:$A,Raw_Risk_Profiles!$B:$B,"Not Found")</f>
        <v/>
      </c>
      <c r="I1128" s="2">
        <f>XLOOKUP(B1128,Raw_Risk_Profiles!$A:$A,Raw_Risk_Profiles!$C:$C,"Missing")</f>
        <v/>
      </c>
      <c r="J1128" s="2">
        <f>XLOOKUP(B1128,Raw_Risk_Profiles!$A:$A,Raw_Risk_Profiles!$D:$D,"")</f>
        <v/>
      </c>
      <c r="K1128" s="2">
        <f>IFERROR(INDEX(Raw_Risk_Profiles!$E:$E,MATCH(B1128,Raw_Risk_Profiles!$A:$A,0)),"Unknown")</f>
        <v/>
      </c>
      <c r="L1128" s="2">
        <f>IFERROR(XLOOKUP(A1128,Raw_Alerts!$B:$B,Raw_Alerts!$A:$A),"No Alert")</f>
        <v/>
      </c>
      <c r="M1128" s="2">
        <f>IFERROR(XLOOKUP(A1128,Raw_Alerts!$B:$B,Raw_Alerts!$C:$C),"")</f>
        <v/>
      </c>
      <c r="N1128" s="2">
        <f>IFERROR(XLOOKUP(A1128,Raw_Alerts!$B:$B,Raw_Alerts!$D:$D),"")</f>
        <v/>
      </c>
      <c r="O1128" s="2">
        <f>IFERROR(XLOOKUP(A1128,Raw_Alerts!$B:$B,Raw_Alerts!$F:$F),"")</f>
        <v/>
      </c>
      <c r="P1128" s="2">
        <f>IF(H1128="Not Found","CRITICAL: No Risk Profile",IF(I1128="Missing","WARN: Missing KYC",IF(I1128="Expired","WARN: KYC Expired",IF(I1128="Pending","INFO: KYC Pending","OK"))))</f>
        <v/>
      </c>
    </row>
    <row r="1129">
      <c r="A1129" s="4">
        <f>Raw_Transactions!A1129</f>
        <v/>
      </c>
      <c r="B1129" s="4">
        <f>Raw_Transactions!B1129</f>
        <v/>
      </c>
      <c r="C1129" s="4">
        <f>Raw_Transactions!C1129</f>
        <v/>
      </c>
      <c r="D1129" s="5">
        <f>Raw_Transactions!D1129</f>
        <v/>
      </c>
      <c r="E1129" s="4">
        <f>Raw_Transactions!E1129</f>
        <v/>
      </c>
      <c r="F1129" s="4">
        <f>Raw_Transactions!F1129</f>
        <v/>
      </c>
      <c r="G1129" s="4">
        <f>Raw_Transactions!G1129</f>
        <v/>
      </c>
      <c r="H1129" s="4">
        <f>XLOOKUP(B1129,Raw_Risk_Profiles!$A:$A,Raw_Risk_Profiles!$B:$B,"Not Found")</f>
        <v/>
      </c>
      <c r="I1129" s="4">
        <f>XLOOKUP(B1129,Raw_Risk_Profiles!$A:$A,Raw_Risk_Profiles!$C:$C,"Missing")</f>
        <v/>
      </c>
      <c r="J1129" s="4">
        <f>XLOOKUP(B1129,Raw_Risk_Profiles!$A:$A,Raw_Risk_Profiles!$D:$D,"")</f>
        <v/>
      </c>
      <c r="K1129" s="4">
        <f>IFERROR(INDEX(Raw_Risk_Profiles!$E:$E,MATCH(B1129,Raw_Risk_Profiles!$A:$A,0)),"Unknown")</f>
        <v/>
      </c>
      <c r="L1129" s="4">
        <f>IFERROR(XLOOKUP(A1129,Raw_Alerts!$B:$B,Raw_Alerts!$A:$A),"No Alert")</f>
        <v/>
      </c>
      <c r="M1129" s="4">
        <f>IFERROR(XLOOKUP(A1129,Raw_Alerts!$B:$B,Raw_Alerts!$C:$C),"")</f>
        <v/>
      </c>
      <c r="N1129" s="4">
        <f>IFERROR(XLOOKUP(A1129,Raw_Alerts!$B:$B,Raw_Alerts!$D:$D),"")</f>
        <v/>
      </c>
      <c r="O1129" s="4">
        <f>IFERROR(XLOOKUP(A1129,Raw_Alerts!$B:$B,Raw_Alerts!$F:$F),"")</f>
        <v/>
      </c>
      <c r="P1129" s="4">
        <f>IF(H1129="Not Found","CRITICAL: No Risk Profile",IF(I1129="Missing","WARN: Missing KYC",IF(I1129="Expired","WARN: KYC Expired",IF(I1129="Pending","INFO: KYC Pending","OK"))))</f>
        <v/>
      </c>
    </row>
    <row r="1130">
      <c r="A1130" s="2">
        <f>Raw_Transactions!A1130</f>
        <v/>
      </c>
      <c r="B1130" s="2">
        <f>Raw_Transactions!B1130</f>
        <v/>
      </c>
      <c r="C1130" s="2">
        <f>Raw_Transactions!C1130</f>
        <v/>
      </c>
      <c r="D1130" s="3">
        <f>Raw_Transactions!D1130</f>
        <v/>
      </c>
      <c r="E1130" s="2">
        <f>Raw_Transactions!E1130</f>
        <v/>
      </c>
      <c r="F1130" s="2">
        <f>Raw_Transactions!F1130</f>
        <v/>
      </c>
      <c r="G1130" s="2">
        <f>Raw_Transactions!G1130</f>
        <v/>
      </c>
      <c r="H1130" s="2">
        <f>XLOOKUP(B1130,Raw_Risk_Profiles!$A:$A,Raw_Risk_Profiles!$B:$B,"Not Found")</f>
        <v/>
      </c>
      <c r="I1130" s="2">
        <f>XLOOKUP(B1130,Raw_Risk_Profiles!$A:$A,Raw_Risk_Profiles!$C:$C,"Missing")</f>
        <v/>
      </c>
      <c r="J1130" s="2">
        <f>XLOOKUP(B1130,Raw_Risk_Profiles!$A:$A,Raw_Risk_Profiles!$D:$D,"")</f>
        <v/>
      </c>
      <c r="K1130" s="2">
        <f>IFERROR(INDEX(Raw_Risk_Profiles!$E:$E,MATCH(B1130,Raw_Risk_Profiles!$A:$A,0)),"Unknown")</f>
        <v/>
      </c>
      <c r="L1130" s="2">
        <f>IFERROR(XLOOKUP(A1130,Raw_Alerts!$B:$B,Raw_Alerts!$A:$A),"No Alert")</f>
        <v/>
      </c>
      <c r="M1130" s="2">
        <f>IFERROR(XLOOKUP(A1130,Raw_Alerts!$B:$B,Raw_Alerts!$C:$C),"")</f>
        <v/>
      </c>
      <c r="N1130" s="2">
        <f>IFERROR(XLOOKUP(A1130,Raw_Alerts!$B:$B,Raw_Alerts!$D:$D),"")</f>
        <v/>
      </c>
      <c r="O1130" s="2">
        <f>IFERROR(XLOOKUP(A1130,Raw_Alerts!$B:$B,Raw_Alerts!$F:$F),"")</f>
        <v/>
      </c>
      <c r="P1130" s="2">
        <f>IF(H1130="Not Found","CRITICAL: No Risk Profile",IF(I1130="Missing","WARN: Missing KYC",IF(I1130="Expired","WARN: KYC Expired",IF(I1130="Pending","INFO: KYC Pending","OK"))))</f>
        <v/>
      </c>
    </row>
    <row r="1131">
      <c r="A1131" s="4">
        <f>Raw_Transactions!A1131</f>
        <v/>
      </c>
      <c r="B1131" s="4">
        <f>Raw_Transactions!B1131</f>
        <v/>
      </c>
      <c r="C1131" s="4">
        <f>Raw_Transactions!C1131</f>
        <v/>
      </c>
      <c r="D1131" s="5">
        <f>Raw_Transactions!D1131</f>
        <v/>
      </c>
      <c r="E1131" s="4">
        <f>Raw_Transactions!E1131</f>
        <v/>
      </c>
      <c r="F1131" s="4">
        <f>Raw_Transactions!F1131</f>
        <v/>
      </c>
      <c r="G1131" s="4">
        <f>Raw_Transactions!G1131</f>
        <v/>
      </c>
      <c r="H1131" s="4">
        <f>XLOOKUP(B1131,Raw_Risk_Profiles!$A:$A,Raw_Risk_Profiles!$B:$B,"Not Found")</f>
        <v/>
      </c>
      <c r="I1131" s="4">
        <f>XLOOKUP(B1131,Raw_Risk_Profiles!$A:$A,Raw_Risk_Profiles!$C:$C,"Missing")</f>
        <v/>
      </c>
      <c r="J1131" s="4">
        <f>XLOOKUP(B1131,Raw_Risk_Profiles!$A:$A,Raw_Risk_Profiles!$D:$D,"")</f>
        <v/>
      </c>
      <c r="K1131" s="4">
        <f>IFERROR(INDEX(Raw_Risk_Profiles!$E:$E,MATCH(B1131,Raw_Risk_Profiles!$A:$A,0)),"Unknown")</f>
        <v/>
      </c>
      <c r="L1131" s="4">
        <f>IFERROR(XLOOKUP(A1131,Raw_Alerts!$B:$B,Raw_Alerts!$A:$A),"No Alert")</f>
        <v/>
      </c>
      <c r="M1131" s="4">
        <f>IFERROR(XLOOKUP(A1131,Raw_Alerts!$B:$B,Raw_Alerts!$C:$C),"")</f>
        <v/>
      </c>
      <c r="N1131" s="4">
        <f>IFERROR(XLOOKUP(A1131,Raw_Alerts!$B:$B,Raw_Alerts!$D:$D),"")</f>
        <v/>
      </c>
      <c r="O1131" s="4">
        <f>IFERROR(XLOOKUP(A1131,Raw_Alerts!$B:$B,Raw_Alerts!$F:$F),"")</f>
        <v/>
      </c>
      <c r="P1131" s="4">
        <f>IF(H1131="Not Found","CRITICAL: No Risk Profile",IF(I1131="Missing","WARN: Missing KYC",IF(I1131="Expired","WARN: KYC Expired",IF(I1131="Pending","INFO: KYC Pending","OK"))))</f>
        <v/>
      </c>
    </row>
    <row r="1132">
      <c r="A1132" s="2">
        <f>Raw_Transactions!A1132</f>
        <v/>
      </c>
      <c r="B1132" s="2">
        <f>Raw_Transactions!B1132</f>
        <v/>
      </c>
      <c r="C1132" s="2">
        <f>Raw_Transactions!C1132</f>
        <v/>
      </c>
      <c r="D1132" s="3">
        <f>Raw_Transactions!D1132</f>
        <v/>
      </c>
      <c r="E1132" s="2">
        <f>Raw_Transactions!E1132</f>
        <v/>
      </c>
      <c r="F1132" s="2">
        <f>Raw_Transactions!F1132</f>
        <v/>
      </c>
      <c r="G1132" s="2">
        <f>Raw_Transactions!G1132</f>
        <v/>
      </c>
      <c r="H1132" s="2">
        <f>XLOOKUP(B1132,Raw_Risk_Profiles!$A:$A,Raw_Risk_Profiles!$B:$B,"Not Found")</f>
        <v/>
      </c>
      <c r="I1132" s="2">
        <f>XLOOKUP(B1132,Raw_Risk_Profiles!$A:$A,Raw_Risk_Profiles!$C:$C,"Missing")</f>
        <v/>
      </c>
      <c r="J1132" s="2">
        <f>XLOOKUP(B1132,Raw_Risk_Profiles!$A:$A,Raw_Risk_Profiles!$D:$D,"")</f>
        <v/>
      </c>
      <c r="K1132" s="2">
        <f>IFERROR(INDEX(Raw_Risk_Profiles!$E:$E,MATCH(B1132,Raw_Risk_Profiles!$A:$A,0)),"Unknown")</f>
        <v/>
      </c>
      <c r="L1132" s="2">
        <f>IFERROR(XLOOKUP(A1132,Raw_Alerts!$B:$B,Raw_Alerts!$A:$A),"No Alert")</f>
        <v/>
      </c>
      <c r="M1132" s="2">
        <f>IFERROR(XLOOKUP(A1132,Raw_Alerts!$B:$B,Raw_Alerts!$C:$C),"")</f>
        <v/>
      </c>
      <c r="N1132" s="2">
        <f>IFERROR(XLOOKUP(A1132,Raw_Alerts!$B:$B,Raw_Alerts!$D:$D),"")</f>
        <v/>
      </c>
      <c r="O1132" s="2">
        <f>IFERROR(XLOOKUP(A1132,Raw_Alerts!$B:$B,Raw_Alerts!$F:$F),"")</f>
        <v/>
      </c>
      <c r="P1132" s="2">
        <f>IF(H1132="Not Found","CRITICAL: No Risk Profile",IF(I1132="Missing","WARN: Missing KYC",IF(I1132="Expired","WARN: KYC Expired",IF(I1132="Pending","INFO: KYC Pending","OK"))))</f>
        <v/>
      </c>
    </row>
    <row r="1133">
      <c r="A1133" s="4">
        <f>Raw_Transactions!A1133</f>
        <v/>
      </c>
      <c r="B1133" s="4">
        <f>Raw_Transactions!B1133</f>
        <v/>
      </c>
      <c r="C1133" s="4">
        <f>Raw_Transactions!C1133</f>
        <v/>
      </c>
      <c r="D1133" s="5">
        <f>Raw_Transactions!D1133</f>
        <v/>
      </c>
      <c r="E1133" s="4">
        <f>Raw_Transactions!E1133</f>
        <v/>
      </c>
      <c r="F1133" s="4">
        <f>Raw_Transactions!F1133</f>
        <v/>
      </c>
      <c r="G1133" s="4">
        <f>Raw_Transactions!G1133</f>
        <v/>
      </c>
      <c r="H1133" s="4">
        <f>XLOOKUP(B1133,Raw_Risk_Profiles!$A:$A,Raw_Risk_Profiles!$B:$B,"Not Found")</f>
        <v/>
      </c>
      <c r="I1133" s="4">
        <f>XLOOKUP(B1133,Raw_Risk_Profiles!$A:$A,Raw_Risk_Profiles!$C:$C,"Missing")</f>
        <v/>
      </c>
      <c r="J1133" s="4">
        <f>XLOOKUP(B1133,Raw_Risk_Profiles!$A:$A,Raw_Risk_Profiles!$D:$D,"")</f>
        <v/>
      </c>
      <c r="K1133" s="4">
        <f>IFERROR(INDEX(Raw_Risk_Profiles!$E:$E,MATCH(B1133,Raw_Risk_Profiles!$A:$A,0)),"Unknown")</f>
        <v/>
      </c>
      <c r="L1133" s="4">
        <f>IFERROR(XLOOKUP(A1133,Raw_Alerts!$B:$B,Raw_Alerts!$A:$A),"No Alert")</f>
        <v/>
      </c>
      <c r="M1133" s="4">
        <f>IFERROR(XLOOKUP(A1133,Raw_Alerts!$B:$B,Raw_Alerts!$C:$C),"")</f>
        <v/>
      </c>
      <c r="N1133" s="4">
        <f>IFERROR(XLOOKUP(A1133,Raw_Alerts!$B:$B,Raw_Alerts!$D:$D),"")</f>
        <v/>
      </c>
      <c r="O1133" s="4">
        <f>IFERROR(XLOOKUP(A1133,Raw_Alerts!$B:$B,Raw_Alerts!$F:$F),"")</f>
        <v/>
      </c>
      <c r="P1133" s="4">
        <f>IF(H1133="Not Found","CRITICAL: No Risk Profile",IF(I1133="Missing","WARN: Missing KYC",IF(I1133="Expired","WARN: KYC Expired",IF(I1133="Pending","INFO: KYC Pending","OK"))))</f>
        <v/>
      </c>
    </row>
    <row r="1134">
      <c r="A1134" s="2">
        <f>Raw_Transactions!A1134</f>
        <v/>
      </c>
      <c r="B1134" s="2">
        <f>Raw_Transactions!B1134</f>
        <v/>
      </c>
      <c r="C1134" s="2">
        <f>Raw_Transactions!C1134</f>
        <v/>
      </c>
      <c r="D1134" s="3">
        <f>Raw_Transactions!D1134</f>
        <v/>
      </c>
      <c r="E1134" s="2">
        <f>Raw_Transactions!E1134</f>
        <v/>
      </c>
      <c r="F1134" s="2">
        <f>Raw_Transactions!F1134</f>
        <v/>
      </c>
      <c r="G1134" s="2">
        <f>Raw_Transactions!G1134</f>
        <v/>
      </c>
      <c r="H1134" s="2">
        <f>XLOOKUP(B1134,Raw_Risk_Profiles!$A:$A,Raw_Risk_Profiles!$B:$B,"Not Found")</f>
        <v/>
      </c>
      <c r="I1134" s="2">
        <f>XLOOKUP(B1134,Raw_Risk_Profiles!$A:$A,Raw_Risk_Profiles!$C:$C,"Missing")</f>
        <v/>
      </c>
      <c r="J1134" s="2">
        <f>XLOOKUP(B1134,Raw_Risk_Profiles!$A:$A,Raw_Risk_Profiles!$D:$D,"")</f>
        <v/>
      </c>
      <c r="K1134" s="2">
        <f>IFERROR(INDEX(Raw_Risk_Profiles!$E:$E,MATCH(B1134,Raw_Risk_Profiles!$A:$A,0)),"Unknown")</f>
        <v/>
      </c>
      <c r="L1134" s="2">
        <f>IFERROR(XLOOKUP(A1134,Raw_Alerts!$B:$B,Raw_Alerts!$A:$A),"No Alert")</f>
        <v/>
      </c>
      <c r="M1134" s="2">
        <f>IFERROR(XLOOKUP(A1134,Raw_Alerts!$B:$B,Raw_Alerts!$C:$C),"")</f>
        <v/>
      </c>
      <c r="N1134" s="2">
        <f>IFERROR(XLOOKUP(A1134,Raw_Alerts!$B:$B,Raw_Alerts!$D:$D),"")</f>
        <v/>
      </c>
      <c r="O1134" s="2">
        <f>IFERROR(XLOOKUP(A1134,Raw_Alerts!$B:$B,Raw_Alerts!$F:$F),"")</f>
        <v/>
      </c>
      <c r="P1134" s="2">
        <f>IF(H1134="Not Found","CRITICAL: No Risk Profile",IF(I1134="Missing","WARN: Missing KYC",IF(I1134="Expired","WARN: KYC Expired",IF(I1134="Pending","INFO: KYC Pending","OK"))))</f>
        <v/>
      </c>
    </row>
    <row r="1135">
      <c r="A1135" s="4">
        <f>Raw_Transactions!A1135</f>
        <v/>
      </c>
      <c r="B1135" s="4">
        <f>Raw_Transactions!B1135</f>
        <v/>
      </c>
      <c r="C1135" s="4">
        <f>Raw_Transactions!C1135</f>
        <v/>
      </c>
      <c r="D1135" s="5">
        <f>Raw_Transactions!D1135</f>
        <v/>
      </c>
      <c r="E1135" s="4">
        <f>Raw_Transactions!E1135</f>
        <v/>
      </c>
      <c r="F1135" s="4">
        <f>Raw_Transactions!F1135</f>
        <v/>
      </c>
      <c r="G1135" s="4">
        <f>Raw_Transactions!G1135</f>
        <v/>
      </c>
      <c r="H1135" s="4">
        <f>XLOOKUP(B1135,Raw_Risk_Profiles!$A:$A,Raw_Risk_Profiles!$B:$B,"Not Found")</f>
        <v/>
      </c>
      <c r="I1135" s="4">
        <f>XLOOKUP(B1135,Raw_Risk_Profiles!$A:$A,Raw_Risk_Profiles!$C:$C,"Missing")</f>
        <v/>
      </c>
      <c r="J1135" s="4">
        <f>XLOOKUP(B1135,Raw_Risk_Profiles!$A:$A,Raw_Risk_Profiles!$D:$D,"")</f>
        <v/>
      </c>
      <c r="K1135" s="4">
        <f>IFERROR(INDEX(Raw_Risk_Profiles!$E:$E,MATCH(B1135,Raw_Risk_Profiles!$A:$A,0)),"Unknown")</f>
        <v/>
      </c>
      <c r="L1135" s="4">
        <f>IFERROR(XLOOKUP(A1135,Raw_Alerts!$B:$B,Raw_Alerts!$A:$A),"No Alert")</f>
        <v/>
      </c>
      <c r="M1135" s="4">
        <f>IFERROR(XLOOKUP(A1135,Raw_Alerts!$B:$B,Raw_Alerts!$C:$C),"")</f>
        <v/>
      </c>
      <c r="N1135" s="4">
        <f>IFERROR(XLOOKUP(A1135,Raw_Alerts!$B:$B,Raw_Alerts!$D:$D),"")</f>
        <v/>
      </c>
      <c r="O1135" s="4">
        <f>IFERROR(XLOOKUP(A1135,Raw_Alerts!$B:$B,Raw_Alerts!$F:$F),"")</f>
        <v/>
      </c>
      <c r="P1135" s="4">
        <f>IF(H1135="Not Found","CRITICAL: No Risk Profile",IF(I1135="Missing","WARN: Missing KYC",IF(I1135="Expired","WARN: KYC Expired",IF(I1135="Pending","INFO: KYC Pending","OK"))))</f>
        <v/>
      </c>
    </row>
    <row r="1136">
      <c r="A1136" s="2">
        <f>Raw_Transactions!A1136</f>
        <v/>
      </c>
      <c r="B1136" s="2">
        <f>Raw_Transactions!B1136</f>
        <v/>
      </c>
      <c r="C1136" s="2">
        <f>Raw_Transactions!C1136</f>
        <v/>
      </c>
      <c r="D1136" s="3">
        <f>Raw_Transactions!D1136</f>
        <v/>
      </c>
      <c r="E1136" s="2">
        <f>Raw_Transactions!E1136</f>
        <v/>
      </c>
      <c r="F1136" s="2">
        <f>Raw_Transactions!F1136</f>
        <v/>
      </c>
      <c r="G1136" s="2">
        <f>Raw_Transactions!G1136</f>
        <v/>
      </c>
      <c r="H1136" s="2">
        <f>XLOOKUP(B1136,Raw_Risk_Profiles!$A:$A,Raw_Risk_Profiles!$B:$B,"Not Found")</f>
        <v/>
      </c>
      <c r="I1136" s="2">
        <f>XLOOKUP(B1136,Raw_Risk_Profiles!$A:$A,Raw_Risk_Profiles!$C:$C,"Missing")</f>
        <v/>
      </c>
      <c r="J1136" s="2">
        <f>XLOOKUP(B1136,Raw_Risk_Profiles!$A:$A,Raw_Risk_Profiles!$D:$D,"")</f>
        <v/>
      </c>
      <c r="K1136" s="2">
        <f>IFERROR(INDEX(Raw_Risk_Profiles!$E:$E,MATCH(B1136,Raw_Risk_Profiles!$A:$A,0)),"Unknown")</f>
        <v/>
      </c>
      <c r="L1136" s="2">
        <f>IFERROR(XLOOKUP(A1136,Raw_Alerts!$B:$B,Raw_Alerts!$A:$A),"No Alert")</f>
        <v/>
      </c>
      <c r="M1136" s="2">
        <f>IFERROR(XLOOKUP(A1136,Raw_Alerts!$B:$B,Raw_Alerts!$C:$C),"")</f>
        <v/>
      </c>
      <c r="N1136" s="2">
        <f>IFERROR(XLOOKUP(A1136,Raw_Alerts!$B:$B,Raw_Alerts!$D:$D),"")</f>
        <v/>
      </c>
      <c r="O1136" s="2">
        <f>IFERROR(XLOOKUP(A1136,Raw_Alerts!$B:$B,Raw_Alerts!$F:$F),"")</f>
        <v/>
      </c>
      <c r="P1136" s="2">
        <f>IF(H1136="Not Found","CRITICAL: No Risk Profile",IF(I1136="Missing","WARN: Missing KYC",IF(I1136="Expired","WARN: KYC Expired",IF(I1136="Pending","INFO: KYC Pending","OK"))))</f>
        <v/>
      </c>
    </row>
    <row r="1137">
      <c r="A1137" s="4">
        <f>Raw_Transactions!A1137</f>
        <v/>
      </c>
      <c r="B1137" s="4">
        <f>Raw_Transactions!B1137</f>
        <v/>
      </c>
      <c r="C1137" s="4">
        <f>Raw_Transactions!C1137</f>
        <v/>
      </c>
      <c r="D1137" s="5">
        <f>Raw_Transactions!D1137</f>
        <v/>
      </c>
      <c r="E1137" s="4">
        <f>Raw_Transactions!E1137</f>
        <v/>
      </c>
      <c r="F1137" s="4">
        <f>Raw_Transactions!F1137</f>
        <v/>
      </c>
      <c r="G1137" s="4">
        <f>Raw_Transactions!G1137</f>
        <v/>
      </c>
      <c r="H1137" s="4">
        <f>XLOOKUP(B1137,Raw_Risk_Profiles!$A:$A,Raw_Risk_Profiles!$B:$B,"Not Found")</f>
        <v/>
      </c>
      <c r="I1137" s="4">
        <f>XLOOKUP(B1137,Raw_Risk_Profiles!$A:$A,Raw_Risk_Profiles!$C:$C,"Missing")</f>
        <v/>
      </c>
      <c r="J1137" s="4">
        <f>XLOOKUP(B1137,Raw_Risk_Profiles!$A:$A,Raw_Risk_Profiles!$D:$D,"")</f>
        <v/>
      </c>
      <c r="K1137" s="4">
        <f>IFERROR(INDEX(Raw_Risk_Profiles!$E:$E,MATCH(B1137,Raw_Risk_Profiles!$A:$A,0)),"Unknown")</f>
        <v/>
      </c>
      <c r="L1137" s="4">
        <f>IFERROR(XLOOKUP(A1137,Raw_Alerts!$B:$B,Raw_Alerts!$A:$A),"No Alert")</f>
        <v/>
      </c>
      <c r="M1137" s="4">
        <f>IFERROR(XLOOKUP(A1137,Raw_Alerts!$B:$B,Raw_Alerts!$C:$C),"")</f>
        <v/>
      </c>
      <c r="N1137" s="4">
        <f>IFERROR(XLOOKUP(A1137,Raw_Alerts!$B:$B,Raw_Alerts!$D:$D),"")</f>
        <v/>
      </c>
      <c r="O1137" s="4">
        <f>IFERROR(XLOOKUP(A1137,Raw_Alerts!$B:$B,Raw_Alerts!$F:$F),"")</f>
        <v/>
      </c>
      <c r="P1137" s="4">
        <f>IF(H1137="Not Found","CRITICAL: No Risk Profile",IF(I1137="Missing","WARN: Missing KYC",IF(I1137="Expired","WARN: KYC Expired",IF(I1137="Pending","INFO: KYC Pending","OK"))))</f>
        <v/>
      </c>
    </row>
    <row r="1138">
      <c r="A1138" s="2">
        <f>Raw_Transactions!A1138</f>
        <v/>
      </c>
      <c r="B1138" s="2">
        <f>Raw_Transactions!B1138</f>
        <v/>
      </c>
      <c r="C1138" s="2">
        <f>Raw_Transactions!C1138</f>
        <v/>
      </c>
      <c r="D1138" s="3">
        <f>Raw_Transactions!D1138</f>
        <v/>
      </c>
      <c r="E1138" s="2">
        <f>Raw_Transactions!E1138</f>
        <v/>
      </c>
      <c r="F1138" s="2">
        <f>Raw_Transactions!F1138</f>
        <v/>
      </c>
      <c r="G1138" s="2">
        <f>Raw_Transactions!G1138</f>
        <v/>
      </c>
      <c r="H1138" s="2">
        <f>XLOOKUP(B1138,Raw_Risk_Profiles!$A:$A,Raw_Risk_Profiles!$B:$B,"Not Found")</f>
        <v/>
      </c>
      <c r="I1138" s="2">
        <f>XLOOKUP(B1138,Raw_Risk_Profiles!$A:$A,Raw_Risk_Profiles!$C:$C,"Missing")</f>
        <v/>
      </c>
      <c r="J1138" s="2">
        <f>XLOOKUP(B1138,Raw_Risk_Profiles!$A:$A,Raw_Risk_Profiles!$D:$D,"")</f>
        <v/>
      </c>
      <c r="K1138" s="2">
        <f>IFERROR(INDEX(Raw_Risk_Profiles!$E:$E,MATCH(B1138,Raw_Risk_Profiles!$A:$A,0)),"Unknown")</f>
        <v/>
      </c>
      <c r="L1138" s="2">
        <f>IFERROR(XLOOKUP(A1138,Raw_Alerts!$B:$B,Raw_Alerts!$A:$A),"No Alert")</f>
        <v/>
      </c>
      <c r="M1138" s="2">
        <f>IFERROR(XLOOKUP(A1138,Raw_Alerts!$B:$B,Raw_Alerts!$C:$C),"")</f>
        <v/>
      </c>
      <c r="N1138" s="2">
        <f>IFERROR(XLOOKUP(A1138,Raw_Alerts!$B:$B,Raw_Alerts!$D:$D),"")</f>
        <v/>
      </c>
      <c r="O1138" s="2">
        <f>IFERROR(XLOOKUP(A1138,Raw_Alerts!$B:$B,Raw_Alerts!$F:$F),"")</f>
        <v/>
      </c>
      <c r="P1138" s="2">
        <f>IF(H1138="Not Found","CRITICAL: No Risk Profile",IF(I1138="Missing","WARN: Missing KYC",IF(I1138="Expired","WARN: KYC Expired",IF(I1138="Pending","INFO: KYC Pending","OK"))))</f>
        <v/>
      </c>
    </row>
    <row r="1139">
      <c r="A1139" s="4">
        <f>Raw_Transactions!A1139</f>
        <v/>
      </c>
      <c r="B1139" s="4">
        <f>Raw_Transactions!B1139</f>
        <v/>
      </c>
      <c r="C1139" s="4">
        <f>Raw_Transactions!C1139</f>
        <v/>
      </c>
      <c r="D1139" s="5">
        <f>Raw_Transactions!D1139</f>
        <v/>
      </c>
      <c r="E1139" s="4">
        <f>Raw_Transactions!E1139</f>
        <v/>
      </c>
      <c r="F1139" s="4">
        <f>Raw_Transactions!F1139</f>
        <v/>
      </c>
      <c r="G1139" s="4">
        <f>Raw_Transactions!G1139</f>
        <v/>
      </c>
      <c r="H1139" s="4">
        <f>XLOOKUP(B1139,Raw_Risk_Profiles!$A:$A,Raw_Risk_Profiles!$B:$B,"Not Found")</f>
        <v/>
      </c>
      <c r="I1139" s="4">
        <f>XLOOKUP(B1139,Raw_Risk_Profiles!$A:$A,Raw_Risk_Profiles!$C:$C,"Missing")</f>
        <v/>
      </c>
      <c r="J1139" s="4">
        <f>XLOOKUP(B1139,Raw_Risk_Profiles!$A:$A,Raw_Risk_Profiles!$D:$D,"")</f>
        <v/>
      </c>
      <c r="K1139" s="4">
        <f>IFERROR(INDEX(Raw_Risk_Profiles!$E:$E,MATCH(B1139,Raw_Risk_Profiles!$A:$A,0)),"Unknown")</f>
        <v/>
      </c>
      <c r="L1139" s="4">
        <f>IFERROR(XLOOKUP(A1139,Raw_Alerts!$B:$B,Raw_Alerts!$A:$A),"No Alert")</f>
        <v/>
      </c>
      <c r="M1139" s="4">
        <f>IFERROR(XLOOKUP(A1139,Raw_Alerts!$B:$B,Raw_Alerts!$C:$C),"")</f>
        <v/>
      </c>
      <c r="N1139" s="4">
        <f>IFERROR(XLOOKUP(A1139,Raw_Alerts!$B:$B,Raw_Alerts!$D:$D),"")</f>
        <v/>
      </c>
      <c r="O1139" s="4">
        <f>IFERROR(XLOOKUP(A1139,Raw_Alerts!$B:$B,Raw_Alerts!$F:$F),"")</f>
        <v/>
      </c>
      <c r="P1139" s="4">
        <f>IF(H1139="Not Found","CRITICAL: No Risk Profile",IF(I1139="Missing","WARN: Missing KYC",IF(I1139="Expired","WARN: KYC Expired",IF(I1139="Pending","INFO: KYC Pending","OK"))))</f>
        <v/>
      </c>
    </row>
    <row r="1140">
      <c r="A1140" s="2">
        <f>Raw_Transactions!A1140</f>
        <v/>
      </c>
      <c r="B1140" s="2">
        <f>Raw_Transactions!B1140</f>
        <v/>
      </c>
      <c r="C1140" s="2">
        <f>Raw_Transactions!C1140</f>
        <v/>
      </c>
      <c r="D1140" s="3">
        <f>Raw_Transactions!D1140</f>
        <v/>
      </c>
      <c r="E1140" s="2">
        <f>Raw_Transactions!E1140</f>
        <v/>
      </c>
      <c r="F1140" s="2">
        <f>Raw_Transactions!F1140</f>
        <v/>
      </c>
      <c r="G1140" s="2">
        <f>Raw_Transactions!G1140</f>
        <v/>
      </c>
      <c r="H1140" s="2">
        <f>XLOOKUP(B1140,Raw_Risk_Profiles!$A:$A,Raw_Risk_Profiles!$B:$B,"Not Found")</f>
        <v/>
      </c>
      <c r="I1140" s="2">
        <f>XLOOKUP(B1140,Raw_Risk_Profiles!$A:$A,Raw_Risk_Profiles!$C:$C,"Missing")</f>
        <v/>
      </c>
      <c r="J1140" s="2">
        <f>XLOOKUP(B1140,Raw_Risk_Profiles!$A:$A,Raw_Risk_Profiles!$D:$D,"")</f>
        <v/>
      </c>
      <c r="K1140" s="2">
        <f>IFERROR(INDEX(Raw_Risk_Profiles!$E:$E,MATCH(B1140,Raw_Risk_Profiles!$A:$A,0)),"Unknown")</f>
        <v/>
      </c>
      <c r="L1140" s="2">
        <f>IFERROR(XLOOKUP(A1140,Raw_Alerts!$B:$B,Raw_Alerts!$A:$A),"No Alert")</f>
        <v/>
      </c>
      <c r="M1140" s="2">
        <f>IFERROR(XLOOKUP(A1140,Raw_Alerts!$B:$B,Raw_Alerts!$C:$C),"")</f>
        <v/>
      </c>
      <c r="N1140" s="2">
        <f>IFERROR(XLOOKUP(A1140,Raw_Alerts!$B:$B,Raw_Alerts!$D:$D),"")</f>
        <v/>
      </c>
      <c r="O1140" s="2">
        <f>IFERROR(XLOOKUP(A1140,Raw_Alerts!$B:$B,Raw_Alerts!$F:$F),"")</f>
        <v/>
      </c>
      <c r="P1140" s="2">
        <f>IF(H1140="Not Found","CRITICAL: No Risk Profile",IF(I1140="Missing","WARN: Missing KYC",IF(I1140="Expired","WARN: KYC Expired",IF(I1140="Pending","INFO: KYC Pending","OK"))))</f>
        <v/>
      </c>
    </row>
    <row r="1141">
      <c r="A1141" s="4">
        <f>Raw_Transactions!A1141</f>
        <v/>
      </c>
      <c r="B1141" s="4">
        <f>Raw_Transactions!B1141</f>
        <v/>
      </c>
      <c r="C1141" s="4">
        <f>Raw_Transactions!C1141</f>
        <v/>
      </c>
      <c r="D1141" s="5">
        <f>Raw_Transactions!D1141</f>
        <v/>
      </c>
      <c r="E1141" s="4">
        <f>Raw_Transactions!E1141</f>
        <v/>
      </c>
      <c r="F1141" s="4">
        <f>Raw_Transactions!F1141</f>
        <v/>
      </c>
      <c r="G1141" s="4">
        <f>Raw_Transactions!G1141</f>
        <v/>
      </c>
      <c r="H1141" s="4">
        <f>XLOOKUP(B1141,Raw_Risk_Profiles!$A:$A,Raw_Risk_Profiles!$B:$B,"Not Found")</f>
        <v/>
      </c>
      <c r="I1141" s="4">
        <f>XLOOKUP(B1141,Raw_Risk_Profiles!$A:$A,Raw_Risk_Profiles!$C:$C,"Missing")</f>
        <v/>
      </c>
      <c r="J1141" s="4">
        <f>XLOOKUP(B1141,Raw_Risk_Profiles!$A:$A,Raw_Risk_Profiles!$D:$D,"")</f>
        <v/>
      </c>
      <c r="K1141" s="4">
        <f>IFERROR(INDEX(Raw_Risk_Profiles!$E:$E,MATCH(B1141,Raw_Risk_Profiles!$A:$A,0)),"Unknown")</f>
        <v/>
      </c>
      <c r="L1141" s="4">
        <f>IFERROR(XLOOKUP(A1141,Raw_Alerts!$B:$B,Raw_Alerts!$A:$A),"No Alert")</f>
        <v/>
      </c>
      <c r="M1141" s="4">
        <f>IFERROR(XLOOKUP(A1141,Raw_Alerts!$B:$B,Raw_Alerts!$C:$C),"")</f>
        <v/>
      </c>
      <c r="N1141" s="4">
        <f>IFERROR(XLOOKUP(A1141,Raw_Alerts!$B:$B,Raw_Alerts!$D:$D),"")</f>
        <v/>
      </c>
      <c r="O1141" s="4">
        <f>IFERROR(XLOOKUP(A1141,Raw_Alerts!$B:$B,Raw_Alerts!$F:$F),"")</f>
        <v/>
      </c>
      <c r="P1141" s="4">
        <f>IF(H1141="Not Found","CRITICAL: No Risk Profile",IF(I1141="Missing","WARN: Missing KYC",IF(I1141="Expired","WARN: KYC Expired",IF(I1141="Pending","INFO: KYC Pending","OK"))))</f>
        <v/>
      </c>
    </row>
    <row r="1142">
      <c r="A1142" s="2">
        <f>Raw_Transactions!A1142</f>
        <v/>
      </c>
      <c r="B1142" s="2">
        <f>Raw_Transactions!B1142</f>
        <v/>
      </c>
      <c r="C1142" s="2">
        <f>Raw_Transactions!C1142</f>
        <v/>
      </c>
      <c r="D1142" s="3">
        <f>Raw_Transactions!D1142</f>
        <v/>
      </c>
      <c r="E1142" s="2">
        <f>Raw_Transactions!E1142</f>
        <v/>
      </c>
      <c r="F1142" s="2">
        <f>Raw_Transactions!F1142</f>
        <v/>
      </c>
      <c r="G1142" s="2">
        <f>Raw_Transactions!G1142</f>
        <v/>
      </c>
      <c r="H1142" s="2">
        <f>XLOOKUP(B1142,Raw_Risk_Profiles!$A:$A,Raw_Risk_Profiles!$B:$B,"Not Found")</f>
        <v/>
      </c>
      <c r="I1142" s="2">
        <f>XLOOKUP(B1142,Raw_Risk_Profiles!$A:$A,Raw_Risk_Profiles!$C:$C,"Missing")</f>
        <v/>
      </c>
      <c r="J1142" s="2">
        <f>XLOOKUP(B1142,Raw_Risk_Profiles!$A:$A,Raw_Risk_Profiles!$D:$D,"")</f>
        <v/>
      </c>
      <c r="K1142" s="2">
        <f>IFERROR(INDEX(Raw_Risk_Profiles!$E:$E,MATCH(B1142,Raw_Risk_Profiles!$A:$A,0)),"Unknown")</f>
        <v/>
      </c>
      <c r="L1142" s="2">
        <f>IFERROR(XLOOKUP(A1142,Raw_Alerts!$B:$B,Raw_Alerts!$A:$A),"No Alert")</f>
        <v/>
      </c>
      <c r="M1142" s="2">
        <f>IFERROR(XLOOKUP(A1142,Raw_Alerts!$B:$B,Raw_Alerts!$C:$C),"")</f>
        <v/>
      </c>
      <c r="N1142" s="2">
        <f>IFERROR(XLOOKUP(A1142,Raw_Alerts!$B:$B,Raw_Alerts!$D:$D),"")</f>
        <v/>
      </c>
      <c r="O1142" s="2">
        <f>IFERROR(XLOOKUP(A1142,Raw_Alerts!$B:$B,Raw_Alerts!$F:$F),"")</f>
        <v/>
      </c>
      <c r="P1142" s="2">
        <f>IF(H1142="Not Found","CRITICAL: No Risk Profile",IF(I1142="Missing","WARN: Missing KYC",IF(I1142="Expired","WARN: KYC Expired",IF(I1142="Pending","INFO: KYC Pending","OK"))))</f>
        <v/>
      </c>
    </row>
    <row r="1143">
      <c r="A1143" s="4">
        <f>Raw_Transactions!A1143</f>
        <v/>
      </c>
      <c r="B1143" s="4">
        <f>Raw_Transactions!B1143</f>
        <v/>
      </c>
      <c r="C1143" s="4">
        <f>Raw_Transactions!C1143</f>
        <v/>
      </c>
      <c r="D1143" s="5">
        <f>Raw_Transactions!D1143</f>
        <v/>
      </c>
      <c r="E1143" s="4">
        <f>Raw_Transactions!E1143</f>
        <v/>
      </c>
      <c r="F1143" s="4">
        <f>Raw_Transactions!F1143</f>
        <v/>
      </c>
      <c r="G1143" s="4">
        <f>Raw_Transactions!G1143</f>
        <v/>
      </c>
      <c r="H1143" s="4">
        <f>XLOOKUP(B1143,Raw_Risk_Profiles!$A:$A,Raw_Risk_Profiles!$B:$B,"Not Found")</f>
        <v/>
      </c>
      <c r="I1143" s="4">
        <f>XLOOKUP(B1143,Raw_Risk_Profiles!$A:$A,Raw_Risk_Profiles!$C:$C,"Missing")</f>
        <v/>
      </c>
      <c r="J1143" s="4">
        <f>XLOOKUP(B1143,Raw_Risk_Profiles!$A:$A,Raw_Risk_Profiles!$D:$D,"")</f>
        <v/>
      </c>
      <c r="K1143" s="4">
        <f>IFERROR(INDEX(Raw_Risk_Profiles!$E:$E,MATCH(B1143,Raw_Risk_Profiles!$A:$A,0)),"Unknown")</f>
        <v/>
      </c>
      <c r="L1143" s="4">
        <f>IFERROR(XLOOKUP(A1143,Raw_Alerts!$B:$B,Raw_Alerts!$A:$A),"No Alert")</f>
        <v/>
      </c>
      <c r="M1143" s="4">
        <f>IFERROR(XLOOKUP(A1143,Raw_Alerts!$B:$B,Raw_Alerts!$C:$C),"")</f>
        <v/>
      </c>
      <c r="N1143" s="4">
        <f>IFERROR(XLOOKUP(A1143,Raw_Alerts!$B:$B,Raw_Alerts!$D:$D),"")</f>
        <v/>
      </c>
      <c r="O1143" s="4">
        <f>IFERROR(XLOOKUP(A1143,Raw_Alerts!$B:$B,Raw_Alerts!$F:$F),"")</f>
        <v/>
      </c>
      <c r="P1143" s="4">
        <f>IF(H1143="Not Found","CRITICAL: No Risk Profile",IF(I1143="Missing","WARN: Missing KYC",IF(I1143="Expired","WARN: KYC Expired",IF(I1143="Pending","INFO: KYC Pending","OK"))))</f>
        <v/>
      </c>
    </row>
    <row r="1144">
      <c r="A1144" s="2">
        <f>Raw_Transactions!A1144</f>
        <v/>
      </c>
      <c r="B1144" s="2">
        <f>Raw_Transactions!B1144</f>
        <v/>
      </c>
      <c r="C1144" s="2">
        <f>Raw_Transactions!C1144</f>
        <v/>
      </c>
      <c r="D1144" s="3">
        <f>Raw_Transactions!D1144</f>
        <v/>
      </c>
      <c r="E1144" s="2">
        <f>Raw_Transactions!E1144</f>
        <v/>
      </c>
      <c r="F1144" s="2">
        <f>Raw_Transactions!F1144</f>
        <v/>
      </c>
      <c r="G1144" s="2">
        <f>Raw_Transactions!G1144</f>
        <v/>
      </c>
      <c r="H1144" s="2">
        <f>XLOOKUP(B1144,Raw_Risk_Profiles!$A:$A,Raw_Risk_Profiles!$B:$B,"Not Found")</f>
        <v/>
      </c>
      <c r="I1144" s="2">
        <f>XLOOKUP(B1144,Raw_Risk_Profiles!$A:$A,Raw_Risk_Profiles!$C:$C,"Missing")</f>
        <v/>
      </c>
      <c r="J1144" s="2">
        <f>XLOOKUP(B1144,Raw_Risk_Profiles!$A:$A,Raw_Risk_Profiles!$D:$D,"")</f>
        <v/>
      </c>
      <c r="K1144" s="2">
        <f>IFERROR(INDEX(Raw_Risk_Profiles!$E:$E,MATCH(B1144,Raw_Risk_Profiles!$A:$A,0)),"Unknown")</f>
        <v/>
      </c>
      <c r="L1144" s="2">
        <f>IFERROR(XLOOKUP(A1144,Raw_Alerts!$B:$B,Raw_Alerts!$A:$A),"No Alert")</f>
        <v/>
      </c>
      <c r="M1144" s="2">
        <f>IFERROR(XLOOKUP(A1144,Raw_Alerts!$B:$B,Raw_Alerts!$C:$C),"")</f>
        <v/>
      </c>
      <c r="N1144" s="2">
        <f>IFERROR(XLOOKUP(A1144,Raw_Alerts!$B:$B,Raw_Alerts!$D:$D),"")</f>
        <v/>
      </c>
      <c r="O1144" s="2">
        <f>IFERROR(XLOOKUP(A1144,Raw_Alerts!$B:$B,Raw_Alerts!$F:$F),"")</f>
        <v/>
      </c>
      <c r="P1144" s="2">
        <f>IF(H1144="Not Found","CRITICAL: No Risk Profile",IF(I1144="Missing","WARN: Missing KYC",IF(I1144="Expired","WARN: KYC Expired",IF(I1144="Pending","INFO: KYC Pending","OK"))))</f>
        <v/>
      </c>
    </row>
    <row r="1145">
      <c r="A1145" s="4">
        <f>Raw_Transactions!A1145</f>
        <v/>
      </c>
      <c r="B1145" s="4">
        <f>Raw_Transactions!B1145</f>
        <v/>
      </c>
      <c r="C1145" s="4">
        <f>Raw_Transactions!C1145</f>
        <v/>
      </c>
      <c r="D1145" s="5">
        <f>Raw_Transactions!D1145</f>
        <v/>
      </c>
      <c r="E1145" s="4">
        <f>Raw_Transactions!E1145</f>
        <v/>
      </c>
      <c r="F1145" s="4">
        <f>Raw_Transactions!F1145</f>
        <v/>
      </c>
      <c r="G1145" s="4">
        <f>Raw_Transactions!G1145</f>
        <v/>
      </c>
      <c r="H1145" s="4">
        <f>XLOOKUP(B1145,Raw_Risk_Profiles!$A:$A,Raw_Risk_Profiles!$B:$B,"Not Found")</f>
        <v/>
      </c>
      <c r="I1145" s="4">
        <f>XLOOKUP(B1145,Raw_Risk_Profiles!$A:$A,Raw_Risk_Profiles!$C:$C,"Missing")</f>
        <v/>
      </c>
      <c r="J1145" s="4">
        <f>XLOOKUP(B1145,Raw_Risk_Profiles!$A:$A,Raw_Risk_Profiles!$D:$D,"")</f>
        <v/>
      </c>
      <c r="K1145" s="4">
        <f>IFERROR(INDEX(Raw_Risk_Profiles!$E:$E,MATCH(B1145,Raw_Risk_Profiles!$A:$A,0)),"Unknown")</f>
        <v/>
      </c>
      <c r="L1145" s="4">
        <f>IFERROR(XLOOKUP(A1145,Raw_Alerts!$B:$B,Raw_Alerts!$A:$A),"No Alert")</f>
        <v/>
      </c>
      <c r="M1145" s="4">
        <f>IFERROR(XLOOKUP(A1145,Raw_Alerts!$B:$B,Raw_Alerts!$C:$C),"")</f>
        <v/>
      </c>
      <c r="N1145" s="4">
        <f>IFERROR(XLOOKUP(A1145,Raw_Alerts!$B:$B,Raw_Alerts!$D:$D),"")</f>
        <v/>
      </c>
      <c r="O1145" s="4">
        <f>IFERROR(XLOOKUP(A1145,Raw_Alerts!$B:$B,Raw_Alerts!$F:$F),"")</f>
        <v/>
      </c>
      <c r="P1145" s="4">
        <f>IF(H1145="Not Found","CRITICAL: No Risk Profile",IF(I1145="Missing","WARN: Missing KYC",IF(I1145="Expired","WARN: KYC Expired",IF(I1145="Pending","INFO: KYC Pending","OK"))))</f>
        <v/>
      </c>
    </row>
    <row r="1146">
      <c r="A1146" s="2">
        <f>Raw_Transactions!A1146</f>
        <v/>
      </c>
      <c r="B1146" s="2">
        <f>Raw_Transactions!B1146</f>
        <v/>
      </c>
      <c r="C1146" s="2">
        <f>Raw_Transactions!C1146</f>
        <v/>
      </c>
      <c r="D1146" s="3">
        <f>Raw_Transactions!D1146</f>
        <v/>
      </c>
      <c r="E1146" s="2">
        <f>Raw_Transactions!E1146</f>
        <v/>
      </c>
      <c r="F1146" s="2">
        <f>Raw_Transactions!F1146</f>
        <v/>
      </c>
      <c r="G1146" s="2">
        <f>Raw_Transactions!G1146</f>
        <v/>
      </c>
      <c r="H1146" s="2">
        <f>XLOOKUP(B1146,Raw_Risk_Profiles!$A:$A,Raw_Risk_Profiles!$B:$B,"Not Found")</f>
        <v/>
      </c>
      <c r="I1146" s="2">
        <f>XLOOKUP(B1146,Raw_Risk_Profiles!$A:$A,Raw_Risk_Profiles!$C:$C,"Missing")</f>
        <v/>
      </c>
      <c r="J1146" s="2">
        <f>XLOOKUP(B1146,Raw_Risk_Profiles!$A:$A,Raw_Risk_Profiles!$D:$D,"")</f>
        <v/>
      </c>
      <c r="K1146" s="2">
        <f>IFERROR(INDEX(Raw_Risk_Profiles!$E:$E,MATCH(B1146,Raw_Risk_Profiles!$A:$A,0)),"Unknown")</f>
        <v/>
      </c>
      <c r="L1146" s="2">
        <f>IFERROR(XLOOKUP(A1146,Raw_Alerts!$B:$B,Raw_Alerts!$A:$A),"No Alert")</f>
        <v/>
      </c>
      <c r="M1146" s="2">
        <f>IFERROR(XLOOKUP(A1146,Raw_Alerts!$B:$B,Raw_Alerts!$C:$C),"")</f>
        <v/>
      </c>
      <c r="N1146" s="2">
        <f>IFERROR(XLOOKUP(A1146,Raw_Alerts!$B:$B,Raw_Alerts!$D:$D),"")</f>
        <v/>
      </c>
      <c r="O1146" s="2">
        <f>IFERROR(XLOOKUP(A1146,Raw_Alerts!$B:$B,Raw_Alerts!$F:$F),"")</f>
        <v/>
      </c>
      <c r="P1146" s="2">
        <f>IF(H1146="Not Found","CRITICAL: No Risk Profile",IF(I1146="Missing","WARN: Missing KYC",IF(I1146="Expired","WARN: KYC Expired",IF(I1146="Pending","INFO: KYC Pending","OK"))))</f>
        <v/>
      </c>
    </row>
    <row r="1147">
      <c r="A1147" s="4">
        <f>Raw_Transactions!A1147</f>
        <v/>
      </c>
      <c r="B1147" s="4">
        <f>Raw_Transactions!B1147</f>
        <v/>
      </c>
      <c r="C1147" s="4">
        <f>Raw_Transactions!C1147</f>
        <v/>
      </c>
      <c r="D1147" s="5">
        <f>Raw_Transactions!D1147</f>
        <v/>
      </c>
      <c r="E1147" s="4">
        <f>Raw_Transactions!E1147</f>
        <v/>
      </c>
      <c r="F1147" s="4">
        <f>Raw_Transactions!F1147</f>
        <v/>
      </c>
      <c r="G1147" s="4">
        <f>Raw_Transactions!G1147</f>
        <v/>
      </c>
      <c r="H1147" s="4">
        <f>XLOOKUP(B1147,Raw_Risk_Profiles!$A:$A,Raw_Risk_Profiles!$B:$B,"Not Found")</f>
        <v/>
      </c>
      <c r="I1147" s="4">
        <f>XLOOKUP(B1147,Raw_Risk_Profiles!$A:$A,Raw_Risk_Profiles!$C:$C,"Missing")</f>
        <v/>
      </c>
      <c r="J1147" s="4">
        <f>XLOOKUP(B1147,Raw_Risk_Profiles!$A:$A,Raw_Risk_Profiles!$D:$D,"")</f>
        <v/>
      </c>
      <c r="K1147" s="4">
        <f>IFERROR(INDEX(Raw_Risk_Profiles!$E:$E,MATCH(B1147,Raw_Risk_Profiles!$A:$A,0)),"Unknown")</f>
        <v/>
      </c>
      <c r="L1147" s="4">
        <f>IFERROR(XLOOKUP(A1147,Raw_Alerts!$B:$B,Raw_Alerts!$A:$A),"No Alert")</f>
        <v/>
      </c>
      <c r="M1147" s="4">
        <f>IFERROR(XLOOKUP(A1147,Raw_Alerts!$B:$B,Raw_Alerts!$C:$C),"")</f>
        <v/>
      </c>
      <c r="N1147" s="4">
        <f>IFERROR(XLOOKUP(A1147,Raw_Alerts!$B:$B,Raw_Alerts!$D:$D),"")</f>
        <v/>
      </c>
      <c r="O1147" s="4">
        <f>IFERROR(XLOOKUP(A1147,Raw_Alerts!$B:$B,Raw_Alerts!$F:$F),"")</f>
        <v/>
      </c>
      <c r="P1147" s="4">
        <f>IF(H1147="Not Found","CRITICAL: No Risk Profile",IF(I1147="Missing","WARN: Missing KYC",IF(I1147="Expired","WARN: KYC Expired",IF(I1147="Pending","INFO: KYC Pending","OK"))))</f>
        <v/>
      </c>
    </row>
    <row r="1148">
      <c r="A1148" s="2">
        <f>Raw_Transactions!A1148</f>
        <v/>
      </c>
      <c r="B1148" s="2">
        <f>Raw_Transactions!B1148</f>
        <v/>
      </c>
      <c r="C1148" s="2">
        <f>Raw_Transactions!C1148</f>
        <v/>
      </c>
      <c r="D1148" s="3">
        <f>Raw_Transactions!D1148</f>
        <v/>
      </c>
      <c r="E1148" s="2">
        <f>Raw_Transactions!E1148</f>
        <v/>
      </c>
      <c r="F1148" s="2">
        <f>Raw_Transactions!F1148</f>
        <v/>
      </c>
      <c r="G1148" s="2">
        <f>Raw_Transactions!G1148</f>
        <v/>
      </c>
      <c r="H1148" s="2">
        <f>XLOOKUP(B1148,Raw_Risk_Profiles!$A:$A,Raw_Risk_Profiles!$B:$B,"Not Found")</f>
        <v/>
      </c>
      <c r="I1148" s="2">
        <f>XLOOKUP(B1148,Raw_Risk_Profiles!$A:$A,Raw_Risk_Profiles!$C:$C,"Missing")</f>
        <v/>
      </c>
      <c r="J1148" s="2">
        <f>XLOOKUP(B1148,Raw_Risk_Profiles!$A:$A,Raw_Risk_Profiles!$D:$D,"")</f>
        <v/>
      </c>
      <c r="K1148" s="2">
        <f>IFERROR(INDEX(Raw_Risk_Profiles!$E:$E,MATCH(B1148,Raw_Risk_Profiles!$A:$A,0)),"Unknown")</f>
        <v/>
      </c>
      <c r="L1148" s="2">
        <f>IFERROR(XLOOKUP(A1148,Raw_Alerts!$B:$B,Raw_Alerts!$A:$A),"No Alert")</f>
        <v/>
      </c>
      <c r="M1148" s="2">
        <f>IFERROR(XLOOKUP(A1148,Raw_Alerts!$B:$B,Raw_Alerts!$C:$C),"")</f>
        <v/>
      </c>
      <c r="N1148" s="2">
        <f>IFERROR(XLOOKUP(A1148,Raw_Alerts!$B:$B,Raw_Alerts!$D:$D),"")</f>
        <v/>
      </c>
      <c r="O1148" s="2">
        <f>IFERROR(XLOOKUP(A1148,Raw_Alerts!$B:$B,Raw_Alerts!$F:$F),"")</f>
        <v/>
      </c>
      <c r="P1148" s="2">
        <f>IF(H1148="Not Found","CRITICAL: No Risk Profile",IF(I1148="Missing","WARN: Missing KYC",IF(I1148="Expired","WARN: KYC Expired",IF(I1148="Pending","INFO: KYC Pending","OK"))))</f>
        <v/>
      </c>
    </row>
    <row r="1149">
      <c r="A1149" s="4">
        <f>Raw_Transactions!A1149</f>
        <v/>
      </c>
      <c r="B1149" s="4">
        <f>Raw_Transactions!B1149</f>
        <v/>
      </c>
      <c r="C1149" s="4">
        <f>Raw_Transactions!C1149</f>
        <v/>
      </c>
      <c r="D1149" s="5">
        <f>Raw_Transactions!D1149</f>
        <v/>
      </c>
      <c r="E1149" s="4">
        <f>Raw_Transactions!E1149</f>
        <v/>
      </c>
      <c r="F1149" s="4">
        <f>Raw_Transactions!F1149</f>
        <v/>
      </c>
      <c r="G1149" s="4">
        <f>Raw_Transactions!G1149</f>
        <v/>
      </c>
      <c r="H1149" s="4">
        <f>XLOOKUP(B1149,Raw_Risk_Profiles!$A:$A,Raw_Risk_Profiles!$B:$B,"Not Found")</f>
        <v/>
      </c>
      <c r="I1149" s="4">
        <f>XLOOKUP(B1149,Raw_Risk_Profiles!$A:$A,Raw_Risk_Profiles!$C:$C,"Missing")</f>
        <v/>
      </c>
      <c r="J1149" s="4">
        <f>XLOOKUP(B1149,Raw_Risk_Profiles!$A:$A,Raw_Risk_Profiles!$D:$D,"")</f>
        <v/>
      </c>
      <c r="K1149" s="4">
        <f>IFERROR(INDEX(Raw_Risk_Profiles!$E:$E,MATCH(B1149,Raw_Risk_Profiles!$A:$A,0)),"Unknown")</f>
        <v/>
      </c>
      <c r="L1149" s="4">
        <f>IFERROR(XLOOKUP(A1149,Raw_Alerts!$B:$B,Raw_Alerts!$A:$A),"No Alert")</f>
        <v/>
      </c>
      <c r="M1149" s="4">
        <f>IFERROR(XLOOKUP(A1149,Raw_Alerts!$B:$B,Raw_Alerts!$C:$C),"")</f>
        <v/>
      </c>
      <c r="N1149" s="4">
        <f>IFERROR(XLOOKUP(A1149,Raw_Alerts!$B:$B,Raw_Alerts!$D:$D),"")</f>
        <v/>
      </c>
      <c r="O1149" s="4">
        <f>IFERROR(XLOOKUP(A1149,Raw_Alerts!$B:$B,Raw_Alerts!$F:$F),"")</f>
        <v/>
      </c>
      <c r="P1149" s="4">
        <f>IF(H1149="Not Found","CRITICAL: No Risk Profile",IF(I1149="Missing","WARN: Missing KYC",IF(I1149="Expired","WARN: KYC Expired",IF(I1149="Pending","INFO: KYC Pending","OK"))))</f>
        <v/>
      </c>
    </row>
    <row r="1150">
      <c r="A1150" s="2">
        <f>Raw_Transactions!A1150</f>
        <v/>
      </c>
      <c r="B1150" s="2">
        <f>Raw_Transactions!B1150</f>
        <v/>
      </c>
      <c r="C1150" s="2">
        <f>Raw_Transactions!C1150</f>
        <v/>
      </c>
      <c r="D1150" s="3">
        <f>Raw_Transactions!D1150</f>
        <v/>
      </c>
      <c r="E1150" s="2">
        <f>Raw_Transactions!E1150</f>
        <v/>
      </c>
      <c r="F1150" s="2">
        <f>Raw_Transactions!F1150</f>
        <v/>
      </c>
      <c r="G1150" s="2">
        <f>Raw_Transactions!G1150</f>
        <v/>
      </c>
      <c r="H1150" s="2">
        <f>XLOOKUP(B1150,Raw_Risk_Profiles!$A:$A,Raw_Risk_Profiles!$B:$B,"Not Found")</f>
        <v/>
      </c>
      <c r="I1150" s="2">
        <f>XLOOKUP(B1150,Raw_Risk_Profiles!$A:$A,Raw_Risk_Profiles!$C:$C,"Missing")</f>
        <v/>
      </c>
      <c r="J1150" s="2">
        <f>XLOOKUP(B1150,Raw_Risk_Profiles!$A:$A,Raw_Risk_Profiles!$D:$D,"")</f>
        <v/>
      </c>
      <c r="K1150" s="2">
        <f>IFERROR(INDEX(Raw_Risk_Profiles!$E:$E,MATCH(B1150,Raw_Risk_Profiles!$A:$A,0)),"Unknown")</f>
        <v/>
      </c>
      <c r="L1150" s="2">
        <f>IFERROR(XLOOKUP(A1150,Raw_Alerts!$B:$B,Raw_Alerts!$A:$A),"No Alert")</f>
        <v/>
      </c>
      <c r="M1150" s="2">
        <f>IFERROR(XLOOKUP(A1150,Raw_Alerts!$B:$B,Raw_Alerts!$C:$C),"")</f>
        <v/>
      </c>
      <c r="N1150" s="2">
        <f>IFERROR(XLOOKUP(A1150,Raw_Alerts!$B:$B,Raw_Alerts!$D:$D),"")</f>
        <v/>
      </c>
      <c r="O1150" s="2">
        <f>IFERROR(XLOOKUP(A1150,Raw_Alerts!$B:$B,Raw_Alerts!$F:$F),"")</f>
        <v/>
      </c>
      <c r="P1150" s="2">
        <f>IF(H1150="Not Found","CRITICAL: No Risk Profile",IF(I1150="Missing","WARN: Missing KYC",IF(I1150="Expired","WARN: KYC Expired",IF(I1150="Pending","INFO: KYC Pending","OK"))))</f>
        <v/>
      </c>
    </row>
    <row r="1151">
      <c r="A1151" s="4">
        <f>Raw_Transactions!A1151</f>
        <v/>
      </c>
      <c r="B1151" s="4">
        <f>Raw_Transactions!B1151</f>
        <v/>
      </c>
      <c r="C1151" s="4">
        <f>Raw_Transactions!C1151</f>
        <v/>
      </c>
      <c r="D1151" s="5">
        <f>Raw_Transactions!D1151</f>
        <v/>
      </c>
      <c r="E1151" s="4">
        <f>Raw_Transactions!E1151</f>
        <v/>
      </c>
      <c r="F1151" s="4">
        <f>Raw_Transactions!F1151</f>
        <v/>
      </c>
      <c r="G1151" s="4">
        <f>Raw_Transactions!G1151</f>
        <v/>
      </c>
      <c r="H1151" s="4">
        <f>XLOOKUP(B1151,Raw_Risk_Profiles!$A:$A,Raw_Risk_Profiles!$B:$B,"Not Found")</f>
        <v/>
      </c>
      <c r="I1151" s="4">
        <f>XLOOKUP(B1151,Raw_Risk_Profiles!$A:$A,Raw_Risk_Profiles!$C:$C,"Missing")</f>
        <v/>
      </c>
      <c r="J1151" s="4">
        <f>XLOOKUP(B1151,Raw_Risk_Profiles!$A:$A,Raw_Risk_Profiles!$D:$D,"")</f>
        <v/>
      </c>
      <c r="K1151" s="4">
        <f>IFERROR(INDEX(Raw_Risk_Profiles!$E:$E,MATCH(B1151,Raw_Risk_Profiles!$A:$A,0)),"Unknown")</f>
        <v/>
      </c>
      <c r="L1151" s="4">
        <f>IFERROR(XLOOKUP(A1151,Raw_Alerts!$B:$B,Raw_Alerts!$A:$A),"No Alert")</f>
        <v/>
      </c>
      <c r="M1151" s="4">
        <f>IFERROR(XLOOKUP(A1151,Raw_Alerts!$B:$B,Raw_Alerts!$C:$C),"")</f>
        <v/>
      </c>
      <c r="N1151" s="4">
        <f>IFERROR(XLOOKUP(A1151,Raw_Alerts!$B:$B,Raw_Alerts!$D:$D),"")</f>
        <v/>
      </c>
      <c r="O1151" s="4">
        <f>IFERROR(XLOOKUP(A1151,Raw_Alerts!$B:$B,Raw_Alerts!$F:$F),"")</f>
        <v/>
      </c>
      <c r="P1151" s="4">
        <f>IF(H1151="Not Found","CRITICAL: No Risk Profile",IF(I1151="Missing","WARN: Missing KYC",IF(I1151="Expired","WARN: KYC Expired",IF(I1151="Pending","INFO: KYC Pending","OK"))))</f>
        <v/>
      </c>
    </row>
    <row r="1152">
      <c r="A1152" s="2">
        <f>Raw_Transactions!A1152</f>
        <v/>
      </c>
      <c r="B1152" s="2">
        <f>Raw_Transactions!B1152</f>
        <v/>
      </c>
      <c r="C1152" s="2">
        <f>Raw_Transactions!C1152</f>
        <v/>
      </c>
      <c r="D1152" s="3">
        <f>Raw_Transactions!D1152</f>
        <v/>
      </c>
      <c r="E1152" s="2">
        <f>Raw_Transactions!E1152</f>
        <v/>
      </c>
      <c r="F1152" s="2">
        <f>Raw_Transactions!F1152</f>
        <v/>
      </c>
      <c r="G1152" s="2">
        <f>Raw_Transactions!G1152</f>
        <v/>
      </c>
      <c r="H1152" s="2">
        <f>XLOOKUP(B1152,Raw_Risk_Profiles!$A:$A,Raw_Risk_Profiles!$B:$B,"Not Found")</f>
        <v/>
      </c>
      <c r="I1152" s="2">
        <f>XLOOKUP(B1152,Raw_Risk_Profiles!$A:$A,Raw_Risk_Profiles!$C:$C,"Missing")</f>
        <v/>
      </c>
      <c r="J1152" s="2">
        <f>XLOOKUP(B1152,Raw_Risk_Profiles!$A:$A,Raw_Risk_Profiles!$D:$D,"")</f>
        <v/>
      </c>
      <c r="K1152" s="2">
        <f>IFERROR(INDEX(Raw_Risk_Profiles!$E:$E,MATCH(B1152,Raw_Risk_Profiles!$A:$A,0)),"Unknown")</f>
        <v/>
      </c>
      <c r="L1152" s="2">
        <f>IFERROR(XLOOKUP(A1152,Raw_Alerts!$B:$B,Raw_Alerts!$A:$A),"No Alert")</f>
        <v/>
      </c>
      <c r="M1152" s="2">
        <f>IFERROR(XLOOKUP(A1152,Raw_Alerts!$B:$B,Raw_Alerts!$C:$C),"")</f>
        <v/>
      </c>
      <c r="N1152" s="2">
        <f>IFERROR(XLOOKUP(A1152,Raw_Alerts!$B:$B,Raw_Alerts!$D:$D),"")</f>
        <v/>
      </c>
      <c r="O1152" s="2">
        <f>IFERROR(XLOOKUP(A1152,Raw_Alerts!$B:$B,Raw_Alerts!$F:$F),"")</f>
        <v/>
      </c>
      <c r="P1152" s="2">
        <f>IF(H1152="Not Found","CRITICAL: No Risk Profile",IF(I1152="Missing","WARN: Missing KYC",IF(I1152="Expired","WARN: KYC Expired",IF(I1152="Pending","INFO: KYC Pending","OK"))))</f>
        <v/>
      </c>
    </row>
    <row r="1153">
      <c r="A1153" s="4">
        <f>Raw_Transactions!A1153</f>
        <v/>
      </c>
      <c r="B1153" s="4">
        <f>Raw_Transactions!B1153</f>
        <v/>
      </c>
      <c r="C1153" s="4">
        <f>Raw_Transactions!C1153</f>
        <v/>
      </c>
      <c r="D1153" s="5">
        <f>Raw_Transactions!D1153</f>
        <v/>
      </c>
      <c r="E1153" s="4">
        <f>Raw_Transactions!E1153</f>
        <v/>
      </c>
      <c r="F1153" s="4">
        <f>Raw_Transactions!F1153</f>
        <v/>
      </c>
      <c r="G1153" s="4">
        <f>Raw_Transactions!G1153</f>
        <v/>
      </c>
      <c r="H1153" s="4">
        <f>XLOOKUP(B1153,Raw_Risk_Profiles!$A:$A,Raw_Risk_Profiles!$B:$B,"Not Found")</f>
        <v/>
      </c>
      <c r="I1153" s="4">
        <f>XLOOKUP(B1153,Raw_Risk_Profiles!$A:$A,Raw_Risk_Profiles!$C:$C,"Missing")</f>
        <v/>
      </c>
      <c r="J1153" s="4">
        <f>XLOOKUP(B1153,Raw_Risk_Profiles!$A:$A,Raw_Risk_Profiles!$D:$D,"")</f>
        <v/>
      </c>
      <c r="K1153" s="4">
        <f>IFERROR(INDEX(Raw_Risk_Profiles!$E:$E,MATCH(B1153,Raw_Risk_Profiles!$A:$A,0)),"Unknown")</f>
        <v/>
      </c>
      <c r="L1153" s="4">
        <f>IFERROR(XLOOKUP(A1153,Raw_Alerts!$B:$B,Raw_Alerts!$A:$A),"No Alert")</f>
        <v/>
      </c>
      <c r="M1153" s="4">
        <f>IFERROR(XLOOKUP(A1153,Raw_Alerts!$B:$B,Raw_Alerts!$C:$C),"")</f>
        <v/>
      </c>
      <c r="N1153" s="4">
        <f>IFERROR(XLOOKUP(A1153,Raw_Alerts!$B:$B,Raw_Alerts!$D:$D),"")</f>
        <v/>
      </c>
      <c r="O1153" s="4">
        <f>IFERROR(XLOOKUP(A1153,Raw_Alerts!$B:$B,Raw_Alerts!$F:$F),"")</f>
        <v/>
      </c>
      <c r="P1153" s="4">
        <f>IF(H1153="Not Found","CRITICAL: No Risk Profile",IF(I1153="Missing","WARN: Missing KYC",IF(I1153="Expired","WARN: KYC Expired",IF(I1153="Pending","INFO: KYC Pending","OK"))))</f>
        <v/>
      </c>
    </row>
    <row r="1154">
      <c r="A1154" s="2">
        <f>Raw_Transactions!A1154</f>
        <v/>
      </c>
      <c r="B1154" s="2">
        <f>Raw_Transactions!B1154</f>
        <v/>
      </c>
      <c r="C1154" s="2">
        <f>Raw_Transactions!C1154</f>
        <v/>
      </c>
      <c r="D1154" s="3">
        <f>Raw_Transactions!D1154</f>
        <v/>
      </c>
      <c r="E1154" s="2">
        <f>Raw_Transactions!E1154</f>
        <v/>
      </c>
      <c r="F1154" s="2">
        <f>Raw_Transactions!F1154</f>
        <v/>
      </c>
      <c r="G1154" s="2">
        <f>Raw_Transactions!G1154</f>
        <v/>
      </c>
      <c r="H1154" s="2">
        <f>XLOOKUP(B1154,Raw_Risk_Profiles!$A:$A,Raw_Risk_Profiles!$B:$B,"Not Found")</f>
        <v/>
      </c>
      <c r="I1154" s="2">
        <f>XLOOKUP(B1154,Raw_Risk_Profiles!$A:$A,Raw_Risk_Profiles!$C:$C,"Missing")</f>
        <v/>
      </c>
      <c r="J1154" s="2">
        <f>XLOOKUP(B1154,Raw_Risk_Profiles!$A:$A,Raw_Risk_Profiles!$D:$D,"")</f>
        <v/>
      </c>
      <c r="K1154" s="2">
        <f>IFERROR(INDEX(Raw_Risk_Profiles!$E:$E,MATCH(B1154,Raw_Risk_Profiles!$A:$A,0)),"Unknown")</f>
        <v/>
      </c>
      <c r="L1154" s="2">
        <f>IFERROR(XLOOKUP(A1154,Raw_Alerts!$B:$B,Raw_Alerts!$A:$A),"No Alert")</f>
        <v/>
      </c>
      <c r="M1154" s="2">
        <f>IFERROR(XLOOKUP(A1154,Raw_Alerts!$B:$B,Raw_Alerts!$C:$C),"")</f>
        <v/>
      </c>
      <c r="N1154" s="2">
        <f>IFERROR(XLOOKUP(A1154,Raw_Alerts!$B:$B,Raw_Alerts!$D:$D),"")</f>
        <v/>
      </c>
      <c r="O1154" s="2">
        <f>IFERROR(XLOOKUP(A1154,Raw_Alerts!$B:$B,Raw_Alerts!$F:$F),"")</f>
        <v/>
      </c>
      <c r="P1154" s="2">
        <f>IF(H1154="Not Found","CRITICAL: No Risk Profile",IF(I1154="Missing","WARN: Missing KYC",IF(I1154="Expired","WARN: KYC Expired",IF(I1154="Pending","INFO: KYC Pending","OK"))))</f>
        <v/>
      </c>
    </row>
    <row r="1155">
      <c r="A1155" s="4">
        <f>Raw_Transactions!A1155</f>
        <v/>
      </c>
      <c r="B1155" s="4">
        <f>Raw_Transactions!B1155</f>
        <v/>
      </c>
      <c r="C1155" s="4">
        <f>Raw_Transactions!C1155</f>
        <v/>
      </c>
      <c r="D1155" s="5">
        <f>Raw_Transactions!D1155</f>
        <v/>
      </c>
      <c r="E1155" s="4">
        <f>Raw_Transactions!E1155</f>
        <v/>
      </c>
      <c r="F1155" s="4">
        <f>Raw_Transactions!F1155</f>
        <v/>
      </c>
      <c r="G1155" s="4">
        <f>Raw_Transactions!G1155</f>
        <v/>
      </c>
      <c r="H1155" s="4">
        <f>XLOOKUP(B1155,Raw_Risk_Profiles!$A:$A,Raw_Risk_Profiles!$B:$B,"Not Found")</f>
        <v/>
      </c>
      <c r="I1155" s="4">
        <f>XLOOKUP(B1155,Raw_Risk_Profiles!$A:$A,Raw_Risk_Profiles!$C:$C,"Missing")</f>
        <v/>
      </c>
      <c r="J1155" s="4">
        <f>XLOOKUP(B1155,Raw_Risk_Profiles!$A:$A,Raw_Risk_Profiles!$D:$D,"")</f>
        <v/>
      </c>
      <c r="K1155" s="4">
        <f>IFERROR(INDEX(Raw_Risk_Profiles!$E:$E,MATCH(B1155,Raw_Risk_Profiles!$A:$A,0)),"Unknown")</f>
        <v/>
      </c>
      <c r="L1155" s="4">
        <f>IFERROR(XLOOKUP(A1155,Raw_Alerts!$B:$B,Raw_Alerts!$A:$A),"No Alert")</f>
        <v/>
      </c>
      <c r="M1155" s="4">
        <f>IFERROR(XLOOKUP(A1155,Raw_Alerts!$B:$B,Raw_Alerts!$C:$C),"")</f>
        <v/>
      </c>
      <c r="N1155" s="4">
        <f>IFERROR(XLOOKUP(A1155,Raw_Alerts!$B:$B,Raw_Alerts!$D:$D),"")</f>
        <v/>
      </c>
      <c r="O1155" s="4">
        <f>IFERROR(XLOOKUP(A1155,Raw_Alerts!$B:$B,Raw_Alerts!$F:$F),"")</f>
        <v/>
      </c>
      <c r="P1155" s="4">
        <f>IF(H1155="Not Found","CRITICAL: No Risk Profile",IF(I1155="Missing","WARN: Missing KYC",IF(I1155="Expired","WARN: KYC Expired",IF(I1155="Pending","INFO: KYC Pending","OK"))))</f>
        <v/>
      </c>
    </row>
    <row r="1156">
      <c r="A1156" s="2">
        <f>Raw_Transactions!A1156</f>
        <v/>
      </c>
      <c r="B1156" s="2">
        <f>Raw_Transactions!B1156</f>
        <v/>
      </c>
      <c r="C1156" s="2">
        <f>Raw_Transactions!C1156</f>
        <v/>
      </c>
      <c r="D1156" s="3">
        <f>Raw_Transactions!D1156</f>
        <v/>
      </c>
      <c r="E1156" s="2">
        <f>Raw_Transactions!E1156</f>
        <v/>
      </c>
      <c r="F1156" s="2">
        <f>Raw_Transactions!F1156</f>
        <v/>
      </c>
      <c r="G1156" s="2">
        <f>Raw_Transactions!G1156</f>
        <v/>
      </c>
      <c r="H1156" s="2">
        <f>XLOOKUP(B1156,Raw_Risk_Profiles!$A:$A,Raw_Risk_Profiles!$B:$B,"Not Found")</f>
        <v/>
      </c>
      <c r="I1156" s="2">
        <f>XLOOKUP(B1156,Raw_Risk_Profiles!$A:$A,Raw_Risk_Profiles!$C:$C,"Missing")</f>
        <v/>
      </c>
      <c r="J1156" s="2">
        <f>XLOOKUP(B1156,Raw_Risk_Profiles!$A:$A,Raw_Risk_Profiles!$D:$D,"")</f>
        <v/>
      </c>
      <c r="K1156" s="2">
        <f>IFERROR(INDEX(Raw_Risk_Profiles!$E:$E,MATCH(B1156,Raw_Risk_Profiles!$A:$A,0)),"Unknown")</f>
        <v/>
      </c>
      <c r="L1156" s="2">
        <f>IFERROR(XLOOKUP(A1156,Raw_Alerts!$B:$B,Raw_Alerts!$A:$A),"No Alert")</f>
        <v/>
      </c>
      <c r="M1156" s="2">
        <f>IFERROR(XLOOKUP(A1156,Raw_Alerts!$B:$B,Raw_Alerts!$C:$C),"")</f>
        <v/>
      </c>
      <c r="N1156" s="2">
        <f>IFERROR(XLOOKUP(A1156,Raw_Alerts!$B:$B,Raw_Alerts!$D:$D),"")</f>
        <v/>
      </c>
      <c r="O1156" s="2">
        <f>IFERROR(XLOOKUP(A1156,Raw_Alerts!$B:$B,Raw_Alerts!$F:$F),"")</f>
        <v/>
      </c>
      <c r="P1156" s="2">
        <f>IF(H1156="Not Found","CRITICAL: No Risk Profile",IF(I1156="Missing","WARN: Missing KYC",IF(I1156="Expired","WARN: KYC Expired",IF(I1156="Pending","INFO: KYC Pending","OK"))))</f>
        <v/>
      </c>
    </row>
    <row r="1157">
      <c r="A1157" s="4">
        <f>Raw_Transactions!A1157</f>
        <v/>
      </c>
      <c r="B1157" s="4">
        <f>Raw_Transactions!B1157</f>
        <v/>
      </c>
      <c r="C1157" s="4">
        <f>Raw_Transactions!C1157</f>
        <v/>
      </c>
      <c r="D1157" s="5">
        <f>Raw_Transactions!D1157</f>
        <v/>
      </c>
      <c r="E1157" s="4">
        <f>Raw_Transactions!E1157</f>
        <v/>
      </c>
      <c r="F1157" s="4">
        <f>Raw_Transactions!F1157</f>
        <v/>
      </c>
      <c r="G1157" s="4">
        <f>Raw_Transactions!G1157</f>
        <v/>
      </c>
      <c r="H1157" s="4">
        <f>XLOOKUP(B1157,Raw_Risk_Profiles!$A:$A,Raw_Risk_Profiles!$B:$B,"Not Found")</f>
        <v/>
      </c>
      <c r="I1157" s="4">
        <f>XLOOKUP(B1157,Raw_Risk_Profiles!$A:$A,Raw_Risk_Profiles!$C:$C,"Missing")</f>
        <v/>
      </c>
      <c r="J1157" s="4">
        <f>XLOOKUP(B1157,Raw_Risk_Profiles!$A:$A,Raw_Risk_Profiles!$D:$D,"")</f>
        <v/>
      </c>
      <c r="K1157" s="4">
        <f>IFERROR(INDEX(Raw_Risk_Profiles!$E:$E,MATCH(B1157,Raw_Risk_Profiles!$A:$A,0)),"Unknown")</f>
        <v/>
      </c>
      <c r="L1157" s="4">
        <f>IFERROR(XLOOKUP(A1157,Raw_Alerts!$B:$B,Raw_Alerts!$A:$A),"No Alert")</f>
        <v/>
      </c>
      <c r="M1157" s="4">
        <f>IFERROR(XLOOKUP(A1157,Raw_Alerts!$B:$B,Raw_Alerts!$C:$C),"")</f>
        <v/>
      </c>
      <c r="N1157" s="4">
        <f>IFERROR(XLOOKUP(A1157,Raw_Alerts!$B:$B,Raw_Alerts!$D:$D),"")</f>
        <v/>
      </c>
      <c r="O1157" s="4">
        <f>IFERROR(XLOOKUP(A1157,Raw_Alerts!$B:$B,Raw_Alerts!$F:$F),"")</f>
        <v/>
      </c>
      <c r="P1157" s="4">
        <f>IF(H1157="Not Found","CRITICAL: No Risk Profile",IF(I1157="Missing","WARN: Missing KYC",IF(I1157="Expired","WARN: KYC Expired",IF(I1157="Pending","INFO: KYC Pending","OK"))))</f>
        <v/>
      </c>
    </row>
    <row r="1158">
      <c r="A1158" s="2">
        <f>Raw_Transactions!A1158</f>
        <v/>
      </c>
      <c r="B1158" s="2">
        <f>Raw_Transactions!B1158</f>
        <v/>
      </c>
      <c r="C1158" s="2">
        <f>Raw_Transactions!C1158</f>
        <v/>
      </c>
      <c r="D1158" s="3">
        <f>Raw_Transactions!D1158</f>
        <v/>
      </c>
      <c r="E1158" s="2">
        <f>Raw_Transactions!E1158</f>
        <v/>
      </c>
      <c r="F1158" s="2">
        <f>Raw_Transactions!F1158</f>
        <v/>
      </c>
      <c r="G1158" s="2">
        <f>Raw_Transactions!G1158</f>
        <v/>
      </c>
      <c r="H1158" s="2">
        <f>XLOOKUP(B1158,Raw_Risk_Profiles!$A:$A,Raw_Risk_Profiles!$B:$B,"Not Found")</f>
        <v/>
      </c>
      <c r="I1158" s="2">
        <f>XLOOKUP(B1158,Raw_Risk_Profiles!$A:$A,Raw_Risk_Profiles!$C:$C,"Missing")</f>
        <v/>
      </c>
      <c r="J1158" s="2">
        <f>XLOOKUP(B1158,Raw_Risk_Profiles!$A:$A,Raw_Risk_Profiles!$D:$D,"")</f>
        <v/>
      </c>
      <c r="K1158" s="2">
        <f>IFERROR(INDEX(Raw_Risk_Profiles!$E:$E,MATCH(B1158,Raw_Risk_Profiles!$A:$A,0)),"Unknown")</f>
        <v/>
      </c>
      <c r="L1158" s="2">
        <f>IFERROR(XLOOKUP(A1158,Raw_Alerts!$B:$B,Raw_Alerts!$A:$A),"No Alert")</f>
        <v/>
      </c>
      <c r="M1158" s="2">
        <f>IFERROR(XLOOKUP(A1158,Raw_Alerts!$B:$B,Raw_Alerts!$C:$C),"")</f>
        <v/>
      </c>
      <c r="N1158" s="2">
        <f>IFERROR(XLOOKUP(A1158,Raw_Alerts!$B:$B,Raw_Alerts!$D:$D),"")</f>
        <v/>
      </c>
      <c r="O1158" s="2">
        <f>IFERROR(XLOOKUP(A1158,Raw_Alerts!$B:$B,Raw_Alerts!$F:$F),"")</f>
        <v/>
      </c>
      <c r="P1158" s="2">
        <f>IF(H1158="Not Found","CRITICAL: No Risk Profile",IF(I1158="Missing","WARN: Missing KYC",IF(I1158="Expired","WARN: KYC Expired",IF(I1158="Pending","INFO: KYC Pending","OK"))))</f>
        <v/>
      </c>
    </row>
    <row r="1159">
      <c r="A1159" s="4">
        <f>Raw_Transactions!A1159</f>
        <v/>
      </c>
      <c r="B1159" s="4">
        <f>Raw_Transactions!B1159</f>
        <v/>
      </c>
      <c r="C1159" s="4">
        <f>Raw_Transactions!C1159</f>
        <v/>
      </c>
      <c r="D1159" s="5">
        <f>Raw_Transactions!D1159</f>
        <v/>
      </c>
      <c r="E1159" s="4">
        <f>Raw_Transactions!E1159</f>
        <v/>
      </c>
      <c r="F1159" s="4">
        <f>Raw_Transactions!F1159</f>
        <v/>
      </c>
      <c r="G1159" s="4">
        <f>Raw_Transactions!G1159</f>
        <v/>
      </c>
      <c r="H1159" s="4">
        <f>XLOOKUP(B1159,Raw_Risk_Profiles!$A:$A,Raw_Risk_Profiles!$B:$B,"Not Found")</f>
        <v/>
      </c>
      <c r="I1159" s="4">
        <f>XLOOKUP(B1159,Raw_Risk_Profiles!$A:$A,Raw_Risk_Profiles!$C:$C,"Missing")</f>
        <v/>
      </c>
      <c r="J1159" s="4">
        <f>XLOOKUP(B1159,Raw_Risk_Profiles!$A:$A,Raw_Risk_Profiles!$D:$D,"")</f>
        <v/>
      </c>
      <c r="K1159" s="4">
        <f>IFERROR(INDEX(Raw_Risk_Profiles!$E:$E,MATCH(B1159,Raw_Risk_Profiles!$A:$A,0)),"Unknown")</f>
        <v/>
      </c>
      <c r="L1159" s="4">
        <f>IFERROR(XLOOKUP(A1159,Raw_Alerts!$B:$B,Raw_Alerts!$A:$A),"No Alert")</f>
        <v/>
      </c>
      <c r="M1159" s="4">
        <f>IFERROR(XLOOKUP(A1159,Raw_Alerts!$B:$B,Raw_Alerts!$C:$C),"")</f>
        <v/>
      </c>
      <c r="N1159" s="4">
        <f>IFERROR(XLOOKUP(A1159,Raw_Alerts!$B:$B,Raw_Alerts!$D:$D),"")</f>
        <v/>
      </c>
      <c r="O1159" s="4">
        <f>IFERROR(XLOOKUP(A1159,Raw_Alerts!$B:$B,Raw_Alerts!$F:$F),"")</f>
        <v/>
      </c>
      <c r="P1159" s="4">
        <f>IF(H1159="Not Found","CRITICAL: No Risk Profile",IF(I1159="Missing","WARN: Missing KYC",IF(I1159="Expired","WARN: KYC Expired",IF(I1159="Pending","INFO: KYC Pending","OK"))))</f>
        <v/>
      </c>
    </row>
    <row r="1160">
      <c r="A1160" s="2">
        <f>Raw_Transactions!A1160</f>
        <v/>
      </c>
      <c r="B1160" s="2">
        <f>Raw_Transactions!B1160</f>
        <v/>
      </c>
      <c r="C1160" s="2">
        <f>Raw_Transactions!C1160</f>
        <v/>
      </c>
      <c r="D1160" s="3">
        <f>Raw_Transactions!D1160</f>
        <v/>
      </c>
      <c r="E1160" s="2">
        <f>Raw_Transactions!E1160</f>
        <v/>
      </c>
      <c r="F1160" s="2">
        <f>Raw_Transactions!F1160</f>
        <v/>
      </c>
      <c r="G1160" s="2">
        <f>Raw_Transactions!G1160</f>
        <v/>
      </c>
      <c r="H1160" s="2">
        <f>XLOOKUP(B1160,Raw_Risk_Profiles!$A:$A,Raw_Risk_Profiles!$B:$B,"Not Found")</f>
        <v/>
      </c>
      <c r="I1160" s="2">
        <f>XLOOKUP(B1160,Raw_Risk_Profiles!$A:$A,Raw_Risk_Profiles!$C:$C,"Missing")</f>
        <v/>
      </c>
      <c r="J1160" s="2">
        <f>XLOOKUP(B1160,Raw_Risk_Profiles!$A:$A,Raw_Risk_Profiles!$D:$D,"")</f>
        <v/>
      </c>
      <c r="K1160" s="2">
        <f>IFERROR(INDEX(Raw_Risk_Profiles!$E:$E,MATCH(B1160,Raw_Risk_Profiles!$A:$A,0)),"Unknown")</f>
        <v/>
      </c>
      <c r="L1160" s="2">
        <f>IFERROR(XLOOKUP(A1160,Raw_Alerts!$B:$B,Raw_Alerts!$A:$A),"No Alert")</f>
        <v/>
      </c>
      <c r="M1160" s="2">
        <f>IFERROR(XLOOKUP(A1160,Raw_Alerts!$B:$B,Raw_Alerts!$C:$C),"")</f>
        <v/>
      </c>
      <c r="N1160" s="2">
        <f>IFERROR(XLOOKUP(A1160,Raw_Alerts!$B:$B,Raw_Alerts!$D:$D),"")</f>
        <v/>
      </c>
      <c r="O1160" s="2">
        <f>IFERROR(XLOOKUP(A1160,Raw_Alerts!$B:$B,Raw_Alerts!$F:$F),"")</f>
        <v/>
      </c>
      <c r="P1160" s="2">
        <f>IF(H1160="Not Found","CRITICAL: No Risk Profile",IF(I1160="Missing","WARN: Missing KYC",IF(I1160="Expired","WARN: KYC Expired",IF(I1160="Pending","INFO: KYC Pending","OK"))))</f>
        <v/>
      </c>
    </row>
    <row r="1161">
      <c r="A1161" s="4">
        <f>Raw_Transactions!A1161</f>
        <v/>
      </c>
      <c r="B1161" s="4">
        <f>Raw_Transactions!B1161</f>
        <v/>
      </c>
      <c r="C1161" s="4">
        <f>Raw_Transactions!C1161</f>
        <v/>
      </c>
      <c r="D1161" s="5">
        <f>Raw_Transactions!D1161</f>
        <v/>
      </c>
      <c r="E1161" s="4">
        <f>Raw_Transactions!E1161</f>
        <v/>
      </c>
      <c r="F1161" s="4">
        <f>Raw_Transactions!F1161</f>
        <v/>
      </c>
      <c r="G1161" s="4">
        <f>Raw_Transactions!G1161</f>
        <v/>
      </c>
      <c r="H1161" s="4">
        <f>XLOOKUP(B1161,Raw_Risk_Profiles!$A:$A,Raw_Risk_Profiles!$B:$B,"Not Found")</f>
        <v/>
      </c>
      <c r="I1161" s="4">
        <f>XLOOKUP(B1161,Raw_Risk_Profiles!$A:$A,Raw_Risk_Profiles!$C:$C,"Missing")</f>
        <v/>
      </c>
      <c r="J1161" s="4">
        <f>XLOOKUP(B1161,Raw_Risk_Profiles!$A:$A,Raw_Risk_Profiles!$D:$D,"")</f>
        <v/>
      </c>
      <c r="K1161" s="4">
        <f>IFERROR(INDEX(Raw_Risk_Profiles!$E:$E,MATCH(B1161,Raw_Risk_Profiles!$A:$A,0)),"Unknown")</f>
        <v/>
      </c>
      <c r="L1161" s="4">
        <f>IFERROR(XLOOKUP(A1161,Raw_Alerts!$B:$B,Raw_Alerts!$A:$A),"No Alert")</f>
        <v/>
      </c>
      <c r="M1161" s="4">
        <f>IFERROR(XLOOKUP(A1161,Raw_Alerts!$B:$B,Raw_Alerts!$C:$C),"")</f>
        <v/>
      </c>
      <c r="N1161" s="4">
        <f>IFERROR(XLOOKUP(A1161,Raw_Alerts!$B:$B,Raw_Alerts!$D:$D),"")</f>
        <v/>
      </c>
      <c r="O1161" s="4">
        <f>IFERROR(XLOOKUP(A1161,Raw_Alerts!$B:$B,Raw_Alerts!$F:$F),"")</f>
        <v/>
      </c>
      <c r="P1161" s="4">
        <f>IF(H1161="Not Found","CRITICAL: No Risk Profile",IF(I1161="Missing","WARN: Missing KYC",IF(I1161="Expired","WARN: KYC Expired",IF(I1161="Pending","INFO: KYC Pending","OK"))))</f>
        <v/>
      </c>
    </row>
    <row r="1162">
      <c r="A1162" s="2">
        <f>Raw_Transactions!A1162</f>
        <v/>
      </c>
      <c r="B1162" s="2">
        <f>Raw_Transactions!B1162</f>
        <v/>
      </c>
      <c r="C1162" s="2">
        <f>Raw_Transactions!C1162</f>
        <v/>
      </c>
      <c r="D1162" s="3">
        <f>Raw_Transactions!D1162</f>
        <v/>
      </c>
      <c r="E1162" s="2">
        <f>Raw_Transactions!E1162</f>
        <v/>
      </c>
      <c r="F1162" s="2">
        <f>Raw_Transactions!F1162</f>
        <v/>
      </c>
      <c r="G1162" s="2">
        <f>Raw_Transactions!G1162</f>
        <v/>
      </c>
      <c r="H1162" s="2">
        <f>XLOOKUP(B1162,Raw_Risk_Profiles!$A:$A,Raw_Risk_Profiles!$B:$B,"Not Found")</f>
        <v/>
      </c>
      <c r="I1162" s="2">
        <f>XLOOKUP(B1162,Raw_Risk_Profiles!$A:$A,Raw_Risk_Profiles!$C:$C,"Missing")</f>
        <v/>
      </c>
      <c r="J1162" s="2">
        <f>XLOOKUP(B1162,Raw_Risk_Profiles!$A:$A,Raw_Risk_Profiles!$D:$D,"")</f>
        <v/>
      </c>
      <c r="K1162" s="2">
        <f>IFERROR(INDEX(Raw_Risk_Profiles!$E:$E,MATCH(B1162,Raw_Risk_Profiles!$A:$A,0)),"Unknown")</f>
        <v/>
      </c>
      <c r="L1162" s="2">
        <f>IFERROR(XLOOKUP(A1162,Raw_Alerts!$B:$B,Raw_Alerts!$A:$A),"No Alert")</f>
        <v/>
      </c>
      <c r="M1162" s="2">
        <f>IFERROR(XLOOKUP(A1162,Raw_Alerts!$B:$B,Raw_Alerts!$C:$C),"")</f>
        <v/>
      </c>
      <c r="N1162" s="2">
        <f>IFERROR(XLOOKUP(A1162,Raw_Alerts!$B:$B,Raw_Alerts!$D:$D),"")</f>
        <v/>
      </c>
      <c r="O1162" s="2">
        <f>IFERROR(XLOOKUP(A1162,Raw_Alerts!$B:$B,Raw_Alerts!$F:$F),"")</f>
        <v/>
      </c>
      <c r="P1162" s="2">
        <f>IF(H1162="Not Found","CRITICAL: No Risk Profile",IF(I1162="Missing","WARN: Missing KYC",IF(I1162="Expired","WARN: KYC Expired",IF(I1162="Pending","INFO: KYC Pending","OK"))))</f>
        <v/>
      </c>
    </row>
    <row r="1163">
      <c r="A1163" s="4">
        <f>Raw_Transactions!A1163</f>
        <v/>
      </c>
      <c r="B1163" s="4">
        <f>Raw_Transactions!B1163</f>
        <v/>
      </c>
      <c r="C1163" s="4">
        <f>Raw_Transactions!C1163</f>
        <v/>
      </c>
      <c r="D1163" s="5">
        <f>Raw_Transactions!D1163</f>
        <v/>
      </c>
      <c r="E1163" s="4">
        <f>Raw_Transactions!E1163</f>
        <v/>
      </c>
      <c r="F1163" s="4">
        <f>Raw_Transactions!F1163</f>
        <v/>
      </c>
      <c r="G1163" s="4">
        <f>Raw_Transactions!G1163</f>
        <v/>
      </c>
      <c r="H1163" s="4">
        <f>XLOOKUP(B1163,Raw_Risk_Profiles!$A:$A,Raw_Risk_Profiles!$B:$B,"Not Found")</f>
        <v/>
      </c>
      <c r="I1163" s="4">
        <f>XLOOKUP(B1163,Raw_Risk_Profiles!$A:$A,Raw_Risk_Profiles!$C:$C,"Missing")</f>
        <v/>
      </c>
      <c r="J1163" s="4">
        <f>XLOOKUP(B1163,Raw_Risk_Profiles!$A:$A,Raw_Risk_Profiles!$D:$D,"")</f>
        <v/>
      </c>
      <c r="K1163" s="4">
        <f>IFERROR(INDEX(Raw_Risk_Profiles!$E:$E,MATCH(B1163,Raw_Risk_Profiles!$A:$A,0)),"Unknown")</f>
        <v/>
      </c>
      <c r="L1163" s="4">
        <f>IFERROR(XLOOKUP(A1163,Raw_Alerts!$B:$B,Raw_Alerts!$A:$A),"No Alert")</f>
        <v/>
      </c>
      <c r="M1163" s="4">
        <f>IFERROR(XLOOKUP(A1163,Raw_Alerts!$B:$B,Raw_Alerts!$C:$C),"")</f>
        <v/>
      </c>
      <c r="N1163" s="4">
        <f>IFERROR(XLOOKUP(A1163,Raw_Alerts!$B:$B,Raw_Alerts!$D:$D),"")</f>
        <v/>
      </c>
      <c r="O1163" s="4">
        <f>IFERROR(XLOOKUP(A1163,Raw_Alerts!$B:$B,Raw_Alerts!$F:$F),"")</f>
        <v/>
      </c>
      <c r="P1163" s="4">
        <f>IF(H1163="Not Found","CRITICAL: No Risk Profile",IF(I1163="Missing","WARN: Missing KYC",IF(I1163="Expired","WARN: KYC Expired",IF(I1163="Pending","INFO: KYC Pending","OK"))))</f>
        <v/>
      </c>
    </row>
    <row r="1164">
      <c r="A1164" s="2">
        <f>Raw_Transactions!A1164</f>
        <v/>
      </c>
      <c r="B1164" s="2">
        <f>Raw_Transactions!B1164</f>
        <v/>
      </c>
      <c r="C1164" s="2">
        <f>Raw_Transactions!C1164</f>
        <v/>
      </c>
      <c r="D1164" s="3">
        <f>Raw_Transactions!D1164</f>
        <v/>
      </c>
      <c r="E1164" s="2">
        <f>Raw_Transactions!E1164</f>
        <v/>
      </c>
      <c r="F1164" s="2">
        <f>Raw_Transactions!F1164</f>
        <v/>
      </c>
      <c r="G1164" s="2">
        <f>Raw_Transactions!G1164</f>
        <v/>
      </c>
      <c r="H1164" s="2">
        <f>XLOOKUP(B1164,Raw_Risk_Profiles!$A:$A,Raw_Risk_Profiles!$B:$B,"Not Found")</f>
        <v/>
      </c>
      <c r="I1164" s="2">
        <f>XLOOKUP(B1164,Raw_Risk_Profiles!$A:$A,Raw_Risk_Profiles!$C:$C,"Missing")</f>
        <v/>
      </c>
      <c r="J1164" s="2">
        <f>XLOOKUP(B1164,Raw_Risk_Profiles!$A:$A,Raw_Risk_Profiles!$D:$D,"")</f>
        <v/>
      </c>
      <c r="K1164" s="2">
        <f>IFERROR(INDEX(Raw_Risk_Profiles!$E:$E,MATCH(B1164,Raw_Risk_Profiles!$A:$A,0)),"Unknown")</f>
        <v/>
      </c>
      <c r="L1164" s="2">
        <f>IFERROR(XLOOKUP(A1164,Raw_Alerts!$B:$B,Raw_Alerts!$A:$A),"No Alert")</f>
        <v/>
      </c>
      <c r="M1164" s="2">
        <f>IFERROR(XLOOKUP(A1164,Raw_Alerts!$B:$B,Raw_Alerts!$C:$C),"")</f>
        <v/>
      </c>
      <c r="N1164" s="2">
        <f>IFERROR(XLOOKUP(A1164,Raw_Alerts!$B:$B,Raw_Alerts!$D:$D),"")</f>
        <v/>
      </c>
      <c r="O1164" s="2">
        <f>IFERROR(XLOOKUP(A1164,Raw_Alerts!$B:$B,Raw_Alerts!$F:$F),"")</f>
        <v/>
      </c>
      <c r="P1164" s="2">
        <f>IF(H1164="Not Found","CRITICAL: No Risk Profile",IF(I1164="Missing","WARN: Missing KYC",IF(I1164="Expired","WARN: KYC Expired",IF(I1164="Pending","INFO: KYC Pending","OK"))))</f>
        <v/>
      </c>
    </row>
    <row r="1165">
      <c r="A1165" s="4">
        <f>Raw_Transactions!A1165</f>
        <v/>
      </c>
      <c r="B1165" s="4">
        <f>Raw_Transactions!B1165</f>
        <v/>
      </c>
      <c r="C1165" s="4">
        <f>Raw_Transactions!C1165</f>
        <v/>
      </c>
      <c r="D1165" s="5">
        <f>Raw_Transactions!D1165</f>
        <v/>
      </c>
      <c r="E1165" s="4">
        <f>Raw_Transactions!E1165</f>
        <v/>
      </c>
      <c r="F1165" s="4">
        <f>Raw_Transactions!F1165</f>
        <v/>
      </c>
      <c r="G1165" s="4">
        <f>Raw_Transactions!G1165</f>
        <v/>
      </c>
      <c r="H1165" s="4">
        <f>XLOOKUP(B1165,Raw_Risk_Profiles!$A:$A,Raw_Risk_Profiles!$B:$B,"Not Found")</f>
        <v/>
      </c>
      <c r="I1165" s="4">
        <f>XLOOKUP(B1165,Raw_Risk_Profiles!$A:$A,Raw_Risk_Profiles!$C:$C,"Missing")</f>
        <v/>
      </c>
      <c r="J1165" s="4">
        <f>XLOOKUP(B1165,Raw_Risk_Profiles!$A:$A,Raw_Risk_Profiles!$D:$D,"")</f>
        <v/>
      </c>
      <c r="K1165" s="4">
        <f>IFERROR(INDEX(Raw_Risk_Profiles!$E:$E,MATCH(B1165,Raw_Risk_Profiles!$A:$A,0)),"Unknown")</f>
        <v/>
      </c>
      <c r="L1165" s="4">
        <f>IFERROR(XLOOKUP(A1165,Raw_Alerts!$B:$B,Raw_Alerts!$A:$A),"No Alert")</f>
        <v/>
      </c>
      <c r="M1165" s="4">
        <f>IFERROR(XLOOKUP(A1165,Raw_Alerts!$B:$B,Raw_Alerts!$C:$C),"")</f>
        <v/>
      </c>
      <c r="N1165" s="4">
        <f>IFERROR(XLOOKUP(A1165,Raw_Alerts!$B:$B,Raw_Alerts!$D:$D),"")</f>
        <v/>
      </c>
      <c r="O1165" s="4">
        <f>IFERROR(XLOOKUP(A1165,Raw_Alerts!$B:$B,Raw_Alerts!$F:$F),"")</f>
        <v/>
      </c>
      <c r="P1165" s="4">
        <f>IF(H1165="Not Found","CRITICAL: No Risk Profile",IF(I1165="Missing","WARN: Missing KYC",IF(I1165="Expired","WARN: KYC Expired",IF(I1165="Pending","INFO: KYC Pending","OK"))))</f>
        <v/>
      </c>
    </row>
    <row r="1166">
      <c r="A1166" s="2">
        <f>Raw_Transactions!A1166</f>
        <v/>
      </c>
      <c r="B1166" s="2">
        <f>Raw_Transactions!B1166</f>
        <v/>
      </c>
      <c r="C1166" s="2">
        <f>Raw_Transactions!C1166</f>
        <v/>
      </c>
      <c r="D1166" s="3">
        <f>Raw_Transactions!D1166</f>
        <v/>
      </c>
      <c r="E1166" s="2">
        <f>Raw_Transactions!E1166</f>
        <v/>
      </c>
      <c r="F1166" s="2">
        <f>Raw_Transactions!F1166</f>
        <v/>
      </c>
      <c r="G1166" s="2">
        <f>Raw_Transactions!G1166</f>
        <v/>
      </c>
      <c r="H1166" s="2">
        <f>XLOOKUP(B1166,Raw_Risk_Profiles!$A:$A,Raw_Risk_Profiles!$B:$B,"Not Found")</f>
        <v/>
      </c>
      <c r="I1166" s="2">
        <f>XLOOKUP(B1166,Raw_Risk_Profiles!$A:$A,Raw_Risk_Profiles!$C:$C,"Missing")</f>
        <v/>
      </c>
      <c r="J1166" s="2">
        <f>XLOOKUP(B1166,Raw_Risk_Profiles!$A:$A,Raw_Risk_Profiles!$D:$D,"")</f>
        <v/>
      </c>
      <c r="K1166" s="2">
        <f>IFERROR(INDEX(Raw_Risk_Profiles!$E:$E,MATCH(B1166,Raw_Risk_Profiles!$A:$A,0)),"Unknown")</f>
        <v/>
      </c>
      <c r="L1166" s="2">
        <f>IFERROR(XLOOKUP(A1166,Raw_Alerts!$B:$B,Raw_Alerts!$A:$A),"No Alert")</f>
        <v/>
      </c>
      <c r="M1166" s="2">
        <f>IFERROR(XLOOKUP(A1166,Raw_Alerts!$B:$B,Raw_Alerts!$C:$C),"")</f>
        <v/>
      </c>
      <c r="N1166" s="2">
        <f>IFERROR(XLOOKUP(A1166,Raw_Alerts!$B:$B,Raw_Alerts!$D:$D),"")</f>
        <v/>
      </c>
      <c r="O1166" s="2">
        <f>IFERROR(XLOOKUP(A1166,Raw_Alerts!$B:$B,Raw_Alerts!$F:$F),"")</f>
        <v/>
      </c>
      <c r="P1166" s="2">
        <f>IF(H1166="Not Found","CRITICAL: No Risk Profile",IF(I1166="Missing","WARN: Missing KYC",IF(I1166="Expired","WARN: KYC Expired",IF(I1166="Pending","INFO: KYC Pending","OK"))))</f>
        <v/>
      </c>
    </row>
    <row r="1167">
      <c r="A1167" s="4">
        <f>Raw_Transactions!A1167</f>
        <v/>
      </c>
      <c r="B1167" s="4">
        <f>Raw_Transactions!B1167</f>
        <v/>
      </c>
      <c r="C1167" s="4">
        <f>Raw_Transactions!C1167</f>
        <v/>
      </c>
      <c r="D1167" s="5">
        <f>Raw_Transactions!D1167</f>
        <v/>
      </c>
      <c r="E1167" s="4">
        <f>Raw_Transactions!E1167</f>
        <v/>
      </c>
      <c r="F1167" s="4">
        <f>Raw_Transactions!F1167</f>
        <v/>
      </c>
      <c r="G1167" s="4">
        <f>Raw_Transactions!G1167</f>
        <v/>
      </c>
      <c r="H1167" s="4">
        <f>XLOOKUP(B1167,Raw_Risk_Profiles!$A:$A,Raw_Risk_Profiles!$B:$B,"Not Found")</f>
        <v/>
      </c>
      <c r="I1167" s="4">
        <f>XLOOKUP(B1167,Raw_Risk_Profiles!$A:$A,Raw_Risk_Profiles!$C:$C,"Missing")</f>
        <v/>
      </c>
      <c r="J1167" s="4">
        <f>XLOOKUP(B1167,Raw_Risk_Profiles!$A:$A,Raw_Risk_Profiles!$D:$D,"")</f>
        <v/>
      </c>
      <c r="K1167" s="4">
        <f>IFERROR(INDEX(Raw_Risk_Profiles!$E:$E,MATCH(B1167,Raw_Risk_Profiles!$A:$A,0)),"Unknown")</f>
        <v/>
      </c>
      <c r="L1167" s="4">
        <f>IFERROR(XLOOKUP(A1167,Raw_Alerts!$B:$B,Raw_Alerts!$A:$A),"No Alert")</f>
        <v/>
      </c>
      <c r="M1167" s="4">
        <f>IFERROR(XLOOKUP(A1167,Raw_Alerts!$B:$B,Raw_Alerts!$C:$C),"")</f>
        <v/>
      </c>
      <c r="N1167" s="4">
        <f>IFERROR(XLOOKUP(A1167,Raw_Alerts!$B:$B,Raw_Alerts!$D:$D),"")</f>
        <v/>
      </c>
      <c r="O1167" s="4">
        <f>IFERROR(XLOOKUP(A1167,Raw_Alerts!$B:$B,Raw_Alerts!$F:$F),"")</f>
        <v/>
      </c>
      <c r="P1167" s="4">
        <f>IF(H1167="Not Found","CRITICAL: No Risk Profile",IF(I1167="Missing","WARN: Missing KYC",IF(I1167="Expired","WARN: KYC Expired",IF(I1167="Pending","INFO: KYC Pending","OK"))))</f>
        <v/>
      </c>
    </row>
    <row r="1168">
      <c r="A1168" s="2">
        <f>Raw_Transactions!A1168</f>
        <v/>
      </c>
      <c r="B1168" s="2">
        <f>Raw_Transactions!B1168</f>
        <v/>
      </c>
      <c r="C1168" s="2">
        <f>Raw_Transactions!C1168</f>
        <v/>
      </c>
      <c r="D1168" s="3">
        <f>Raw_Transactions!D1168</f>
        <v/>
      </c>
      <c r="E1168" s="2">
        <f>Raw_Transactions!E1168</f>
        <v/>
      </c>
      <c r="F1168" s="2">
        <f>Raw_Transactions!F1168</f>
        <v/>
      </c>
      <c r="G1168" s="2">
        <f>Raw_Transactions!G1168</f>
        <v/>
      </c>
      <c r="H1168" s="2">
        <f>XLOOKUP(B1168,Raw_Risk_Profiles!$A:$A,Raw_Risk_Profiles!$B:$B,"Not Found")</f>
        <v/>
      </c>
      <c r="I1168" s="2">
        <f>XLOOKUP(B1168,Raw_Risk_Profiles!$A:$A,Raw_Risk_Profiles!$C:$C,"Missing")</f>
        <v/>
      </c>
      <c r="J1168" s="2">
        <f>XLOOKUP(B1168,Raw_Risk_Profiles!$A:$A,Raw_Risk_Profiles!$D:$D,"")</f>
        <v/>
      </c>
      <c r="K1168" s="2">
        <f>IFERROR(INDEX(Raw_Risk_Profiles!$E:$E,MATCH(B1168,Raw_Risk_Profiles!$A:$A,0)),"Unknown")</f>
        <v/>
      </c>
      <c r="L1168" s="2">
        <f>IFERROR(XLOOKUP(A1168,Raw_Alerts!$B:$B,Raw_Alerts!$A:$A),"No Alert")</f>
        <v/>
      </c>
      <c r="M1168" s="2">
        <f>IFERROR(XLOOKUP(A1168,Raw_Alerts!$B:$B,Raw_Alerts!$C:$C),"")</f>
        <v/>
      </c>
      <c r="N1168" s="2">
        <f>IFERROR(XLOOKUP(A1168,Raw_Alerts!$B:$B,Raw_Alerts!$D:$D),"")</f>
        <v/>
      </c>
      <c r="O1168" s="2">
        <f>IFERROR(XLOOKUP(A1168,Raw_Alerts!$B:$B,Raw_Alerts!$F:$F),"")</f>
        <v/>
      </c>
      <c r="P1168" s="2">
        <f>IF(H1168="Not Found","CRITICAL: No Risk Profile",IF(I1168="Missing","WARN: Missing KYC",IF(I1168="Expired","WARN: KYC Expired",IF(I1168="Pending","INFO: KYC Pending","OK"))))</f>
        <v/>
      </c>
    </row>
    <row r="1169">
      <c r="A1169" s="4">
        <f>Raw_Transactions!A1169</f>
        <v/>
      </c>
      <c r="B1169" s="4">
        <f>Raw_Transactions!B1169</f>
        <v/>
      </c>
      <c r="C1169" s="4">
        <f>Raw_Transactions!C1169</f>
        <v/>
      </c>
      <c r="D1169" s="5">
        <f>Raw_Transactions!D1169</f>
        <v/>
      </c>
      <c r="E1169" s="4">
        <f>Raw_Transactions!E1169</f>
        <v/>
      </c>
      <c r="F1169" s="4">
        <f>Raw_Transactions!F1169</f>
        <v/>
      </c>
      <c r="G1169" s="4">
        <f>Raw_Transactions!G1169</f>
        <v/>
      </c>
      <c r="H1169" s="4">
        <f>XLOOKUP(B1169,Raw_Risk_Profiles!$A:$A,Raw_Risk_Profiles!$B:$B,"Not Found")</f>
        <v/>
      </c>
      <c r="I1169" s="4">
        <f>XLOOKUP(B1169,Raw_Risk_Profiles!$A:$A,Raw_Risk_Profiles!$C:$C,"Missing")</f>
        <v/>
      </c>
      <c r="J1169" s="4">
        <f>XLOOKUP(B1169,Raw_Risk_Profiles!$A:$A,Raw_Risk_Profiles!$D:$D,"")</f>
        <v/>
      </c>
      <c r="K1169" s="4">
        <f>IFERROR(INDEX(Raw_Risk_Profiles!$E:$E,MATCH(B1169,Raw_Risk_Profiles!$A:$A,0)),"Unknown")</f>
        <v/>
      </c>
      <c r="L1169" s="4">
        <f>IFERROR(XLOOKUP(A1169,Raw_Alerts!$B:$B,Raw_Alerts!$A:$A),"No Alert")</f>
        <v/>
      </c>
      <c r="M1169" s="4">
        <f>IFERROR(XLOOKUP(A1169,Raw_Alerts!$B:$B,Raw_Alerts!$C:$C),"")</f>
        <v/>
      </c>
      <c r="N1169" s="4">
        <f>IFERROR(XLOOKUP(A1169,Raw_Alerts!$B:$B,Raw_Alerts!$D:$D),"")</f>
        <v/>
      </c>
      <c r="O1169" s="4">
        <f>IFERROR(XLOOKUP(A1169,Raw_Alerts!$B:$B,Raw_Alerts!$F:$F),"")</f>
        <v/>
      </c>
      <c r="P1169" s="4">
        <f>IF(H1169="Not Found","CRITICAL: No Risk Profile",IF(I1169="Missing","WARN: Missing KYC",IF(I1169="Expired","WARN: KYC Expired",IF(I1169="Pending","INFO: KYC Pending","OK"))))</f>
        <v/>
      </c>
    </row>
    <row r="1170">
      <c r="A1170" s="2">
        <f>Raw_Transactions!A1170</f>
        <v/>
      </c>
      <c r="B1170" s="2">
        <f>Raw_Transactions!B1170</f>
        <v/>
      </c>
      <c r="C1170" s="2">
        <f>Raw_Transactions!C1170</f>
        <v/>
      </c>
      <c r="D1170" s="3">
        <f>Raw_Transactions!D1170</f>
        <v/>
      </c>
      <c r="E1170" s="2">
        <f>Raw_Transactions!E1170</f>
        <v/>
      </c>
      <c r="F1170" s="2">
        <f>Raw_Transactions!F1170</f>
        <v/>
      </c>
      <c r="G1170" s="2">
        <f>Raw_Transactions!G1170</f>
        <v/>
      </c>
      <c r="H1170" s="2">
        <f>XLOOKUP(B1170,Raw_Risk_Profiles!$A:$A,Raw_Risk_Profiles!$B:$B,"Not Found")</f>
        <v/>
      </c>
      <c r="I1170" s="2">
        <f>XLOOKUP(B1170,Raw_Risk_Profiles!$A:$A,Raw_Risk_Profiles!$C:$C,"Missing")</f>
        <v/>
      </c>
      <c r="J1170" s="2">
        <f>XLOOKUP(B1170,Raw_Risk_Profiles!$A:$A,Raw_Risk_Profiles!$D:$D,"")</f>
        <v/>
      </c>
      <c r="K1170" s="2">
        <f>IFERROR(INDEX(Raw_Risk_Profiles!$E:$E,MATCH(B1170,Raw_Risk_Profiles!$A:$A,0)),"Unknown")</f>
        <v/>
      </c>
      <c r="L1170" s="2">
        <f>IFERROR(XLOOKUP(A1170,Raw_Alerts!$B:$B,Raw_Alerts!$A:$A),"No Alert")</f>
        <v/>
      </c>
      <c r="M1170" s="2">
        <f>IFERROR(XLOOKUP(A1170,Raw_Alerts!$B:$B,Raw_Alerts!$C:$C),"")</f>
        <v/>
      </c>
      <c r="N1170" s="2">
        <f>IFERROR(XLOOKUP(A1170,Raw_Alerts!$B:$B,Raw_Alerts!$D:$D),"")</f>
        <v/>
      </c>
      <c r="O1170" s="2">
        <f>IFERROR(XLOOKUP(A1170,Raw_Alerts!$B:$B,Raw_Alerts!$F:$F),"")</f>
        <v/>
      </c>
      <c r="P1170" s="2">
        <f>IF(H1170="Not Found","CRITICAL: No Risk Profile",IF(I1170="Missing","WARN: Missing KYC",IF(I1170="Expired","WARN: KYC Expired",IF(I1170="Pending","INFO: KYC Pending","OK"))))</f>
        <v/>
      </c>
    </row>
    <row r="1171">
      <c r="A1171" s="4">
        <f>Raw_Transactions!A1171</f>
        <v/>
      </c>
      <c r="B1171" s="4">
        <f>Raw_Transactions!B1171</f>
        <v/>
      </c>
      <c r="C1171" s="4">
        <f>Raw_Transactions!C1171</f>
        <v/>
      </c>
      <c r="D1171" s="5">
        <f>Raw_Transactions!D1171</f>
        <v/>
      </c>
      <c r="E1171" s="4">
        <f>Raw_Transactions!E1171</f>
        <v/>
      </c>
      <c r="F1171" s="4">
        <f>Raw_Transactions!F1171</f>
        <v/>
      </c>
      <c r="G1171" s="4">
        <f>Raw_Transactions!G1171</f>
        <v/>
      </c>
      <c r="H1171" s="4">
        <f>XLOOKUP(B1171,Raw_Risk_Profiles!$A:$A,Raw_Risk_Profiles!$B:$B,"Not Found")</f>
        <v/>
      </c>
      <c r="I1171" s="4">
        <f>XLOOKUP(B1171,Raw_Risk_Profiles!$A:$A,Raw_Risk_Profiles!$C:$C,"Missing")</f>
        <v/>
      </c>
      <c r="J1171" s="4">
        <f>XLOOKUP(B1171,Raw_Risk_Profiles!$A:$A,Raw_Risk_Profiles!$D:$D,"")</f>
        <v/>
      </c>
      <c r="K1171" s="4">
        <f>IFERROR(INDEX(Raw_Risk_Profiles!$E:$E,MATCH(B1171,Raw_Risk_Profiles!$A:$A,0)),"Unknown")</f>
        <v/>
      </c>
      <c r="L1171" s="4">
        <f>IFERROR(XLOOKUP(A1171,Raw_Alerts!$B:$B,Raw_Alerts!$A:$A),"No Alert")</f>
        <v/>
      </c>
      <c r="M1171" s="4">
        <f>IFERROR(XLOOKUP(A1171,Raw_Alerts!$B:$B,Raw_Alerts!$C:$C),"")</f>
        <v/>
      </c>
      <c r="N1171" s="4">
        <f>IFERROR(XLOOKUP(A1171,Raw_Alerts!$B:$B,Raw_Alerts!$D:$D),"")</f>
        <v/>
      </c>
      <c r="O1171" s="4">
        <f>IFERROR(XLOOKUP(A1171,Raw_Alerts!$B:$B,Raw_Alerts!$F:$F),"")</f>
        <v/>
      </c>
      <c r="P1171" s="4">
        <f>IF(H1171="Not Found","CRITICAL: No Risk Profile",IF(I1171="Missing","WARN: Missing KYC",IF(I1171="Expired","WARN: KYC Expired",IF(I1171="Pending","INFO: KYC Pending","OK"))))</f>
        <v/>
      </c>
    </row>
    <row r="1172">
      <c r="A1172" s="2">
        <f>Raw_Transactions!A1172</f>
        <v/>
      </c>
      <c r="B1172" s="2">
        <f>Raw_Transactions!B1172</f>
        <v/>
      </c>
      <c r="C1172" s="2">
        <f>Raw_Transactions!C1172</f>
        <v/>
      </c>
      <c r="D1172" s="3">
        <f>Raw_Transactions!D1172</f>
        <v/>
      </c>
      <c r="E1172" s="2">
        <f>Raw_Transactions!E1172</f>
        <v/>
      </c>
      <c r="F1172" s="2">
        <f>Raw_Transactions!F1172</f>
        <v/>
      </c>
      <c r="G1172" s="2">
        <f>Raw_Transactions!G1172</f>
        <v/>
      </c>
      <c r="H1172" s="2">
        <f>XLOOKUP(B1172,Raw_Risk_Profiles!$A:$A,Raw_Risk_Profiles!$B:$B,"Not Found")</f>
        <v/>
      </c>
      <c r="I1172" s="2">
        <f>XLOOKUP(B1172,Raw_Risk_Profiles!$A:$A,Raw_Risk_Profiles!$C:$C,"Missing")</f>
        <v/>
      </c>
      <c r="J1172" s="2">
        <f>XLOOKUP(B1172,Raw_Risk_Profiles!$A:$A,Raw_Risk_Profiles!$D:$D,"")</f>
        <v/>
      </c>
      <c r="K1172" s="2">
        <f>IFERROR(INDEX(Raw_Risk_Profiles!$E:$E,MATCH(B1172,Raw_Risk_Profiles!$A:$A,0)),"Unknown")</f>
        <v/>
      </c>
      <c r="L1172" s="2">
        <f>IFERROR(XLOOKUP(A1172,Raw_Alerts!$B:$B,Raw_Alerts!$A:$A),"No Alert")</f>
        <v/>
      </c>
      <c r="M1172" s="2">
        <f>IFERROR(XLOOKUP(A1172,Raw_Alerts!$B:$B,Raw_Alerts!$C:$C),"")</f>
        <v/>
      </c>
      <c r="N1172" s="2">
        <f>IFERROR(XLOOKUP(A1172,Raw_Alerts!$B:$B,Raw_Alerts!$D:$D),"")</f>
        <v/>
      </c>
      <c r="O1172" s="2">
        <f>IFERROR(XLOOKUP(A1172,Raw_Alerts!$B:$B,Raw_Alerts!$F:$F),"")</f>
        <v/>
      </c>
      <c r="P1172" s="2">
        <f>IF(H1172="Not Found","CRITICAL: No Risk Profile",IF(I1172="Missing","WARN: Missing KYC",IF(I1172="Expired","WARN: KYC Expired",IF(I1172="Pending","INFO: KYC Pending","OK"))))</f>
        <v/>
      </c>
    </row>
    <row r="1173">
      <c r="A1173" s="4">
        <f>Raw_Transactions!A1173</f>
        <v/>
      </c>
      <c r="B1173" s="4">
        <f>Raw_Transactions!B1173</f>
        <v/>
      </c>
      <c r="C1173" s="4">
        <f>Raw_Transactions!C1173</f>
        <v/>
      </c>
      <c r="D1173" s="5">
        <f>Raw_Transactions!D1173</f>
        <v/>
      </c>
      <c r="E1173" s="4">
        <f>Raw_Transactions!E1173</f>
        <v/>
      </c>
      <c r="F1173" s="4">
        <f>Raw_Transactions!F1173</f>
        <v/>
      </c>
      <c r="G1173" s="4">
        <f>Raw_Transactions!G1173</f>
        <v/>
      </c>
      <c r="H1173" s="4">
        <f>XLOOKUP(B1173,Raw_Risk_Profiles!$A:$A,Raw_Risk_Profiles!$B:$B,"Not Found")</f>
        <v/>
      </c>
      <c r="I1173" s="4">
        <f>XLOOKUP(B1173,Raw_Risk_Profiles!$A:$A,Raw_Risk_Profiles!$C:$C,"Missing")</f>
        <v/>
      </c>
      <c r="J1173" s="4">
        <f>XLOOKUP(B1173,Raw_Risk_Profiles!$A:$A,Raw_Risk_Profiles!$D:$D,"")</f>
        <v/>
      </c>
      <c r="K1173" s="4">
        <f>IFERROR(INDEX(Raw_Risk_Profiles!$E:$E,MATCH(B1173,Raw_Risk_Profiles!$A:$A,0)),"Unknown")</f>
        <v/>
      </c>
      <c r="L1173" s="4">
        <f>IFERROR(XLOOKUP(A1173,Raw_Alerts!$B:$B,Raw_Alerts!$A:$A),"No Alert")</f>
        <v/>
      </c>
      <c r="M1173" s="4">
        <f>IFERROR(XLOOKUP(A1173,Raw_Alerts!$B:$B,Raw_Alerts!$C:$C),"")</f>
        <v/>
      </c>
      <c r="N1173" s="4">
        <f>IFERROR(XLOOKUP(A1173,Raw_Alerts!$B:$B,Raw_Alerts!$D:$D),"")</f>
        <v/>
      </c>
      <c r="O1173" s="4">
        <f>IFERROR(XLOOKUP(A1173,Raw_Alerts!$B:$B,Raw_Alerts!$F:$F),"")</f>
        <v/>
      </c>
      <c r="P1173" s="4">
        <f>IF(H1173="Not Found","CRITICAL: No Risk Profile",IF(I1173="Missing","WARN: Missing KYC",IF(I1173="Expired","WARN: KYC Expired",IF(I1173="Pending","INFO: KYC Pending","OK"))))</f>
        <v/>
      </c>
    </row>
    <row r="1174">
      <c r="A1174" s="2">
        <f>Raw_Transactions!A1174</f>
        <v/>
      </c>
      <c r="B1174" s="2">
        <f>Raw_Transactions!B1174</f>
        <v/>
      </c>
      <c r="C1174" s="2">
        <f>Raw_Transactions!C1174</f>
        <v/>
      </c>
      <c r="D1174" s="3">
        <f>Raw_Transactions!D1174</f>
        <v/>
      </c>
      <c r="E1174" s="2">
        <f>Raw_Transactions!E1174</f>
        <v/>
      </c>
      <c r="F1174" s="2">
        <f>Raw_Transactions!F1174</f>
        <v/>
      </c>
      <c r="G1174" s="2">
        <f>Raw_Transactions!G1174</f>
        <v/>
      </c>
      <c r="H1174" s="2">
        <f>XLOOKUP(B1174,Raw_Risk_Profiles!$A:$A,Raw_Risk_Profiles!$B:$B,"Not Found")</f>
        <v/>
      </c>
      <c r="I1174" s="2">
        <f>XLOOKUP(B1174,Raw_Risk_Profiles!$A:$A,Raw_Risk_Profiles!$C:$C,"Missing")</f>
        <v/>
      </c>
      <c r="J1174" s="2">
        <f>XLOOKUP(B1174,Raw_Risk_Profiles!$A:$A,Raw_Risk_Profiles!$D:$D,"")</f>
        <v/>
      </c>
      <c r="K1174" s="2">
        <f>IFERROR(INDEX(Raw_Risk_Profiles!$E:$E,MATCH(B1174,Raw_Risk_Profiles!$A:$A,0)),"Unknown")</f>
        <v/>
      </c>
      <c r="L1174" s="2">
        <f>IFERROR(XLOOKUP(A1174,Raw_Alerts!$B:$B,Raw_Alerts!$A:$A),"No Alert")</f>
        <v/>
      </c>
      <c r="M1174" s="2">
        <f>IFERROR(XLOOKUP(A1174,Raw_Alerts!$B:$B,Raw_Alerts!$C:$C),"")</f>
        <v/>
      </c>
      <c r="N1174" s="2">
        <f>IFERROR(XLOOKUP(A1174,Raw_Alerts!$B:$B,Raw_Alerts!$D:$D),"")</f>
        <v/>
      </c>
      <c r="O1174" s="2">
        <f>IFERROR(XLOOKUP(A1174,Raw_Alerts!$B:$B,Raw_Alerts!$F:$F),"")</f>
        <v/>
      </c>
      <c r="P1174" s="2">
        <f>IF(H1174="Not Found","CRITICAL: No Risk Profile",IF(I1174="Missing","WARN: Missing KYC",IF(I1174="Expired","WARN: KYC Expired",IF(I1174="Pending","INFO: KYC Pending","OK"))))</f>
        <v/>
      </c>
    </row>
    <row r="1175">
      <c r="A1175" s="4">
        <f>Raw_Transactions!A1175</f>
        <v/>
      </c>
      <c r="B1175" s="4">
        <f>Raw_Transactions!B1175</f>
        <v/>
      </c>
      <c r="C1175" s="4">
        <f>Raw_Transactions!C1175</f>
        <v/>
      </c>
      <c r="D1175" s="5">
        <f>Raw_Transactions!D1175</f>
        <v/>
      </c>
      <c r="E1175" s="4">
        <f>Raw_Transactions!E1175</f>
        <v/>
      </c>
      <c r="F1175" s="4">
        <f>Raw_Transactions!F1175</f>
        <v/>
      </c>
      <c r="G1175" s="4">
        <f>Raw_Transactions!G1175</f>
        <v/>
      </c>
      <c r="H1175" s="4">
        <f>XLOOKUP(B1175,Raw_Risk_Profiles!$A:$A,Raw_Risk_Profiles!$B:$B,"Not Found")</f>
        <v/>
      </c>
      <c r="I1175" s="4">
        <f>XLOOKUP(B1175,Raw_Risk_Profiles!$A:$A,Raw_Risk_Profiles!$C:$C,"Missing")</f>
        <v/>
      </c>
      <c r="J1175" s="4">
        <f>XLOOKUP(B1175,Raw_Risk_Profiles!$A:$A,Raw_Risk_Profiles!$D:$D,"")</f>
        <v/>
      </c>
      <c r="K1175" s="4">
        <f>IFERROR(INDEX(Raw_Risk_Profiles!$E:$E,MATCH(B1175,Raw_Risk_Profiles!$A:$A,0)),"Unknown")</f>
        <v/>
      </c>
      <c r="L1175" s="4">
        <f>IFERROR(XLOOKUP(A1175,Raw_Alerts!$B:$B,Raw_Alerts!$A:$A),"No Alert")</f>
        <v/>
      </c>
      <c r="M1175" s="4">
        <f>IFERROR(XLOOKUP(A1175,Raw_Alerts!$B:$B,Raw_Alerts!$C:$C),"")</f>
        <v/>
      </c>
      <c r="N1175" s="4">
        <f>IFERROR(XLOOKUP(A1175,Raw_Alerts!$B:$B,Raw_Alerts!$D:$D),"")</f>
        <v/>
      </c>
      <c r="O1175" s="4">
        <f>IFERROR(XLOOKUP(A1175,Raw_Alerts!$B:$B,Raw_Alerts!$F:$F),"")</f>
        <v/>
      </c>
      <c r="P1175" s="4">
        <f>IF(H1175="Not Found","CRITICAL: No Risk Profile",IF(I1175="Missing","WARN: Missing KYC",IF(I1175="Expired","WARN: KYC Expired",IF(I1175="Pending","INFO: KYC Pending","OK"))))</f>
        <v/>
      </c>
    </row>
    <row r="1176">
      <c r="A1176" s="2">
        <f>Raw_Transactions!A1176</f>
        <v/>
      </c>
      <c r="B1176" s="2">
        <f>Raw_Transactions!B1176</f>
        <v/>
      </c>
      <c r="C1176" s="2">
        <f>Raw_Transactions!C1176</f>
        <v/>
      </c>
      <c r="D1176" s="3">
        <f>Raw_Transactions!D1176</f>
        <v/>
      </c>
      <c r="E1176" s="2">
        <f>Raw_Transactions!E1176</f>
        <v/>
      </c>
      <c r="F1176" s="2">
        <f>Raw_Transactions!F1176</f>
        <v/>
      </c>
      <c r="G1176" s="2">
        <f>Raw_Transactions!G1176</f>
        <v/>
      </c>
      <c r="H1176" s="2">
        <f>XLOOKUP(B1176,Raw_Risk_Profiles!$A:$A,Raw_Risk_Profiles!$B:$B,"Not Found")</f>
        <v/>
      </c>
      <c r="I1176" s="2">
        <f>XLOOKUP(B1176,Raw_Risk_Profiles!$A:$A,Raw_Risk_Profiles!$C:$C,"Missing")</f>
        <v/>
      </c>
      <c r="J1176" s="2">
        <f>XLOOKUP(B1176,Raw_Risk_Profiles!$A:$A,Raw_Risk_Profiles!$D:$D,"")</f>
        <v/>
      </c>
      <c r="K1176" s="2">
        <f>IFERROR(INDEX(Raw_Risk_Profiles!$E:$E,MATCH(B1176,Raw_Risk_Profiles!$A:$A,0)),"Unknown")</f>
        <v/>
      </c>
      <c r="L1176" s="2">
        <f>IFERROR(XLOOKUP(A1176,Raw_Alerts!$B:$B,Raw_Alerts!$A:$A),"No Alert")</f>
        <v/>
      </c>
      <c r="M1176" s="2">
        <f>IFERROR(XLOOKUP(A1176,Raw_Alerts!$B:$B,Raw_Alerts!$C:$C),"")</f>
        <v/>
      </c>
      <c r="N1176" s="2">
        <f>IFERROR(XLOOKUP(A1176,Raw_Alerts!$B:$B,Raw_Alerts!$D:$D),"")</f>
        <v/>
      </c>
      <c r="O1176" s="2">
        <f>IFERROR(XLOOKUP(A1176,Raw_Alerts!$B:$B,Raw_Alerts!$F:$F),"")</f>
        <v/>
      </c>
      <c r="P1176" s="2">
        <f>IF(H1176="Not Found","CRITICAL: No Risk Profile",IF(I1176="Missing","WARN: Missing KYC",IF(I1176="Expired","WARN: KYC Expired",IF(I1176="Pending","INFO: KYC Pending","OK"))))</f>
        <v/>
      </c>
    </row>
    <row r="1177">
      <c r="A1177" s="4">
        <f>Raw_Transactions!A1177</f>
        <v/>
      </c>
      <c r="B1177" s="4">
        <f>Raw_Transactions!B1177</f>
        <v/>
      </c>
      <c r="C1177" s="4">
        <f>Raw_Transactions!C1177</f>
        <v/>
      </c>
      <c r="D1177" s="5">
        <f>Raw_Transactions!D1177</f>
        <v/>
      </c>
      <c r="E1177" s="4">
        <f>Raw_Transactions!E1177</f>
        <v/>
      </c>
      <c r="F1177" s="4">
        <f>Raw_Transactions!F1177</f>
        <v/>
      </c>
      <c r="G1177" s="4">
        <f>Raw_Transactions!G1177</f>
        <v/>
      </c>
      <c r="H1177" s="4">
        <f>XLOOKUP(B1177,Raw_Risk_Profiles!$A:$A,Raw_Risk_Profiles!$B:$B,"Not Found")</f>
        <v/>
      </c>
      <c r="I1177" s="4">
        <f>XLOOKUP(B1177,Raw_Risk_Profiles!$A:$A,Raw_Risk_Profiles!$C:$C,"Missing")</f>
        <v/>
      </c>
      <c r="J1177" s="4">
        <f>XLOOKUP(B1177,Raw_Risk_Profiles!$A:$A,Raw_Risk_Profiles!$D:$D,"")</f>
        <v/>
      </c>
      <c r="K1177" s="4">
        <f>IFERROR(INDEX(Raw_Risk_Profiles!$E:$E,MATCH(B1177,Raw_Risk_Profiles!$A:$A,0)),"Unknown")</f>
        <v/>
      </c>
      <c r="L1177" s="4">
        <f>IFERROR(XLOOKUP(A1177,Raw_Alerts!$B:$B,Raw_Alerts!$A:$A),"No Alert")</f>
        <v/>
      </c>
      <c r="M1177" s="4">
        <f>IFERROR(XLOOKUP(A1177,Raw_Alerts!$B:$B,Raw_Alerts!$C:$C),"")</f>
        <v/>
      </c>
      <c r="N1177" s="4">
        <f>IFERROR(XLOOKUP(A1177,Raw_Alerts!$B:$B,Raw_Alerts!$D:$D),"")</f>
        <v/>
      </c>
      <c r="O1177" s="4">
        <f>IFERROR(XLOOKUP(A1177,Raw_Alerts!$B:$B,Raw_Alerts!$F:$F),"")</f>
        <v/>
      </c>
      <c r="P1177" s="4">
        <f>IF(H1177="Not Found","CRITICAL: No Risk Profile",IF(I1177="Missing","WARN: Missing KYC",IF(I1177="Expired","WARN: KYC Expired",IF(I1177="Pending","INFO: KYC Pending","OK"))))</f>
        <v/>
      </c>
    </row>
    <row r="1178">
      <c r="A1178" s="2">
        <f>Raw_Transactions!A1178</f>
        <v/>
      </c>
      <c r="B1178" s="2">
        <f>Raw_Transactions!B1178</f>
        <v/>
      </c>
      <c r="C1178" s="2">
        <f>Raw_Transactions!C1178</f>
        <v/>
      </c>
      <c r="D1178" s="3">
        <f>Raw_Transactions!D1178</f>
        <v/>
      </c>
      <c r="E1178" s="2">
        <f>Raw_Transactions!E1178</f>
        <v/>
      </c>
      <c r="F1178" s="2">
        <f>Raw_Transactions!F1178</f>
        <v/>
      </c>
      <c r="G1178" s="2">
        <f>Raw_Transactions!G1178</f>
        <v/>
      </c>
      <c r="H1178" s="2">
        <f>XLOOKUP(B1178,Raw_Risk_Profiles!$A:$A,Raw_Risk_Profiles!$B:$B,"Not Found")</f>
        <v/>
      </c>
      <c r="I1178" s="2">
        <f>XLOOKUP(B1178,Raw_Risk_Profiles!$A:$A,Raw_Risk_Profiles!$C:$C,"Missing")</f>
        <v/>
      </c>
      <c r="J1178" s="2">
        <f>XLOOKUP(B1178,Raw_Risk_Profiles!$A:$A,Raw_Risk_Profiles!$D:$D,"")</f>
        <v/>
      </c>
      <c r="K1178" s="2">
        <f>IFERROR(INDEX(Raw_Risk_Profiles!$E:$E,MATCH(B1178,Raw_Risk_Profiles!$A:$A,0)),"Unknown")</f>
        <v/>
      </c>
      <c r="L1178" s="2">
        <f>IFERROR(XLOOKUP(A1178,Raw_Alerts!$B:$B,Raw_Alerts!$A:$A),"No Alert")</f>
        <v/>
      </c>
      <c r="M1178" s="2">
        <f>IFERROR(XLOOKUP(A1178,Raw_Alerts!$B:$B,Raw_Alerts!$C:$C),"")</f>
        <v/>
      </c>
      <c r="N1178" s="2">
        <f>IFERROR(XLOOKUP(A1178,Raw_Alerts!$B:$B,Raw_Alerts!$D:$D),"")</f>
        <v/>
      </c>
      <c r="O1178" s="2">
        <f>IFERROR(XLOOKUP(A1178,Raw_Alerts!$B:$B,Raw_Alerts!$F:$F),"")</f>
        <v/>
      </c>
      <c r="P1178" s="2">
        <f>IF(H1178="Not Found","CRITICAL: No Risk Profile",IF(I1178="Missing","WARN: Missing KYC",IF(I1178="Expired","WARN: KYC Expired",IF(I1178="Pending","INFO: KYC Pending","OK"))))</f>
        <v/>
      </c>
    </row>
    <row r="1179">
      <c r="A1179" s="4">
        <f>Raw_Transactions!A1179</f>
        <v/>
      </c>
      <c r="B1179" s="4">
        <f>Raw_Transactions!B1179</f>
        <v/>
      </c>
      <c r="C1179" s="4">
        <f>Raw_Transactions!C1179</f>
        <v/>
      </c>
      <c r="D1179" s="5">
        <f>Raw_Transactions!D1179</f>
        <v/>
      </c>
      <c r="E1179" s="4">
        <f>Raw_Transactions!E1179</f>
        <v/>
      </c>
      <c r="F1179" s="4">
        <f>Raw_Transactions!F1179</f>
        <v/>
      </c>
      <c r="G1179" s="4">
        <f>Raw_Transactions!G1179</f>
        <v/>
      </c>
      <c r="H1179" s="4">
        <f>XLOOKUP(B1179,Raw_Risk_Profiles!$A:$A,Raw_Risk_Profiles!$B:$B,"Not Found")</f>
        <v/>
      </c>
      <c r="I1179" s="4">
        <f>XLOOKUP(B1179,Raw_Risk_Profiles!$A:$A,Raw_Risk_Profiles!$C:$C,"Missing")</f>
        <v/>
      </c>
      <c r="J1179" s="4">
        <f>XLOOKUP(B1179,Raw_Risk_Profiles!$A:$A,Raw_Risk_Profiles!$D:$D,"")</f>
        <v/>
      </c>
      <c r="K1179" s="4">
        <f>IFERROR(INDEX(Raw_Risk_Profiles!$E:$E,MATCH(B1179,Raw_Risk_Profiles!$A:$A,0)),"Unknown")</f>
        <v/>
      </c>
      <c r="L1179" s="4">
        <f>IFERROR(XLOOKUP(A1179,Raw_Alerts!$B:$B,Raw_Alerts!$A:$A),"No Alert")</f>
        <v/>
      </c>
      <c r="M1179" s="4">
        <f>IFERROR(XLOOKUP(A1179,Raw_Alerts!$B:$B,Raw_Alerts!$C:$C),"")</f>
        <v/>
      </c>
      <c r="N1179" s="4">
        <f>IFERROR(XLOOKUP(A1179,Raw_Alerts!$B:$B,Raw_Alerts!$D:$D),"")</f>
        <v/>
      </c>
      <c r="O1179" s="4">
        <f>IFERROR(XLOOKUP(A1179,Raw_Alerts!$B:$B,Raw_Alerts!$F:$F),"")</f>
        <v/>
      </c>
      <c r="P1179" s="4">
        <f>IF(H1179="Not Found","CRITICAL: No Risk Profile",IF(I1179="Missing","WARN: Missing KYC",IF(I1179="Expired","WARN: KYC Expired",IF(I1179="Pending","INFO: KYC Pending","OK"))))</f>
        <v/>
      </c>
    </row>
    <row r="1180">
      <c r="A1180" s="2">
        <f>Raw_Transactions!A1180</f>
        <v/>
      </c>
      <c r="B1180" s="2">
        <f>Raw_Transactions!B1180</f>
        <v/>
      </c>
      <c r="C1180" s="2">
        <f>Raw_Transactions!C1180</f>
        <v/>
      </c>
      <c r="D1180" s="3">
        <f>Raw_Transactions!D1180</f>
        <v/>
      </c>
      <c r="E1180" s="2">
        <f>Raw_Transactions!E1180</f>
        <v/>
      </c>
      <c r="F1180" s="2">
        <f>Raw_Transactions!F1180</f>
        <v/>
      </c>
      <c r="G1180" s="2">
        <f>Raw_Transactions!G1180</f>
        <v/>
      </c>
      <c r="H1180" s="2">
        <f>XLOOKUP(B1180,Raw_Risk_Profiles!$A:$A,Raw_Risk_Profiles!$B:$B,"Not Found")</f>
        <v/>
      </c>
      <c r="I1180" s="2">
        <f>XLOOKUP(B1180,Raw_Risk_Profiles!$A:$A,Raw_Risk_Profiles!$C:$C,"Missing")</f>
        <v/>
      </c>
      <c r="J1180" s="2">
        <f>XLOOKUP(B1180,Raw_Risk_Profiles!$A:$A,Raw_Risk_Profiles!$D:$D,"")</f>
        <v/>
      </c>
      <c r="K1180" s="2">
        <f>IFERROR(INDEX(Raw_Risk_Profiles!$E:$E,MATCH(B1180,Raw_Risk_Profiles!$A:$A,0)),"Unknown")</f>
        <v/>
      </c>
      <c r="L1180" s="2">
        <f>IFERROR(XLOOKUP(A1180,Raw_Alerts!$B:$B,Raw_Alerts!$A:$A),"No Alert")</f>
        <v/>
      </c>
      <c r="M1180" s="2">
        <f>IFERROR(XLOOKUP(A1180,Raw_Alerts!$B:$B,Raw_Alerts!$C:$C),"")</f>
        <v/>
      </c>
      <c r="N1180" s="2">
        <f>IFERROR(XLOOKUP(A1180,Raw_Alerts!$B:$B,Raw_Alerts!$D:$D),"")</f>
        <v/>
      </c>
      <c r="O1180" s="2">
        <f>IFERROR(XLOOKUP(A1180,Raw_Alerts!$B:$B,Raw_Alerts!$F:$F),"")</f>
        <v/>
      </c>
      <c r="P1180" s="2">
        <f>IF(H1180="Not Found","CRITICAL: No Risk Profile",IF(I1180="Missing","WARN: Missing KYC",IF(I1180="Expired","WARN: KYC Expired",IF(I1180="Pending","INFO: KYC Pending","OK"))))</f>
        <v/>
      </c>
    </row>
    <row r="1181">
      <c r="A1181" s="4">
        <f>Raw_Transactions!A1181</f>
        <v/>
      </c>
      <c r="B1181" s="4">
        <f>Raw_Transactions!B1181</f>
        <v/>
      </c>
      <c r="C1181" s="4">
        <f>Raw_Transactions!C1181</f>
        <v/>
      </c>
      <c r="D1181" s="5">
        <f>Raw_Transactions!D1181</f>
        <v/>
      </c>
      <c r="E1181" s="4">
        <f>Raw_Transactions!E1181</f>
        <v/>
      </c>
      <c r="F1181" s="4">
        <f>Raw_Transactions!F1181</f>
        <v/>
      </c>
      <c r="G1181" s="4">
        <f>Raw_Transactions!G1181</f>
        <v/>
      </c>
      <c r="H1181" s="4">
        <f>XLOOKUP(B1181,Raw_Risk_Profiles!$A:$A,Raw_Risk_Profiles!$B:$B,"Not Found")</f>
        <v/>
      </c>
      <c r="I1181" s="4">
        <f>XLOOKUP(B1181,Raw_Risk_Profiles!$A:$A,Raw_Risk_Profiles!$C:$C,"Missing")</f>
        <v/>
      </c>
      <c r="J1181" s="4">
        <f>XLOOKUP(B1181,Raw_Risk_Profiles!$A:$A,Raw_Risk_Profiles!$D:$D,"")</f>
        <v/>
      </c>
      <c r="K1181" s="4">
        <f>IFERROR(INDEX(Raw_Risk_Profiles!$E:$E,MATCH(B1181,Raw_Risk_Profiles!$A:$A,0)),"Unknown")</f>
        <v/>
      </c>
      <c r="L1181" s="4">
        <f>IFERROR(XLOOKUP(A1181,Raw_Alerts!$B:$B,Raw_Alerts!$A:$A),"No Alert")</f>
        <v/>
      </c>
      <c r="M1181" s="4">
        <f>IFERROR(XLOOKUP(A1181,Raw_Alerts!$B:$B,Raw_Alerts!$C:$C),"")</f>
        <v/>
      </c>
      <c r="N1181" s="4">
        <f>IFERROR(XLOOKUP(A1181,Raw_Alerts!$B:$B,Raw_Alerts!$D:$D),"")</f>
        <v/>
      </c>
      <c r="O1181" s="4">
        <f>IFERROR(XLOOKUP(A1181,Raw_Alerts!$B:$B,Raw_Alerts!$F:$F),"")</f>
        <v/>
      </c>
      <c r="P1181" s="4">
        <f>IF(H1181="Not Found","CRITICAL: No Risk Profile",IF(I1181="Missing","WARN: Missing KYC",IF(I1181="Expired","WARN: KYC Expired",IF(I1181="Pending","INFO: KYC Pending","OK"))))</f>
        <v/>
      </c>
    </row>
    <row r="1182">
      <c r="A1182" s="2">
        <f>Raw_Transactions!A1182</f>
        <v/>
      </c>
      <c r="B1182" s="2">
        <f>Raw_Transactions!B1182</f>
        <v/>
      </c>
      <c r="C1182" s="2">
        <f>Raw_Transactions!C1182</f>
        <v/>
      </c>
      <c r="D1182" s="3">
        <f>Raw_Transactions!D1182</f>
        <v/>
      </c>
      <c r="E1182" s="2">
        <f>Raw_Transactions!E1182</f>
        <v/>
      </c>
      <c r="F1182" s="2">
        <f>Raw_Transactions!F1182</f>
        <v/>
      </c>
      <c r="G1182" s="2">
        <f>Raw_Transactions!G1182</f>
        <v/>
      </c>
      <c r="H1182" s="2">
        <f>XLOOKUP(B1182,Raw_Risk_Profiles!$A:$A,Raw_Risk_Profiles!$B:$B,"Not Found")</f>
        <v/>
      </c>
      <c r="I1182" s="2">
        <f>XLOOKUP(B1182,Raw_Risk_Profiles!$A:$A,Raw_Risk_Profiles!$C:$C,"Missing")</f>
        <v/>
      </c>
      <c r="J1182" s="2">
        <f>XLOOKUP(B1182,Raw_Risk_Profiles!$A:$A,Raw_Risk_Profiles!$D:$D,"")</f>
        <v/>
      </c>
      <c r="K1182" s="2">
        <f>IFERROR(INDEX(Raw_Risk_Profiles!$E:$E,MATCH(B1182,Raw_Risk_Profiles!$A:$A,0)),"Unknown")</f>
        <v/>
      </c>
      <c r="L1182" s="2">
        <f>IFERROR(XLOOKUP(A1182,Raw_Alerts!$B:$B,Raw_Alerts!$A:$A),"No Alert")</f>
        <v/>
      </c>
      <c r="M1182" s="2">
        <f>IFERROR(XLOOKUP(A1182,Raw_Alerts!$B:$B,Raw_Alerts!$C:$C),"")</f>
        <v/>
      </c>
      <c r="N1182" s="2">
        <f>IFERROR(XLOOKUP(A1182,Raw_Alerts!$B:$B,Raw_Alerts!$D:$D),"")</f>
        <v/>
      </c>
      <c r="O1182" s="2">
        <f>IFERROR(XLOOKUP(A1182,Raw_Alerts!$B:$B,Raw_Alerts!$F:$F),"")</f>
        <v/>
      </c>
      <c r="P1182" s="2">
        <f>IF(H1182="Not Found","CRITICAL: No Risk Profile",IF(I1182="Missing","WARN: Missing KYC",IF(I1182="Expired","WARN: KYC Expired",IF(I1182="Pending","INFO: KYC Pending","OK"))))</f>
        <v/>
      </c>
    </row>
    <row r="1183">
      <c r="A1183" s="4">
        <f>Raw_Transactions!A1183</f>
        <v/>
      </c>
      <c r="B1183" s="4">
        <f>Raw_Transactions!B1183</f>
        <v/>
      </c>
      <c r="C1183" s="4">
        <f>Raw_Transactions!C1183</f>
        <v/>
      </c>
      <c r="D1183" s="5">
        <f>Raw_Transactions!D1183</f>
        <v/>
      </c>
      <c r="E1183" s="4">
        <f>Raw_Transactions!E1183</f>
        <v/>
      </c>
      <c r="F1183" s="4">
        <f>Raw_Transactions!F1183</f>
        <v/>
      </c>
      <c r="G1183" s="4">
        <f>Raw_Transactions!G1183</f>
        <v/>
      </c>
      <c r="H1183" s="4">
        <f>XLOOKUP(B1183,Raw_Risk_Profiles!$A:$A,Raw_Risk_Profiles!$B:$B,"Not Found")</f>
        <v/>
      </c>
      <c r="I1183" s="4">
        <f>XLOOKUP(B1183,Raw_Risk_Profiles!$A:$A,Raw_Risk_Profiles!$C:$C,"Missing")</f>
        <v/>
      </c>
      <c r="J1183" s="4">
        <f>XLOOKUP(B1183,Raw_Risk_Profiles!$A:$A,Raw_Risk_Profiles!$D:$D,"")</f>
        <v/>
      </c>
      <c r="K1183" s="4">
        <f>IFERROR(INDEX(Raw_Risk_Profiles!$E:$E,MATCH(B1183,Raw_Risk_Profiles!$A:$A,0)),"Unknown")</f>
        <v/>
      </c>
      <c r="L1183" s="4">
        <f>IFERROR(XLOOKUP(A1183,Raw_Alerts!$B:$B,Raw_Alerts!$A:$A),"No Alert")</f>
        <v/>
      </c>
      <c r="M1183" s="4">
        <f>IFERROR(XLOOKUP(A1183,Raw_Alerts!$B:$B,Raw_Alerts!$C:$C),"")</f>
        <v/>
      </c>
      <c r="N1183" s="4">
        <f>IFERROR(XLOOKUP(A1183,Raw_Alerts!$B:$B,Raw_Alerts!$D:$D),"")</f>
        <v/>
      </c>
      <c r="O1183" s="4">
        <f>IFERROR(XLOOKUP(A1183,Raw_Alerts!$B:$B,Raw_Alerts!$F:$F),"")</f>
        <v/>
      </c>
      <c r="P1183" s="4">
        <f>IF(H1183="Not Found","CRITICAL: No Risk Profile",IF(I1183="Missing","WARN: Missing KYC",IF(I1183="Expired","WARN: KYC Expired",IF(I1183="Pending","INFO: KYC Pending","OK"))))</f>
        <v/>
      </c>
    </row>
    <row r="1184">
      <c r="A1184" s="2">
        <f>Raw_Transactions!A1184</f>
        <v/>
      </c>
      <c r="B1184" s="2">
        <f>Raw_Transactions!B1184</f>
        <v/>
      </c>
      <c r="C1184" s="2">
        <f>Raw_Transactions!C1184</f>
        <v/>
      </c>
      <c r="D1184" s="3">
        <f>Raw_Transactions!D1184</f>
        <v/>
      </c>
      <c r="E1184" s="2">
        <f>Raw_Transactions!E1184</f>
        <v/>
      </c>
      <c r="F1184" s="2">
        <f>Raw_Transactions!F1184</f>
        <v/>
      </c>
      <c r="G1184" s="2">
        <f>Raw_Transactions!G1184</f>
        <v/>
      </c>
      <c r="H1184" s="2">
        <f>XLOOKUP(B1184,Raw_Risk_Profiles!$A:$A,Raw_Risk_Profiles!$B:$B,"Not Found")</f>
        <v/>
      </c>
      <c r="I1184" s="2">
        <f>XLOOKUP(B1184,Raw_Risk_Profiles!$A:$A,Raw_Risk_Profiles!$C:$C,"Missing")</f>
        <v/>
      </c>
      <c r="J1184" s="2">
        <f>XLOOKUP(B1184,Raw_Risk_Profiles!$A:$A,Raw_Risk_Profiles!$D:$D,"")</f>
        <v/>
      </c>
      <c r="K1184" s="2">
        <f>IFERROR(INDEX(Raw_Risk_Profiles!$E:$E,MATCH(B1184,Raw_Risk_Profiles!$A:$A,0)),"Unknown")</f>
        <v/>
      </c>
      <c r="L1184" s="2">
        <f>IFERROR(XLOOKUP(A1184,Raw_Alerts!$B:$B,Raw_Alerts!$A:$A),"No Alert")</f>
        <v/>
      </c>
      <c r="M1184" s="2">
        <f>IFERROR(XLOOKUP(A1184,Raw_Alerts!$B:$B,Raw_Alerts!$C:$C),"")</f>
        <v/>
      </c>
      <c r="N1184" s="2">
        <f>IFERROR(XLOOKUP(A1184,Raw_Alerts!$B:$B,Raw_Alerts!$D:$D),"")</f>
        <v/>
      </c>
      <c r="O1184" s="2">
        <f>IFERROR(XLOOKUP(A1184,Raw_Alerts!$B:$B,Raw_Alerts!$F:$F),"")</f>
        <v/>
      </c>
      <c r="P1184" s="2">
        <f>IF(H1184="Not Found","CRITICAL: No Risk Profile",IF(I1184="Missing","WARN: Missing KYC",IF(I1184="Expired","WARN: KYC Expired",IF(I1184="Pending","INFO: KYC Pending","OK"))))</f>
        <v/>
      </c>
    </row>
    <row r="1185">
      <c r="A1185" s="4">
        <f>Raw_Transactions!A1185</f>
        <v/>
      </c>
      <c r="B1185" s="4">
        <f>Raw_Transactions!B1185</f>
        <v/>
      </c>
      <c r="C1185" s="4">
        <f>Raw_Transactions!C1185</f>
        <v/>
      </c>
      <c r="D1185" s="5">
        <f>Raw_Transactions!D1185</f>
        <v/>
      </c>
      <c r="E1185" s="4">
        <f>Raw_Transactions!E1185</f>
        <v/>
      </c>
      <c r="F1185" s="4">
        <f>Raw_Transactions!F1185</f>
        <v/>
      </c>
      <c r="G1185" s="4">
        <f>Raw_Transactions!G1185</f>
        <v/>
      </c>
      <c r="H1185" s="4">
        <f>XLOOKUP(B1185,Raw_Risk_Profiles!$A:$A,Raw_Risk_Profiles!$B:$B,"Not Found")</f>
        <v/>
      </c>
      <c r="I1185" s="4">
        <f>XLOOKUP(B1185,Raw_Risk_Profiles!$A:$A,Raw_Risk_Profiles!$C:$C,"Missing")</f>
        <v/>
      </c>
      <c r="J1185" s="4">
        <f>XLOOKUP(B1185,Raw_Risk_Profiles!$A:$A,Raw_Risk_Profiles!$D:$D,"")</f>
        <v/>
      </c>
      <c r="K1185" s="4">
        <f>IFERROR(INDEX(Raw_Risk_Profiles!$E:$E,MATCH(B1185,Raw_Risk_Profiles!$A:$A,0)),"Unknown")</f>
        <v/>
      </c>
      <c r="L1185" s="4">
        <f>IFERROR(XLOOKUP(A1185,Raw_Alerts!$B:$B,Raw_Alerts!$A:$A),"No Alert")</f>
        <v/>
      </c>
      <c r="M1185" s="4">
        <f>IFERROR(XLOOKUP(A1185,Raw_Alerts!$B:$B,Raw_Alerts!$C:$C),"")</f>
        <v/>
      </c>
      <c r="N1185" s="4">
        <f>IFERROR(XLOOKUP(A1185,Raw_Alerts!$B:$B,Raw_Alerts!$D:$D),"")</f>
        <v/>
      </c>
      <c r="O1185" s="4">
        <f>IFERROR(XLOOKUP(A1185,Raw_Alerts!$B:$B,Raw_Alerts!$F:$F),"")</f>
        <v/>
      </c>
      <c r="P1185" s="4">
        <f>IF(H1185="Not Found","CRITICAL: No Risk Profile",IF(I1185="Missing","WARN: Missing KYC",IF(I1185="Expired","WARN: KYC Expired",IF(I1185="Pending","INFO: KYC Pending","OK"))))</f>
        <v/>
      </c>
    </row>
    <row r="1186">
      <c r="A1186" s="2">
        <f>Raw_Transactions!A1186</f>
        <v/>
      </c>
      <c r="B1186" s="2">
        <f>Raw_Transactions!B1186</f>
        <v/>
      </c>
      <c r="C1186" s="2">
        <f>Raw_Transactions!C1186</f>
        <v/>
      </c>
      <c r="D1186" s="3">
        <f>Raw_Transactions!D1186</f>
        <v/>
      </c>
      <c r="E1186" s="2">
        <f>Raw_Transactions!E1186</f>
        <v/>
      </c>
      <c r="F1186" s="2">
        <f>Raw_Transactions!F1186</f>
        <v/>
      </c>
      <c r="G1186" s="2">
        <f>Raw_Transactions!G1186</f>
        <v/>
      </c>
      <c r="H1186" s="2">
        <f>XLOOKUP(B1186,Raw_Risk_Profiles!$A:$A,Raw_Risk_Profiles!$B:$B,"Not Found")</f>
        <v/>
      </c>
      <c r="I1186" s="2">
        <f>XLOOKUP(B1186,Raw_Risk_Profiles!$A:$A,Raw_Risk_Profiles!$C:$C,"Missing")</f>
        <v/>
      </c>
      <c r="J1186" s="2">
        <f>XLOOKUP(B1186,Raw_Risk_Profiles!$A:$A,Raw_Risk_Profiles!$D:$D,"")</f>
        <v/>
      </c>
      <c r="K1186" s="2">
        <f>IFERROR(INDEX(Raw_Risk_Profiles!$E:$E,MATCH(B1186,Raw_Risk_Profiles!$A:$A,0)),"Unknown")</f>
        <v/>
      </c>
      <c r="L1186" s="2">
        <f>IFERROR(XLOOKUP(A1186,Raw_Alerts!$B:$B,Raw_Alerts!$A:$A),"No Alert")</f>
        <v/>
      </c>
      <c r="M1186" s="2">
        <f>IFERROR(XLOOKUP(A1186,Raw_Alerts!$B:$B,Raw_Alerts!$C:$C),"")</f>
        <v/>
      </c>
      <c r="N1186" s="2">
        <f>IFERROR(XLOOKUP(A1186,Raw_Alerts!$B:$B,Raw_Alerts!$D:$D),"")</f>
        <v/>
      </c>
      <c r="O1186" s="2">
        <f>IFERROR(XLOOKUP(A1186,Raw_Alerts!$B:$B,Raw_Alerts!$F:$F),"")</f>
        <v/>
      </c>
      <c r="P1186" s="2">
        <f>IF(H1186="Not Found","CRITICAL: No Risk Profile",IF(I1186="Missing","WARN: Missing KYC",IF(I1186="Expired","WARN: KYC Expired",IF(I1186="Pending","INFO: KYC Pending","OK"))))</f>
        <v/>
      </c>
    </row>
    <row r="1187">
      <c r="A1187" s="4">
        <f>Raw_Transactions!A1187</f>
        <v/>
      </c>
      <c r="B1187" s="4">
        <f>Raw_Transactions!B1187</f>
        <v/>
      </c>
      <c r="C1187" s="4">
        <f>Raw_Transactions!C1187</f>
        <v/>
      </c>
      <c r="D1187" s="5">
        <f>Raw_Transactions!D1187</f>
        <v/>
      </c>
      <c r="E1187" s="4">
        <f>Raw_Transactions!E1187</f>
        <v/>
      </c>
      <c r="F1187" s="4">
        <f>Raw_Transactions!F1187</f>
        <v/>
      </c>
      <c r="G1187" s="4">
        <f>Raw_Transactions!G1187</f>
        <v/>
      </c>
      <c r="H1187" s="4">
        <f>XLOOKUP(B1187,Raw_Risk_Profiles!$A:$A,Raw_Risk_Profiles!$B:$B,"Not Found")</f>
        <v/>
      </c>
      <c r="I1187" s="4">
        <f>XLOOKUP(B1187,Raw_Risk_Profiles!$A:$A,Raw_Risk_Profiles!$C:$C,"Missing")</f>
        <v/>
      </c>
      <c r="J1187" s="4">
        <f>XLOOKUP(B1187,Raw_Risk_Profiles!$A:$A,Raw_Risk_Profiles!$D:$D,"")</f>
        <v/>
      </c>
      <c r="K1187" s="4">
        <f>IFERROR(INDEX(Raw_Risk_Profiles!$E:$E,MATCH(B1187,Raw_Risk_Profiles!$A:$A,0)),"Unknown")</f>
        <v/>
      </c>
      <c r="L1187" s="4">
        <f>IFERROR(XLOOKUP(A1187,Raw_Alerts!$B:$B,Raw_Alerts!$A:$A),"No Alert")</f>
        <v/>
      </c>
      <c r="M1187" s="4">
        <f>IFERROR(XLOOKUP(A1187,Raw_Alerts!$B:$B,Raw_Alerts!$C:$C),"")</f>
        <v/>
      </c>
      <c r="N1187" s="4">
        <f>IFERROR(XLOOKUP(A1187,Raw_Alerts!$B:$B,Raw_Alerts!$D:$D),"")</f>
        <v/>
      </c>
      <c r="O1187" s="4">
        <f>IFERROR(XLOOKUP(A1187,Raw_Alerts!$B:$B,Raw_Alerts!$F:$F),"")</f>
        <v/>
      </c>
      <c r="P1187" s="4">
        <f>IF(H1187="Not Found","CRITICAL: No Risk Profile",IF(I1187="Missing","WARN: Missing KYC",IF(I1187="Expired","WARN: KYC Expired",IF(I1187="Pending","INFO: KYC Pending","OK"))))</f>
        <v/>
      </c>
    </row>
    <row r="1188">
      <c r="A1188" s="2">
        <f>Raw_Transactions!A1188</f>
        <v/>
      </c>
      <c r="B1188" s="2">
        <f>Raw_Transactions!B1188</f>
        <v/>
      </c>
      <c r="C1188" s="2">
        <f>Raw_Transactions!C1188</f>
        <v/>
      </c>
      <c r="D1188" s="3">
        <f>Raw_Transactions!D1188</f>
        <v/>
      </c>
      <c r="E1188" s="2">
        <f>Raw_Transactions!E1188</f>
        <v/>
      </c>
      <c r="F1188" s="2">
        <f>Raw_Transactions!F1188</f>
        <v/>
      </c>
      <c r="G1188" s="2">
        <f>Raw_Transactions!G1188</f>
        <v/>
      </c>
      <c r="H1188" s="2">
        <f>XLOOKUP(B1188,Raw_Risk_Profiles!$A:$A,Raw_Risk_Profiles!$B:$B,"Not Found")</f>
        <v/>
      </c>
      <c r="I1188" s="2">
        <f>XLOOKUP(B1188,Raw_Risk_Profiles!$A:$A,Raw_Risk_Profiles!$C:$C,"Missing")</f>
        <v/>
      </c>
      <c r="J1188" s="2">
        <f>XLOOKUP(B1188,Raw_Risk_Profiles!$A:$A,Raw_Risk_Profiles!$D:$D,"")</f>
        <v/>
      </c>
      <c r="K1188" s="2">
        <f>IFERROR(INDEX(Raw_Risk_Profiles!$E:$E,MATCH(B1188,Raw_Risk_Profiles!$A:$A,0)),"Unknown")</f>
        <v/>
      </c>
      <c r="L1188" s="2">
        <f>IFERROR(XLOOKUP(A1188,Raw_Alerts!$B:$B,Raw_Alerts!$A:$A),"No Alert")</f>
        <v/>
      </c>
      <c r="M1188" s="2">
        <f>IFERROR(XLOOKUP(A1188,Raw_Alerts!$B:$B,Raw_Alerts!$C:$C),"")</f>
        <v/>
      </c>
      <c r="N1188" s="2">
        <f>IFERROR(XLOOKUP(A1188,Raw_Alerts!$B:$B,Raw_Alerts!$D:$D),"")</f>
        <v/>
      </c>
      <c r="O1188" s="2">
        <f>IFERROR(XLOOKUP(A1188,Raw_Alerts!$B:$B,Raw_Alerts!$F:$F),"")</f>
        <v/>
      </c>
      <c r="P1188" s="2">
        <f>IF(H1188="Not Found","CRITICAL: No Risk Profile",IF(I1188="Missing","WARN: Missing KYC",IF(I1188="Expired","WARN: KYC Expired",IF(I1188="Pending","INFO: KYC Pending","OK"))))</f>
        <v/>
      </c>
    </row>
    <row r="1189">
      <c r="A1189" s="4">
        <f>Raw_Transactions!A1189</f>
        <v/>
      </c>
      <c r="B1189" s="4">
        <f>Raw_Transactions!B1189</f>
        <v/>
      </c>
      <c r="C1189" s="4">
        <f>Raw_Transactions!C1189</f>
        <v/>
      </c>
      <c r="D1189" s="5">
        <f>Raw_Transactions!D1189</f>
        <v/>
      </c>
      <c r="E1189" s="4">
        <f>Raw_Transactions!E1189</f>
        <v/>
      </c>
      <c r="F1189" s="4">
        <f>Raw_Transactions!F1189</f>
        <v/>
      </c>
      <c r="G1189" s="4">
        <f>Raw_Transactions!G1189</f>
        <v/>
      </c>
      <c r="H1189" s="4">
        <f>XLOOKUP(B1189,Raw_Risk_Profiles!$A:$A,Raw_Risk_Profiles!$B:$B,"Not Found")</f>
        <v/>
      </c>
      <c r="I1189" s="4">
        <f>XLOOKUP(B1189,Raw_Risk_Profiles!$A:$A,Raw_Risk_Profiles!$C:$C,"Missing")</f>
        <v/>
      </c>
      <c r="J1189" s="4">
        <f>XLOOKUP(B1189,Raw_Risk_Profiles!$A:$A,Raw_Risk_Profiles!$D:$D,"")</f>
        <v/>
      </c>
      <c r="K1189" s="4">
        <f>IFERROR(INDEX(Raw_Risk_Profiles!$E:$E,MATCH(B1189,Raw_Risk_Profiles!$A:$A,0)),"Unknown")</f>
        <v/>
      </c>
      <c r="L1189" s="4">
        <f>IFERROR(XLOOKUP(A1189,Raw_Alerts!$B:$B,Raw_Alerts!$A:$A),"No Alert")</f>
        <v/>
      </c>
      <c r="M1189" s="4">
        <f>IFERROR(XLOOKUP(A1189,Raw_Alerts!$B:$B,Raw_Alerts!$C:$C),"")</f>
        <v/>
      </c>
      <c r="N1189" s="4">
        <f>IFERROR(XLOOKUP(A1189,Raw_Alerts!$B:$B,Raw_Alerts!$D:$D),"")</f>
        <v/>
      </c>
      <c r="O1189" s="4">
        <f>IFERROR(XLOOKUP(A1189,Raw_Alerts!$B:$B,Raw_Alerts!$F:$F),"")</f>
        <v/>
      </c>
      <c r="P1189" s="4">
        <f>IF(H1189="Not Found","CRITICAL: No Risk Profile",IF(I1189="Missing","WARN: Missing KYC",IF(I1189="Expired","WARN: KYC Expired",IF(I1189="Pending","INFO: KYC Pending","OK"))))</f>
        <v/>
      </c>
    </row>
    <row r="1190">
      <c r="A1190" s="2">
        <f>Raw_Transactions!A1190</f>
        <v/>
      </c>
      <c r="B1190" s="2">
        <f>Raw_Transactions!B1190</f>
        <v/>
      </c>
      <c r="C1190" s="2">
        <f>Raw_Transactions!C1190</f>
        <v/>
      </c>
      <c r="D1190" s="3">
        <f>Raw_Transactions!D1190</f>
        <v/>
      </c>
      <c r="E1190" s="2">
        <f>Raw_Transactions!E1190</f>
        <v/>
      </c>
      <c r="F1190" s="2">
        <f>Raw_Transactions!F1190</f>
        <v/>
      </c>
      <c r="G1190" s="2">
        <f>Raw_Transactions!G1190</f>
        <v/>
      </c>
      <c r="H1190" s="2">
        <f>XLOOKUP(B1190,Raw_Risk_Profiles!$A:$A,Raw_Risk_Profiles!$B:$B,"Not Found")</f>
        <v/>
      </c>
      <c r="I1190" s="2">
        <f>XLOOKUP(B1190,Raw_Risk_Profiles!$A:$A,Raw_Risk_Profiles!$C:$C,"Missing")</f>
        <v/>
      </c>
      <c r="J1190" s="2">
        <f>XLOOKUP(B1190,Raw_Risk_Profiles!$A:$A,Raw_Risk_Profiles!$D:$D,"")</f>
        <v/>
      </c>
      <c r="K1190" s="2">
        <f>IFERROR(INDEX(Raw_Risk_Profiles!$E:$E,MATCH(B1190,Raw_Risk_Profiles!$A:$A,0)),"Unknown")</f>
        <v/>
      </c>
      <c r="L1190" s="2">
        <f>IFERROR(XLOOKUP(A1190,Raw_Alerts!$B:$B,Raw_Alerts!$A:$A),"No Alert")</f>
        <v/>
      </c>
      <c r="M1190" s="2">
        <f>IFERROR(XLOOKUP(A1190,Raw_Alerts!$B:$B,Raw_Alerts!$C:$C),"")</f>
        <v/>
      </c>
      <c r="N1190" s="2">
        <f>IFERROR(XLOOKUP(A1190,Raw_Alerts!$B:$B,Raw_Alerts!$D:$D),"")</f>
        <v/>
      </c>
      <c r="O1190" s="2">
        <f>IFERROR(XLOOKUP(A1190,Raw_Alerts!$B:$B,Raw_Alerts!$F:$F),"")</f>
        <v/>
      </c>
      <c r="P1190" s="2">
        <f>IF(H1190="Not Found","CRITICAL: No Risk Profile",IF(I1190="Missing","WARN: Missing KYC",IF(I1190="Expired","WARN: KYC Expired",IF(I1190="Pending","INFO: KYC Pending","OK"))))</f>
        <v/>
      </c>
    </row>
    <row r="1191">
      <c r="A1191" s="4">
        <f>Raw_Transactions!A1191</f>
        <v/>
      </c>
      <c r="B1191" s="4">
        <f>Raw_Transactions!B1191</f>
        <v/>
      </c>
      <c r="C1191" s="4">
        <f>Raw_Transactions!C1191</f>
        <v/>
      </c>
      <c r="D1191" s="5">
        <f>Raw_Transactions!D1191</f>
        <v/>
      </c>
      <c r="E1191" s="4">
        <f>Raw_Transactions!E1191</f>
        <v/>
      </c>
      <c r="F1191" s="4">
        <f>Raw_Transactions!F1191</f>
        <v/>
      </c>
      <c r="G1191" s="4">
        <f>Raw_Transactions!G1191</f>
        <v/>
      </c>
      <c r="H1191" s="4">
        <f>XLOOKUP(B1191,Raw_Risk_Profiles!$A:$A,Raw_Risk_Profiles!$B:$B,"Not Found")</f>
        <v/>
      </c>
      <c r="I1191" s="4">
        <f>XLOOKUP(B1191,Raw_Risk_Profiles!$A:$A,Raw_Risk_Profiles!$C:$C,"Missing")</f>
        <v/>
      </c>
      <c r="J1191" s="4">
        <f>XLOOKUP(B1191,Raw_Risk_Profiles!$A:$A,Raw_Risk_Profiles!$D:$D,"")</f>
        <v/>
      </c>
      <c r="K1191" s="4">
        <f>IFERROR(INDEX(Raw_Risk_Profiles!$E:$E,MATCH(B1191,Raw_Risk_Profiles!$A:$A,0)),"Unknown")</f>
        <v/>
      </c>
      <c r="L1191" s="4">
        <f>IFERROR(XLOOKUP(A1191,Raw_Alerts!$B:$B,Raw_Alerts!$A:$A),"No Alert")</f>
        <v/>
      </c>
      <c r="M1191" s="4">
        <f>IFERROR(XLOOKUP(A1191,Raw_Alerts!$B:$B,Raw_Alerts!$C:$C),"")</f>
        <v/>
      </c>
      <c r="N1191" s="4">
        <f>IFERROR(XLOOKUP(A1191,Raw_Alerts!$B:$B,Raw_Alerts!$D:$D),"")</f>
        <v/>
      </c>
      <c r="O1191" s="4">
        <f>IFERROR(XLOOKUP(A1191,Raw_Alerts!$B:$B,Raw_Alerts!$F:$F),"")</f>
        <v/>
      </c>
      <c r="P1191" s="4">
        <f>IF(H1191="Not Found","CRITICAL: No Risk Profile",IF(I1191="Missing","WARN: Missing KYC",IF(I1191="Expired","WARN: KYC Expired",IF(I1191="Pending","INFO: KYC Pending","OK"))))</f>
        <v/>
      </c>
    </row>
    <row r="1192">
      <c r="A1192" s="2">
        <f>Raw_Transactions!A1192</f>
        <v/>
      </c>
      <c r="B1192" s="2">
        <f>Raw_Transactions!B1192</f>
        <v/>
      </c>
      <c r="C1192" s="2">
        <f>Raw_Transactions!C1192</f>
        <v/>
      </c>
      <c r="D1192" s="3">
        <f>Raw_Transactions!D1192</f>
        <v/>
      </c>
      <c r="E1192" s="2">
        <f>Raw_Transactions!E1192</f>
        <v/>
      </c>
      <c r="F1192" s="2">
        <f>Raw_Transactions!F1192</f>
        <v/>
      </c>
      <c r="G1192" s="2">
        <f>Raw_Transactions!G1192</f>
        <v/>
      </c>
      <c r="H1192" s="2">
        <f>XLOOKUP(B1192,Raw_Risk_Profiles!$A:$A,Raw_Risk_Profiles!$B:$B,"Not Found")</f>
        <v/>
      </c>
      <c r="I1192" s="2">
        <f>XLOOKUP(B1192,Raw_Risk_Profiles!$A:$A,Raw_Risk_Profiles!$C:$C,"Missing")</f>
        <v/>
      </c>
      <c r="J1192" s="2">
        <f>XLOOKUP(B1192,Raw_Risk_Profiles!$A:$A,Raw_Risk_Profiles!$D:$D,"")</f>
        <v/>
      </c>
      <c r="K1192" s="2">
        <f>IFERROR(INDEX(Raw_Risk_Profiles!$E:$E,MATCH(B1192,Raw_Risk_Profiles!$A:$A,0)),"Unknown")</f>
        <v/>
      </c>
      <c r="L1192" s="2">
        <f>IFERROR(XLOOKUP(A1192,Raw_Alerts!$B:$B,Raw_Alerts!$A:$A),"No Alert")</f>
        <v/>
      </c>
      <c r="M1192" s="2">
        <f>IFERROR(XLOOKUP(A1192,Raw_Alerts!$B:$B,Raw_Alerts!$C:$C),"")</f>
        <v/>
      </c>
      <c r="N1192" s="2">
        <f>IFERROR(XLOOKUP(A1192,Raw_Alerts!$B:$B,Raw_Alerts!$D:$D),"")</f>
        <v/>
      </c>
      <c r="O1192" s="2">
        <f>IFERROR(XLOOKUP(A1192,Raw_Alerts!$B:$B,Raw_Alerts!$F:$F),"")</f>
        <v/>
      </c>
      <c r="P1192" s="2">
        <f>IF(H1192="Not Found","CRITICAL: No Risk Profile",IF(I1192="Missing","WARN: Missing KYC",IF(I1192="Expired","WARN: KYC Expired",IF(I1192="Pending","INFO: KYC Pending","OK"))))</f>
        <v/>
      </c>
    </row>
    <row r="1193">
      <c r="A1193" s="4">
        <f>Raw_Transactions!A1193</f>
        <v/>
      </c>
      <c r="B1193" s="4">
        <f>Raw_Transactions!B1193</f>
        <v/>
      </c>
      <c r="C1193" s="4">
        <f>Raw_Transactions!C1193</f>
        <v/>
      </c>
      <c r="D1193" s="5">
        <f>Raw_Transactions!D1193</f>
        <v/>
      </c>
      <c r="E1193" s="4">
        <f>Raw_Transactions!E1193</f>
        <v/>
      </c>
      <c r="F1193" s="4">
        <f>Raw_Transactions!F1193</f>
        <v/>
      </c>
      <c r="G1193" s="4">
        <f>Raw_Transactions!G1193</f>
        <v/>
      </c>
      <c r="H1193" s="4">
        <f>XLOOKUP(B1193,Raw_Risk_Profiles!$A:$A,Raw_Risk_Profiles!$B:$B,"Not Found")</f>
        <v/>
      </c>
      <c r="I1193" s="4">
        <f>XLOOKUP(B1193,Raw_Risk_Profiles!$A:$A,Raw_Risk_Profiles!$C:$C,"Missing")</f>
        <v/>
      </c>
      <c r="J1193" s="4">
        <f>XLOOKUP(B1193,Raw_Risk_Profiles!$A:$A,Raw_Risk_Profiles!$D:$D,"")</f>
        <v/>
      </c>
      <c r="K1193" s="4">
        <f>IFERROR(INDEX(Raw_Risk_Profiles!$E:$E,MATCH(B1193,Raw_Risk_Profiles!$A:$A,0)),"Unknown")</f>
        <v/>
      </c>
      <c r="L1193" s="4">
        <f>IFERROR(XLOOKUP(A1193,Raw_Alerts!$B:$B,Raw_Alerts!$A:$A),"No Alert")</f>
        <v/>
      </c>
      <c r="M1193" s="4">
        <f>IFERROR(XLOOKUP(A1193,Raw_Alerts!$B:$B,Raw_Alerts!$C:$C),"")</f>
        <v/>
      </c>
      <c r="N1193" s="4">
        <f>IFERROR(XLOOKUP(A1193,Raw_Alerts!$B:$B,Raw_Alerts!$D:$D),"")</f>
        <v/>
      </c>
      <c r="O1193" s="4">
        <f>IFERROR(XLOOKUP(A1193,Raw_Alerts!$B:$B,Raw_Alerts!$F:$F),"")</f>
        <v/>
      </c>
      <c r="P1193" s="4">
        <f>IF(H1193="Not Found","CRITICAL: No Risk Profile",IF(I1193="Missing","WARN: Missing KYC",IF(I1193="Expired","WARN: KYC Expired",IF(I1193="Pending","INFO: KYC Pending","OK"))))</f>
        <v/>
      </c>
    </row>
    <row r="1194">
      <c r="A1194" s="2">
        <f>Raw_Transactions!A1194</f>
        <v/>
      </c>
      <c r="B1194" s="2">
        <f>Raw_Transactions!B1194</f>
        <v/>
      </c>
      <c r="C1194" s="2">
        <f>Raw_Transactions!C1194</f>
        <v/>
      </c>
      <c r="D1194" s="3">
        <f>Raw_Transactions!D1194</f>
        <v/>
      </c>
      <c r="E1194" s="2">
        <f>Raw_Transactions!E1194</f>
        <v/>
      </c>
      <c r="F1194" s="2">
        <f>Raw_Transactions!F1194</f>
        <v/>
      </c>
      <c r="G1194" s="2">
        <f>Raw_Transactions!G1194</f>
        <v/>
      </c>
      <c r="H1194" s="2">
        <f>XLOOKUP(B1194,Raw_Risk_Profiles!$A:$A,Raw_Risk_Profiles!$B:$B,"Not Found")</f>
        <v/>
      </c>
      <c r="I1194" s="2">
        <f>XLOOKUP(B1194,Raw_Risk_Profiles!$A:$A,Raw_Risk_Profiles!$C:$C,"Missing")</f>
        <v/>
      </c>
      <c r="J1194" s="2">
        <f>XLOOKUP(B1194,Raw_Risk_Profiles!$A:$A,Raw_Risk_Profiles!$D:$D,"")</f>
        <v/>
      </c>
      <c r="K1194" s="2">
        <f>IFERROR(INDEX(Raw_Risk_Profiles!$E:$E,MATCH(B1194,Raw_Risk_Profiles!$A:$A,0)),"Unknown")</f>
        <v/>
      </c>
      <c r="L1194" s="2">
        <f>IFERROR(XLOOKUP(A1194,Raw_Alerts!$B:$B,Raw_Alerts!$A:$A),"No Alert")</f>
        <v/>
      </c>
      <c r="M1194" s="2">
        <f>IFERROR(XLOOKUP(A1194,Raw_Alerts!$B:$B,Raw_Alerts!$C:$C),"")</f>
        <v/>
      </c>
      <c r="N1194" s="2">
        <f>IFERROR(XLOOKUP(A1194,Raw_Alerts!$B:$B,Raw_Alerts!$D:$D),"")</f>
        <v/>
      </c>
      <c r="O1194" s="2">
        <f>IFERROR(XLOOKUP(A1194,Raw_Alerts!$B:$B,Raw_Alerts!$F:$F),"")</f>
        <v/>
      </c>
      <c r="P1194" s="2">
        <f>IF(H1194="Not Found","CRITICAL: No Risk Profile",IF(I1194="Missing","WARN: Missing KYC",IF(I1194="Expired","WARN: KYC Expired",IF(I1194="Pending","INFO: KYC Pending","OK"))))</f>
        <v/>
      </c>
    </row>
    <row r="1195">
      <c r="A1195" s="4">
        <f>Raw_Transactions!A1195</f>
        <v/>
      </c>
      <c r="B1195" s="4">
        <f>Raw_Transactions!B1195</f>
        <v/>
      </c>
      <c r="C1195" s="4">
        <f>Raw_Transactions!C1195</f>
        <v/>
      </c>
      <c r="D1195" s="5">
        <f>Raw_Transactions!D1195</f>
        <v/>
      </c>
      <c r="E1195" s="4">
        <f>Raw_Transactions!E1195</f>
        <v/>
      </c>
      <c r="F1195" s="4">
        <f>Raw_Transactions!F1195</f>
        <v/>
      </c>
      <c r="G1195" s="4">
        <f>Raw_Transactions!G1195</f>
        <v/>
      </c>
      <c r="H1195" s="4">
        <f>XLOOKUP(B1195,Raw_Risk_Profiles!$A:$A,Raw_Risk_Profiles!$B:$B,"Not Found")</f>
        <v/>
      </c>
      <c r="I1195" s="4">
        <f>XLOOKUP(B1195,Raw_Risk_Profiles!$A:$A,Raw_Risk_Profiles!$C:$C,"Missing")</f>
        <v/>
      </c>
      <c r="J1195" s="4">
        <f>XLOOKUP(B1195,Raw_Risk_Profiles!$A:$A,Raw_Risk_Profiles!$D:$D,"")</f>
        <v/>
      </c>
      <c r="K1195" s="4">
        <f>IFERROR(INDEX(Raw_Risk_Profiles!$E:$E,MATCH(B1195,Raw_Risk_Profiles!$A:$A,0)),"Unknown")</f>
        <v/>
      </c>
      <c r="L1195" s="4">
        <f>IFERROR(XLOOKUP(A1195,Raw_Alerts!$B:$B,Raw_Alerts!$A:$A),"No Alert")</f>
        <v/>
      </c>
      <c r="M1195" s="4">
        <f>IFERROR(XLOOKUP(A1195,Raw_Alerts!$B:$B,Raw_Alerts!$C:$C),"")</f>
        <v/>
      </c>
      <c r="N1195" s="4">
        <f>IFERROR(XLOOKUP(A1195,Raw_Alerts!$B:$B,Raw_Alerts!$D:$D),"")</f>
        <v/>
      </c>
      <c r="O1195" s="4">
        <f>IFERROR(XLOOKUP(A1195,Raw_Alerts!$B:$B,Raw_Alerts!$F:$F),"")</f>
        <v/>
      </c>
      <c r="P1195" s="4">
        <f>IF(H1195="Not Found","CRITICAL: No Risk Profile",IF(I1195="Missing","WARN: Missing KYC",IF(I1195="Expired","WARN: KYC Expired",IF(I1195="Pending","INFO: KYC Pending","OK"))))</f>
        <v/>
      </c>
    </row>
    <row r="1196">
      <c r="A1196" s="2">
        <f>Raw_Transactions!A1196</f>
        <v/>
      </c>
      <c r="B1196" s="2">
        <f>Raw_Transactions!B1196</f>
        <v/>
      </c>
      <c r="C1196" s="2">
        <f>Raw_Transactions!C1196</f>
        <v/>
      </c>
      <c r="D1196" s="3">
        <f>Raw_Transactions!D1196</f>
        <v/>
      </c>
      <c r="E1196" s="2">
        <f>Raw_Transactions!E1196</f>
        <v/>
      </c>
      <c r="F1196" s="2">
        <f>Raw_Transactions!F1196</f>
        <v/>
      </c>
      <c r="G1196" s="2">
        <f>Raw_Transactions!G1196</f>
        <v/>
      </c>
      <c r="H1196" s="2">
        <f>XLOOKUP(B1196,Raw_Risk_Profiles!$A:$A,Raw_Risk_Profiles!$B:$B,"Not Found")</f>
        <v/>
      </c>
      <c r="I1196" s="2">
        <f>XLOOKUP(B1196,Raw_Risk_Profiles!$A:$A,Raw_Risk_Profiles!$C:$C,"Missing")</f>
        <v/>
      </c>
      <c r="J1196" s="2">
        <f>XLOOKUP(B1196,Raw_Risk_Profiles!$A:$A,Raw_Risk_Profiles!$D:$D,"")</f>
        <v/>
      </c>
      <c r="K1196" s="2">
        <f>IFERROR(INDEX(Raw_Risk_Profiles!$E:$E,MATCH(B1196,Raw_Risk_Profiles!$A:$A,0)),"Unknown")</f>
        <v/>
      </c>
      <c r="L1196" s="2">
        <f>IFERROR(XLOOKUP(A1196,Raw_Alerts!$B:$B,Raw_Alerts!$A:$A),"No Alert")</f>
        <v/>
      </c>
      <c r="M1196" s="2">
        <f>IFERROR(XLOOKUP(A1196,Raw_Alerts!$B:$B,Raw_Alerts!$C:$C),"")</f>
        <v/>
      </c>
      <c r="N1196" s="2">
        <f>IFERROR(XLOOKUP(A1196,Raw_Alerts!$B:$B,Raw_Alerts!$D:$D),"")</f>
        <v/>
      </c>
      <c r="O1196" s="2">
        <f>IFERROR(XLOOKUP(A1196,Raw_Alerts!$B:$B,Raw_Alerts!$F:$F),"")</f>
        <v/>
      </c>
      <c r="P1196" s="2">
        <f>IF(H1196="Not Found","CRITICAL: No Risk Profile",IF(I1196="Missing","WARN: Missing KYC",IF(I1196="Expired","WARN: KYC Expired",IF(I1196="Pending","INFO: KYC Pending","OK"))))</f>
        <v/>
      </c>
    </row>
    <row r="1197">
      <c r="A1197" s="4">
        <f>Raw_Transactions!A1197</f>
        <v/>
      </c>
      <c r="B1197" s="4">
        <f>Raw_Transactions!B1197</f>
        <v/>
      </c>
      <c r="C1197" s="4">
        <f>Raw_Transactions!C1197</f>
        <v/>
      </c>
      <c r="D1197" s="5">
        <f>Raw_Transactions!D1197</f>
        <v/>
      </c>
      <c r="E1197" s="4">
        <f>Raw_Transactions!E1197</f>
        <v/>
      </c>
      <c r="F1197" s="4">
        <f>Raw_Transactions!F1197</f>
        <v/>
      </c>
      <c r="G1197" s="4">
        <f>Raw_Transactions!G1197</f>
        <v/>
      </c>
      <c r="H1197" s="4">
        <f>XLOOKUP(B1197,Raw_Risk_Profiles!$A:$A,Raw_Risk_Profiles!$B:$B,"Not Found")</f>
        <v/>
      </c>
      <c r="I1197" s="4">
        <f>XLOOKUP(B1197,Raw_Risk_Profiles!$A:$A,Raw_Risk_Profiles!$C:$C,"Missing")</f>
        <v/>
      </c>
      <c r="J1197" s="4">
        <f>XLOOKUP(B1197,Raw_Risk_Profiles!$A:$A,Raw_Risk_Profiles!$D:$D,"")</f>
        <v/>
      </c>
      <c r="K1197" s="4">
        <f>IFERROR(INDEX(Raw_Risk_Profiles!$E:$E,MATCH(B1197,Raw_Risk_Profiles!$A:$A,0)),"Unknown")</f>
        <v/>
      </c>
      <c r="L1197" s="4">
        <f>IFERROR(XLOOKUP(A1197,Raw_Alerts!$B:$B,Raw_Alerts!$A:$A),"No Alert")</f>
        <v/>
      </c>
      <c r="M1197" s="4">
        <f>IFERROR(XLOOKUP(A1197,Raw_Alerts!$B:$B,Raw_Alerts!$C:$C),"")</f>
        <v/>
      </c>
      <c r="N1197" s="4">
        <f>IFERROR(XLOOKUP(A1197,Raw_Alerts!$B:$B,Raw_Alerts!$D:$D),"")</f>
        <v/>
      </c>
      <c r="O1197" s="4">
        <f>IFERROR(XLOOKUP(A1197,Raw_Alerts!$B:$B,Raw_Alerts!$F:$F),"")</f>
        <v/>
      </c>
      <c r="P1197" s="4">
        <f>IF(H1197="Not Found","CRITICAL: No Risk Profile",IF(I1197="Missing","WARN: Missing KYC",IF(I1197="Expired","WARN: KYC Expired",IF(I1197="Pending","INFO: KYC Pending","OK"))))</f>
        <v/>
      </c>
    </row>
    <row r="1198">
      <c r="A1198" s="2">
        <f>Raw_Transactions!A1198</f>
        <v/>
      </c>
      <c r="B1198" s="2">
        <f>Raw_Transactions!B1198</f>
        <v/>
      </c>
      <c r="C1198" s="2">
        <f>Raw_Transactions!C1198</f>
        <v/>
      </c>
      <c r="D1198" s="3">
        <f>Raw_Transactions!D1198</f>
        <v/>
      </c>
      <c r="E1198" s="2">
        <f>Raw_Transactions!E1198</f>
        <v/>
      </c>
      <c r="F1198" s="2">
        <f>Raw_Transactions!F1198</f>
        <v/>
      </c>
      <c r="G1198" s="2">
        <f>Raw_Transactions!G1198</f>
        <v/>
      </c>
      <c r="H1198" s="2">
        <f>XLOOKUP(B1198,Raw_Risk_Profiles!$A:$A,Raw_Risk_Profiles!$B:$B,"Not Found")</f>
        <v/>
      </c>
      <c r="I1198" s="2">
        <f>XLOOKUP(B1198,Raw_Risk_Profiles!$A:$A,Raw_Risk_Profiles!$C:$C,"Missing")</f>
        <v/>
      </c>
      <c r="J1198" s="2">
        <f>XLOOKUP(B1198,Raw_Risk_Profiles!$A:$A,Raw_Risk_Profiles!$D:$D,"")</f>
        <v/>
      </c>
      <c r="K1198" s="2">
        <f>IFERROR(INDEX(Raw_Risk_Profiles!$E:$E,MATCH(B1198,Raw_Risk_Profiles!$A:$A,0)),"Unknown")</f>
        <v/>
      </c>
      <c r="L1198" s="2">
        <f>IFERROR(XLOOKUP(A1198,Raw_Alerts!$B:$B,Raw_Alerts!$A:$A),"No Alert")</f>
        <v/>
      </c>
      <c r="M1198" s="2">
        <f>IFERROR(XLOOKUP(A1198,Raw_Alerts!$B:$B,Raw_Alerts!$C:$C),"")</f>
        <v/>
      </c>
      <c r="N1198" s="2">
        <f>IFERROR(XLOOKUP(A1198,Raw_Alerts!$B:$B,Raw_Alerts!$D:$D),"")</f>
        <v/>
      </c>
      <c r="O1198" s="2">
        <f>IFERROR(XLOOKUP(A1198,Raw_Alerts!$B:$B,Raw_Alerts!$F:$F),"")</f>
        <v/>
      </c>
      <c r="P1198" s="2">
        <f>IF(H1198="Not Found","CRITICAL: No Risk Profile",IF(I1198="Missing","WARN: Missing KYC",IF(I1198="Expired","WARN: KYC Expired",IF(I1198="Pending","INFO: KYC Pending","OK"))))</f>
        <v/>
      </c>
    </row>
    <row r="1199">
      <c r="A1199" s="4">
        <f>Raw_Transactions!A1199</f>
        <v/>
      </c>
      <c r="B1199" s="4">
        <f>Raw_Transactions!B1199</f>
        <v/>
      </c>
      <c r="C1199" s="4">
        <f>Raw_Transactions!C1199</f>
        <v/>
      </c>
      <c r="D1199" s="5">
        <f>Raw_Transactions!D1199</f>
        <v/>
      </c>
      <c r="E1199" s="4">
        <f>Raw_Transactions!E1199</f>
        <v/>
      </c>
      <c r="F1199" s="4">
        <f>Raw_Transactions!F1199</f>
        <v/>
      </c>
      <c r="G1199" s="4">
        <f>Raw_Transactions!G1199</f>
        <v/>
      </c>
      <c r="H1199" s="4">
        <f>XLOOKUP(B1199,Raw_Risk_Profiles!$A:$A,Raw_Risk_Profiles!$B:$B,"Not Found")</f>
        <v/>
      </c>
      <c r="I1199" s="4">
        <f>XLOOKUP(B1199,Raw_Risk_Profiles!$A:$A,Raw_Risk_Profiles!$C:$C,"Missing")</f>
        <v/>
      </c>
      <c r="J1199" s="4">
        <f>XLOOKUP(B1199,Raw_Risk_Profiles!$A:$A,Raw_Risk_Profiles!$D:$D,"")</f>
        <v/>
      </c>
      <c r="K1199" s="4">
        <f>IFERROR(INDEX(Raw_Risk_Profiles!$E:$E,MATCH(B1199,Raw_Risk_Profiles!$A:$A,0)),"Unknown")</f>
        <v/>
      </c>
      <c r="L1199" s="4">
        <f>IFERROR(XLOOKUP(A1199,Raw_Alerts!$B:$B,Raw_Alerts!$A:$A),"No Alert")</f>
        <v/>
      </c>
      <c r="M1199" s="4">
        <f>IFERROR(XLOOKUP(A1199,Raw_Alerts!$B:$B,Raw_Alerts!$C:$C),"")</f>
        <v/>
      </c>
      <c r="N1199" s="4">
        <f>IFERROR(XLOOKUP(A1199,Raw_Alerts!$B:$B,Raw_Alerts!$D:$D),"")</f>
        <v/>
      </c>
      <c r="O1199" s="4">
        <f>IFERROR(XLOOKUP(A1199,Raw_Alerts!$B:$B,Raw_Alerts!$F:$F),"")</f>
        <v/>
      </c>
      <c r="P1199" s="4">
        <f>IF(H1199="Not Found","CRITICAL: No Risk Profile",IF(I1199="Missing","WARN: Missing KYC",IF(I1199="Expired","WARN: KYC Expired",IF(I1199="Pending","INFO: KYC Pending","OK"))))</f>
        <v/>
      </c>
    </row>
    <row r="1200">
      <c r="A1200" s="2">
        <f>Raw_Transactions!A1200</f>
        <v/>
      </c>
      <c r="B1200" s="2">
        <f>Raw_Transactions!B1200</f>
        <v/>
      </c>
      <c r="C1200" s="2">
        <f>Raw_Transactions!C1200</f>
        <v/>
      </c>
      <c r="D1200" s="3">
        <f>Raw_Transactions!D1200</f>
        <v/>
      </c>
      <c r="E1200" s="2">
        <f>Raw_Transactions!E1200</f>
        <v/>
      </c>
      <c r="F1200" s="2">
        <f>Raw_Transactions!F1200</f>
        <v/>
      </c>
      <c r="G1200" s="2">
        <f>Raw_Transactions!G1200</f>
        <v/>
      </c>
      <c r="H1200" s="2">
        <f>XLOOKUP(B1200,Raw_Risk_Profiles!$A:$A,Raw_Risk_Profiles!$B:$B,"Not Found")</f>
        <v/>
      </c>
      <c r="I1200" s="2">
        <f>XLOOKUP(B1200,Raw_Risk_Profiles!$A:$A,Raw_Risk_Profiles!$C:$C,"Missing")</f>
        <v/>
      </c>
      <c r="J1200" s="2">
        <f>XLOOKUP(B1200,Raw_Risk_Profiles!$A:$A,Raw_Risk_Profiles!$D:$D,"")</f>
        <v/>
      </c>
      <c r="K1200" s="2">
        <f>IFERROR(INDEX(Raw_Risk_Profiles!$E:$E,MATCH(B1200,Raw_Risk_Profiles!$A:$A,0)),"Unknown")</f>
        <v/>
      </c>
      <c r="L1200" s="2">
        <f>IFERROR(XLOOKUP(A1200,Raw_Alerts!$B:$B,Raw_Alerts!$A:$A),"No Alert")</f>
        <v/>
      </c>
      <c r="M1200" s="2">
        <f>IFERROR(XLOOKUP(A1200,Raw_Alerts!$B:$B,Raw_Alerts!$C:$C),"")</f>
        <v/>
      </c>
      <c r="N1200" s="2">
        <f>IFERROR(XLOOKUP(A1200,Raw_Alerts!$B:$B,Raw_Alerts!$D:$D),"")</f>
        <v/>
      </c>
      <c r="O1200" s="2">
        <f>IFERROR(XLOOKUP(A1200,Raw_Alerts!$B:$B,Raw_Alerts!$F:$F),"")</f>
        <v/>
      </c>
      <c r="P1200" s="2">
        <f>IF(H1200="Not Found","CRITICAL: No Risk Profile",IF(I1200="Missing","WARN: Missing KYC",IF(I1200="Expired","WARN: KYC Expired",IF(I1200="Pending","INFO: KYC Pending","OK"))))</f>
        <v/>
      </c>
    </row>
    <row r="1201">
      <c r="A1201" s="4">
        <f>Raw_Transactions!A1201</f>
        <v/>
      </c>
      <c r="B1201" s="4">
        <f>Raw_Transactions!B1201</f>
        <v/>
      </c>
      <c r="C1201" s="4">
        <f>Raw_Transactions!C1201</f>
        <v/>
      </c>
      <c r="D1201" s="5">
        <f>Raw_Transactions!D1201</f>
        <v/>
      </c>
      <c r="E1201" s="4">
        <f>Raw_Transactions!E1201</f>
        <v/>
      </c>
      <c r="F1201" s="4">
        <f>Raw_Transactions!F1201</f>
        <v/>
      </c>
      <c r="G1201" s="4">
        <f>Raw_Transactions!G1201</f>
        <v/>
      </c>
      <c r="H1201" s="4">
        <f>XLOOKUP(B1201,Raw_Risk_Profiles!$A:$A,Raw_Risk_Profiles!$B:$B,"Not Found")</f>
        <v/>
      </c>
      <c r="I1201" s="4">
        <f>XLOOKUP(B1201,Raw_Risk_Profiles!$A:$A,Raw_Risk_Profiles!$C:$C,"Missing")</f>
        <v/>
      </c>
      <c r="J1201" s="4">
        <f>XLOOKUP(B1201,Raw_Risk_Profiles!$A:$A,Raw_Risk_Profiles!$D:$D,"")</f>
        <v/>
      </c>
      <c r="K1201" s="4">
        <f>IFERROR(INDEX(Raw_Risk_Profiles!$E:$E,MATCH(B1201,Raw_Risk_Profiles!$A:$A,0)),"Unknown")</f>
        <v/>
      </c>
      <c r="L1201" s="4">
        <f>IFERROR(XLOOKUP(A1201,Raw_Alerts!$B:$B,Raw_Alerts!$A:$A),"No Alert")</f>
        <v/>
      </c>
      <c r="M1201" s="4">
        <f>IFERROR(XLOOKUP(A1201,Raw_Alerts!$B:$B,Raw_Alerts!$C:$C),"")</f>
        <v/>
      </c>
      <c r="N1201" s="4">
        <f>IFERROR(XLOOKUP(A1201,Raw_Alerts!$B:$B,Raw_Alerts!$D:$D),"")</f>
        <v/>
      </c>
      <c r="O1201" s="4">
        <f>IFERROR(XLOOKUP(A1201,Raw_Alerts!$B:$B,Raw_Alerts!$F:$F),"")</f>
        <v/>
      </c>
      <c r="P1201" s="4">
        <f>IF(H1201="Not Found","CRITICAL: No Risk Profile",IF(I1201="Missing","WARN: Missing KYC",IF(I1201="Expired","WARN: KYC Expired",IF(I1201="Pending","INFO: KYC Pending","OK"))))</f>
        <v/>
      </c>
    </row>
    <row r="1202">
      <c r="A1202" s="2">
        <f>Raw_Transactions!A1202</f>
        <v/>
      </c>
      <c r="B1202" s="2">
        <f>Raw_Transactions!B1202</f>
        <v/>
      </c>
      <c r="C1202" s="2">
        <f>Raw_Transactions!C1202</f>
        <v/>
      </c>
      <c r="D1202" s="3">
        <f>Raw_Transactions!D1202</f>
        <v/>
      </c>
      <c r="E1202" s="2">
        <f>Raw_Transactions!E1202</f>
        <v/>
      </c>
      <c r="F1202" s="2">
        <f>Raw_Transactions!F1202</f>
        <v/>
      </c>
      <c r="G1202" s="2">
        <f>Raw_Transactions!G1202</f>
        <v/>
      </c>
      <c r="H1202" s="2">
        <f>XLOOKUP(B1202,Raw_Risk_Profiles!$A:$A,Raw_Risk_Profiles!$B:$B,"Not Found")</f>
        <v/>
      </c>
      <c r="I1202" s="2">
        <f>XLOOKUP(B1202,Raw_Risk_Profiles!$A:$A,Raw_Risk_Profiles!$C:$C,"Missing")</f>
        <v/>
      </c>
      <c r="J1202" s="2">
        <f>XLOOKUP(B1202,Raw_Risk_Profiles!$A:$A,Raw_Risk_Profiles!$D:$D,"")</f>
        <v/>
      </c>
      <c r="K1202" s="2">
        <f>IFERROR(INDEX(Raw_Risk_Profiles!$E:$E,MATCH(B1202,Raw_Risk_Profiles!$A:$A,0)),"Unknown")</f>
        <v/>
      </c>
      <c r="L1202" s="2">
        <f>IFERROR(XLOOKUP(A1202,Raw_Alerts!$B:$B,Raw_Alerts!$A:$A),"No Alert")</f>
        <v/>
      </c>
      <c r="M1202" s="2">
        <f>IFERROR(XLOOKUP(A1202,Raw_Alerts!$B:$B,Raw_Alerts!$C:$C),"")</f>
        <v/>
      </c>
      <c r="N1202" s="2">
        <f>IFERROR(XLOOKUP(A1202,Raw_Alerts!$B:$B,Raw_Alerts!$D:$D),"")</f>
        <v/>
      </c>
      <c r="O1202" s="2">
        <f>IFERROR(XLOOKUP(A1202,Raw_Alerts!$B:$B,Raw_Alerts!$F:$F),"")</f>
        <v/>
      </c>
      <c r="P1202" s="2">
        <f>IF(H1202="Not Found","CRITICAL: No Risk Profile",IF(I1202="Missing","WARN: Missing KYC",IF(I1202="Expired","WARN: KYC Expired",IF(I1202="Pending","INFO: KYC Pending","OK"))))</f>
        <v/>
      </c>
    </row>
    <row r="1203">
      <c r="A1203" s="4">
        <f>Raw_Transactions!A1203</f>
        <v/>
      </c>
      <c r="B1203" s="4">
        <f>Raw_Transactions!B1203</f>
        <v/>
      </c>
      <c r="C1203" s="4">
        <f>Raw_Transactions!C1203</f>
        <v/>
      </c>
      <c r="D1203" s="5">
        <f>Raw_Transactions!D1203</f>
        <v/>
      </c>
      <c r="E1203" s="4">
        <f>Raw_Transactions!E1203</f>
        <v/>
      </c>
      <c r="F1203" s="4">
        <f>Raw_Transactions!F1203</f>
        <v/>
      </c>
      <c r="G1203" s="4">
        <f>Raw_Transactions!G1203</f>
        <v/>
      </c>
      <c r="H1203" s="4">
        <f>XLOOKUP(B1203,Raw_Risk_Profiles!$A:$A,Raw_Risk_Profiles!$B:$B,"Not Found")</f>
        <v/>
      </c>
      <c r="I1203" s="4">
        <f>XLOOKUP(B1203,Raw_Risk_Profiles!$A:$A,Raw_Risk_Profiles!$C:$C,"Missing")</f>
        <v/>
      </c>
      <c r="J1203" s="4">
        <f>XLOOKUP(B1203,Raw_Risk_Profiles!$A:$A,Raw_Risk_Profiles!$D:$D,"")</f>
        <v/>
      </c>
      <c r="K1203" s="4">
        <f>IFERROR(INDEX(Raw_Risk_Profiles!$E:$E,MATCH(B1203,Raw_Risk_Profiles!$A:$A,0)),"Unknown")</f>
        <v/>
      </c>
      <c r="L1203" s="4">
        <f>IFERROR(XLOOKUP(A1203,Raw_Alerts!$B:$B,Raw_Alerts!$A:$A),"No Alert")</f>
        <v/>
      </c>
      <c r="M1203" s="4">
        <f>IFERROR(XLOOKUP(A1203,Raw_Alerts!$B:$B,Raw_Alerts!$C:$C),"")</f>
        <v/>
      </c>
      <c r="N1203" s="4">
        <f>IFERROR(XLOOKUP(A1203,Raw_Alerts!$B:$B,Raw_Alerts!$D:$D),"")</f>
        <v/>
      </c>
      <c r="O1203" s="4">
        <f>IFERROR(XLOOKUP(A1203,Raw_Alerts!$B:$B,Raw_Alerts!$F:$F),"")</f>
        <v/>
      </c>
      <c r="P1203" s="4">
        <f>IF(H1203="Not Found","CRITICAL: No Risk Profile",IF(I1203="Missing","WARN: Missing KYC",IF(I1203="Expired","WARN: KYC Expired",IF(I1203="Pending","INFO: KYC Pending","OK"))))</f>
        <v/>
      </c>
    </row>
    <row r="1204">
      <c r="A1204" s="2">
        <f>Raw_Transactions!A1204</f>
        <v/>
      </c>
      <c r="B1204" s="2">
        <f>Raw_Transactions!B1204</f>
        <v/>
      </c>
      <c r="C1204" s="2">
        <f>Raw_Transactions!C1204</f>
        <v/>
      </c>
      <c r="D1204" s="3">
        <f>Raw_Transactions!D1204</f>
        <v/>
      </c>
      <c r="E1204" s="2">
        <f>Raw_Transactions!E1204</f>
        <v/>
      </c>
      <c r="F1204" s="2">
        <f>Raw_Transactions!F1204</f>
        <v/>
      </c>
      <c r="G1204" s="2">
        <f>Raw_Transactions!G1204</f>
        <v/>
      </c>
      <c r="H1204" s="2">
        <f>XLOOKUP(B1204,Raw_Risk_Profiles!$A:$A,Raw_Risk_Profiles!$B:$B,"Not Found")</f>
        <v/>
      </c>
      <c r="I1204" s="2">
        <f>XLOOKUP(B1204,Raw_Risk_Profiles!$A:$A,Raw_Risk_Profiles!$C:$C,"Missing")</f>
        <v/>
      </c>
      <c r="J1204" s="2">
        <f>XLOOKUP(B1204,Raw_Risk_Profiles!$A:$A,Raw_Risk_Profiles!$D:$D,"")</f>
        <v/>
      </c>
      <c r="K1204" s="2">
        <f>IFERROR(INDEX(Raw_Risk_Profiles!$E:$E,MATCH(B1204,Raw_Risk_Profiles!$A:$A,0)),"Unknown")</f>
        <v/>
      </c>
      <c r="L1204" s="2">
        <f>IFERROR(XLOOKUP(A1204,Raw_Alerts!$B:$B,Raw_Alerts!$A:$A),"No Alert")</f>
        <v/>
      </c>
      <c r="M1204" s="2">
        <f>IFERROR(XLOOKUP(A1204,Raw_Alerts!$B:$B,Raw_Alerts!$C:$C),"")</f>
        <v/>
      </c>
      <c r="N1204" s="2">
        <f>IFERROR(XLOOKUP(A1204,Raw_Alerts!$B:$B,Raw_Alerts!$D:$D),"")</f>
        <v/>
      </c>
      <c r="O1204" s="2">
        <f>IFERROR(XLOOKUP(A1204,Raw_Alerts!$B:$B,Raw_Alerts!$F:$F),"")</f>
        <v/>
      </c>
      <c r="P1204" s="2">
        <f>IF(H1204="Not Found","CRITICAL: No Risk Profile",IF(I1204="Missing","WARN: Missing KYC",IF(I1204="Expired","WARN: KYC Expired",IF(I1204="Pending","INFO: KYC Pending","OK"))))</f>
        <v/>
      </c>
    </row>
    <row r="1205">
      <c r="A1205" s="4">
        <f>Raw_Transactions!A1205</f>
        <v/>
      </c>
      <c r="B1205" s="4">
        <f>Raw_Transactions!B1205</f>
        <v/>
      </c>
      <c r="C1205" s="4">
        <f>Raw_Transactions!C1205</f>
        <v/>
      </c>
      <c r="D1205" s="5">
        <f>Raw_Transactions!D1205</f>
        <v/>
      </c>
      <c r="E1205" s="4">
        <f>Raw_Transactions!E1205</f>
        <v/>
      </c>
      <c r="F1205" s="4">
        <f>Raw_Transactions!F1205</f>
        <v/>
      </c>
      <c r="G1205" s="4">
        <f>Raw_Transactions!G1205</f>
        <v/>
      </c>
      <c r="H1205" s="4">
        <f>XLOOKUP(B1205,Raw_Risk_Profiles!$A:$A,Raw_Risk_Profiles!$B:$B,"Not Found")</f>
        <v/>
      </c>
      <c r="I1205" s="4">
        <f>XLOOKUP(B1205,Raw_Risk_Profiles!$A:$A,Raw_Risk_Profiles!$C:$C,"Missing")</f>
        <v/>
      </c>
      <c r="J1205" s="4">
        <f>XLOOKUP(B1205,Raw_Risk_Profiles!$A:$A,Raw_Risk_Profiles!$D:$D,"")</f>
        <v/>
      </c>
      <c r="K1205" s="4">
        <f>IFERROR(INDEX(Raw_Risk_Profiles!$E:$E,MATCH(B1205,Raw_Risk_Profiles!$A:$A,0)),"Unknown")</f>
        <v/>
      </c>
      <c r="L1205" s="4">
        <f>IFERROR(XLOOKUP(A1205,Raw_Alerts!$B:$B,Raw_Alerts!$A:$A),"No Alert")</f>
        <v/>
      </c>
      <c r="M1205" s="4">
        <f>IFERROR(XLOOKUP(A1205,Raw_Alerts!$B:$B,Raw_Alerts!$C:$C),"")</f>
        <v/>
      </c>
      <c r="N1205" s="4">
        <f>IFERROR(XLOOKUP(A1205,Raw_Alerts!$B:$B,Raw_Alerts!$D:$D),"")</f>
        <v/>
      </c>
      <c r="O1205" s="4">
        <f>IFERROR(XLOOKUP(A1205,Raw_Alerts!$B:$B,Raw_Alerts!$F:$F),"")</f>
        <v/>
      </c>
      <c r="P1205" s="4">
        <f>IF(H1205="Not Found","CRITICAL: No Risk Profile",IF(I1205="Missing","WARN: Missing KYC",IF(I1205="Expired","WARN: KYC Expired",IF(I1205="Pending","INFO: KYC Pending","OK"))))</f>
        <v/>
      </c>
    </row>
    <row r="1206">
      <c r="A1206" s="2">
        <f>Raw_Transactions!A1206</f>
        <v/>
      </c>
      <c r="B1206" s="2">
        <f>Raw_Transactions!B1206</f>
        <v/>
      </c>
      <c r="C1206" s="2">
        <f>Raw_Transactions!C1206</f>
        <v/>
      </c>
      <c r="D1206" s="3">
        <f>Raw_Transactions!D1206</f>
        <v/>
      </c>
      <c r="E1206" s="2">
        <f>Raw_Transactions!E1206</f>
        <v/>
      </c>
      <c r="F1206" s="2">
        <f>Raw_Transactions!F1206</f>
        <v/>
      </c>
      <c r="G1206" s="2">
        <f>Raw_Transactions!G1206</f>
        <v/>
      </c>
      <c r="H1206" s="2">
        <f>XLOOKUP(B1206,Raw_Risk_Profiles!$A:$A,Raw_Risk_Profiles!$B:$B,"Not Found")</f>
        <v/>
      </c>
      <c r="I1206" s="2">
        <f>XLOOKUP(B1206,Raw_Risk_Profiles!$A:$A,Raw_Risk_Profiles!$C:$C,"Missing")</f>
        <v/>
      </c>
      <c r="J1206" s="2">
        <f>XLOOKUP(B1206,Raw_Risk_Profiles!$A:$A,Raw_Risk_Profiles!$D:$D,"")</f>
        <v/>
      </c>
      <c r="K1206" s="2">
        <f>IFERROR(INDEX(Raw_Risk_Profiles!$E:$E,MATCH(B1206,Raw_Risk_Profiles!$A:$A,0)),"Unknown")</f>
        <v/>
      </c>
      <c r="L1206" s="2">
        <f>IFERROR(XLOOKUP(A1206,Raw_Alerts!$B:$B,Raw_Alerts!$A:$A),"No Alert")</f>
        <v/>
      </c>
      <c r="M1206" s="2">
        <f>IFERROR(XLOOKUP(A1206,Raw_Alerts!$B:$B,Raw_Alerts!$C:$C),"")</f>
        <v/>
      </c>
      <c r="N1206" s="2">
        <f>IFERROR(XLOOKUP(A1206,Raw_Alerts!$B:$B,Raw_Alerts!$D:$D),"")</f>
        <v/>
      </c>
      <c r="O1206" s="2">
        <f>IFERROR(XLOOKUP(A1206,Raw_Alerts!$B:$B,Raw_Alerts!$F:$F),"")</f>
        <v/>
      </c>
      <c r="P1206" s="2">
        <f>IF(H1206="Not Found","CRITICAL: No Risk Profile",IF(I1206="Missing","WARN: Missing KYC",IF(I1206="Expired","WARN: KYC Expired",IF(I1206="Pending","INFO: KYC Pending","OK"))))</f>
        <v/>
      </c>
    </row>
    <row r="1207">
      <c r="A1207" s="4">
        <f>Raw_Transactions!A1207</f>
        <v/>
      </c>
      <c r="B1207" s="4">
        <f>Raw_Transactions!B1207</f>
        <v/>
      </c>
      <c r="C1207" s="4">
        <f>Raw_Transactions!C1207</f>
        <v/>
      </c>
      <c r="D1207" s="5">
        <f>Raw_Transactions!D1207</f>
        <v/>
      </c>
      <c r="E1207" s="4">
        <f>Raw_Transactions!E1207</f>
        <v/>
      </c>
      <c r="F1207" s="4">
        <f>Raw_Transactions!F1207</f>
        <v/>
      </c>
      <c r="G1207" s="4">
        <f>Raw_Transactions!G1207</f>
        <v/>
      </c>
      <c r="H1207" s="4">
        <f>XLOOKUP(B1207,Raw_Risk_Profiles!$A:$A,Raw_Risk_Profiles!$B:$B,"Not Found")</f>
        <v/>
      </c>
      <c r="I1207" s="4">
        <f>XLOOKUP(B1207,Raw_Risk_Profiles!$A:$A,Raw_Risk_Profiles!$C:$C,"Missing")</f>
        <v/>
      </c>
      <c r="J1207" s="4">
        <f>XLOOKUP(B1207,Raw_Risk_Profiles!$A:$A,Raw_Risk_Profiles!$D:$D,"")</f>
        <v/>
      </c>
      <c r="K1207" s="4">
        <f>IFERROR(INDEX(Raw_Risk_Profiles!$E:$E,MATCH(B1207,Raw_Risk_Profiles!$A:$A,0)),"Unknown")</f>
        <v/>
      </c>
      <c r="L1207" s="4">
        <f>IFERROR(XLOOKUP(A1207,Raw_Alerts!$B:$B,Raw_Alerts!$A:$A),"No Alert")</f>
        <v/>
      </c>
      <c r="M1207" s="4">
        <f>IFERROR(XLOOKUP(A1207,Raw_Alerts!$B:$B,Raw_Alerts!$C:$C),"")</f>
        <v/>
      </c>
      <c r="N1207" s="4">
        <f>IFERROR(XLOOKUP(A1207,Raw_Alerts!$B:$B,Raw_Alerts!$D:$D),"")</f>
        <v/>
      </c>
      <c r="O1207" s="4">
        <f>IFERROR(XLOOKUP(A1207,Raw_Alerts!$B:$B,Raw_Alerts!$F:$F),"")</f>
        <v/>
      </c>
      <c r="P1207" s="4">
        <f>IF(H1207="Not Found","CRITICAL: No Risk Profile",IF(I1207="Missing","WARN: Missing KYC",IF(I1207="Expired","WARN: KYC Expired",IF(I1207="Pending","INFO: KYC Pending","OK"))))</f>
        <v/>
      </c>
    </row>
    <row r="1208">
      <c r="A1208" s="2">
        <f>Raw_Transactions!A1208</f>
        <v/>
      </c>
      <c r="B1208" s="2">
        <f>Raw_Transactions!B1208</f>
        <v/>
      </c>
      <c r="C1208" s="2">
        <f>Raw_Transactions!C1208</f>
        <v/>
      </c>
      <c r="D1208" s="3">
        <f>Raw_Transactions!D1208</f>
        <v/>
      </c>
      <c r="E1208" s="2">
        <f>Raw_Transactions!E1208</f>
        <v/>
      </c>
      <c r="F1208" s="2">
        <f>Raw_Transactions!F1208</f>
        <v/>
      </c>
      <c r="G1208" s="2">
        <f>Raw_Transactions!G1208</f>
        <v/>
      </c>
      <c r="H1208" s="2">
        <f>XLOOKUP(B1208,Raw_Risk_Profiles!$A:$A,Raw_Risk_Profiles!$B:$B,"Not Found")</f>
        <v/>
      </c>
      <c r="I1208" s="2">
        <f>XLOOKUP(B1208,Raw_Risk_Profiles!$A:$A,Raw_Risk_Profiles!$C:$C,"Missing")</f>
        <v/>
      </c>
      <c r="J1208" s="2">
        <f>XLOOKUP(B1208,Raw_Risk_Profiles!$A:$A,Raw_Risk_Profiles!$D:$D,"")</f>
        <v/>
      </c>
      <c r="K1208" s="2">
        <f>IFERROR(INDEX(Raw_Risk_Profiles!$E:$E,MATCH(B1208,Raw_Risk_Profiles!$A:$A,0)),"Unknown")</f>
        <v/>
      </c>
      <c r="L1208" s="2">
        <f>IFERROR(XLOOKUP(A1208,Raw_Alerts!$B:$B,Raw_Alerts!$A:$A),"No Alert")</f>
        <v/>
      </c>
      <c r="M1208" s="2">
        <f>IFERROR(XLOOKUP(A1208,Raw_Alerts!$B:$B,Raw_Alerts!$C:$C),"")</f>
        <v/>
      </c>
      <c r="N1208" s="2">
        <f>IFERROR(XLOOKUP(A1208,Raw_Alerts!$B:$B,Raw_Alerts!$D:$D),"")</f>
        <v/>
      </c>
      <c r="O1208" s="2">
        <f>IFERROR(XLOOKUP(A1208,Raw_Alerts!$B:$B,Raw_Alerts!$F:$F),"")</f>
        <v/>
      </c>
      <c r="P1208" s="2">
        <f>IF(H1208="Not Found","CRITICAL: No Risk Profile",IF(I1208="Missing","WARN: Missing KYC",IF(I1208="Expired","WARN: KYC Expired",IF(I1208="Pending","INFO: KYC Pending","OK"))))</f>
        <v/>
      </c>
    </row>
    <row r="1209">
      <c r="A1209" s="4">
        <f>Raw_Transactions!A1209</f>
        <v/>
      </c>
      <c r="B1209" s="4">
        <f>Raw_Transactions!B1209</f>
        <v/>
      </c>
      <c r="C1209" s="4">
        <f>Raw_Transactions!C1209</f>
        <v/>
      </c>
      <c r="D1209" s="5">
        <f>Raw_Transactions!D1209</f>
        <v/>
      </c>
      <c r="E1209" s="4">
        <f>Raw_Transactions!E1209</f>
        <v/>
      </c>
      <c r="F1209" s="4">
        <f>Raw_Transactions!F1209</f>
        <v/>
      </c>
      <c r="G1209" s="4">
        <f>Raw_Transactions!G1209</f>
        <v/>
      </c>
      <c r="H1209" s="4">
        <f>XLOOKUP(B1209,Raw_Risk_Profiles!$A:$A,Raw_Risk_Profiles!$B:$B,"Not Found")</f>
        <v/>
      </c>
      <c r="I1209" s="4">
        <f>XLOOKUP(B1209,Raw_Risk_Profiles!$A:$A,Raw_Risk_Profiles!$C:$C,"Missing")</f>
        <v/>
      </c>
      <c r="J1209" s="4">
        <f>XLOOKUP(B1209,Raw_Risk_Profiles!$A:$A,Raw_Risk_Profiles!$D:$D,"")</f>
        <v/>
      </c>
      <c r="K1209" s="4">
        <f>IFERROR(INDEX(Raw_Risk_Profiles!$E:$E,MATCH(B1209,Raw_Risk_Profiles!$A:$A,0)),"Unknown")</f>
        <v/>
      </c>
      <c r="L1209" s="4">
        <f>IFERROR(XLOOKUP(A1209,Raw_Alerts!$B:$B,Raw_Alerts!$A:$A),"No Alert")</f>
        <v/>
      </c>
      <c r="M1209" s="4">
        <f>IFERROR(XLOOKUP(A1209,Raw_Alerts!$B:$B,Raw_Alerts!$C:$C),"")</f>
        <v/>
      </c>
      <c r="N1209" s="4">
        <f>IFERROR(XLOOKUP(A1209,Raw_Alerts!$B:$B,Raw_Alerts!$D:$D),"")</f>
        <v/>
      </c>
      <c r="O1209" s="4">
        <f>IFERROR(XLOOKUP(A1209,Raw_Alerts!$B:$B,Raw_Alerts!$F:$F),"")</f>
        <v/>
      </c>
      <c r="P1209" s="4">
        <f>IF(H1209="Not Found","CRITICAL: No Risk Profile",IF(I1209="Missing","WARN: Missing KYC",IF(I1209="Expired","WARN: KYC Expired",IF(I1209="Pending","INFO: KYC Pending","OK"))))</f>
        <v/>
      </c>
    </row>
    <row r="1210">
      <c r="A1210" s="2">
        <f>Raw_Transactions!A1210</f>
        <v/>
      </c>
      <c r="B1210" s="2">
        <f>Raw_Transactions!B1210</f>
        <v/>
      </c>
      <c r="C1210" s="2">
        <f>Raw_Transactions!C1210</f>
        <v/>
      </c>
      <c r="D1210" s="3">
        <f>Raw_Transactions!D1210</f>
        <v/>
      </c>
      <c r="E1210" s="2">
        <f>Raw_Transactions!E1210</f>
        <v/>
      </c>
      <c r="F1210" s="2">
        <f>Raw_Transactions!F1210</f>
        <v/>
      </c>
      <c r="G1210" s="2">
        <f>Raw_Transactions!G1210</f>
        <v/>
      </c>
      <c r="H1210" s="2">
        <f>XLOOKUP(B1210,Raw_Risk_Profiles!$A:$A,Raw_Risk_Profiles!$B:$B,"Not Found")</f>
        <v/>
      </c>
      <c r="I1210" s="2">
        <f>XLOOKUP(B1210,Raw_Risk_Profiles!$A:$A,Raw_Risk_Profiles!$C:$C,"Missing")</f>
        <v/>
      </c>
      <c r="J1210" s="2">
        <f>XLOOKUP(B1210,Raw_Risk_Profiles!$A:$A,Raw_Risk_Profiles!$D:$D,"")</f>
        <v/>
      </c>
      <c r="K1210" s="2">
        <f>IFERROR(INDEX(Raw_Risk_Profiles!$E:$E,MATCH(B1210,Raw_Risk_Profiles!$A:$A,0)),"Unknown")</f>
        <v/>
      </c>
      <c r="L1210" s="2">
        <f>IFERROR(XLOOKUP(A1210,Raw_Alerts!$B:$B,Raw_Alerts!$A:$A),"No Alert")</f>
        <v/>
      </c>
      <c r="M1210" s="2">
        <f>IFERROR(XLOOKUP(A1210,Raw_Alerts!$B:$B,Raw_Alerts!$C:$C),"")</f>
        <v/>
      </c>
      <c r="N1210" s="2">
        <f>IFERROR(XLOOKUP(A1210,Raw_Alerts!$B:$B,Raw_Alerts!$D:$D),"")</f>
        <v/>
      </c>
      <c r="O1210" s="2">
        <f>IFERROR(XLOOKUP(A1210,Raw_Alerts!$B:$B,Raw_Alerts!$F:$F),"")</f>
        <v/>
      </c>
      <c r="P1210" s="2">
        <f>IF(H1210="Not Found","CRITICAL: No Risk Profile",IF(I1210="Missing","WARN: Missing KYC",IF(I1210="Expired","WARN: KYC Expired",IF(I1210="Pending","INFO: KYC Pending","OK"))))</f>
        <v/>
      </c>
    </row>
    <row r="1211">
      <c r="A1211" s="4">
        <f>Raw_Transactions!A1211</f>
        <v/>
      </c>
      <c r="B1211" s="4">
        <f>Raw_Transactions!B1211</f>
        <v/>
      </c>
      <c r="C1211" s="4">
        <f>Raw_Transactions!C1211</f>
        <v/>
      </c>
      <c r="D1211" s="5">
        <f>Raw_Transactions!D1211</f>
        <v/>
      </c>
      <c r="E1211" s="4">
        <f>Raw_Transactions!E1211</f>
        <v/>
      </c>
      <c r="F1211" s="4">
        <f>Raw_Transactions!F1211</f>
        <v/>
      </c>
      <c r="G1211" s="4">
        <f>Raw_Transactions!G1211</f>
        <v/>
      </c>
      <c r="H1211" s="4">
        <f>XLOOKUP(B1211,Raw_Risk_Profiles!$A:$A,Raw_Risk_Profiles!$B:$B,"Not Found")</f>
        <v/>
      </c>
      <c r="I1211" s="4">
        <f>XLOOKUP(B1211,Raw_Risk_Profiles!$A:$A,Raw_Risk_Profiles!$C:$C,"Missing")</f>
        <v/>
      </c>
      <c r="J1211" s="4">
        <f>XLOOKUP(B1211,Raw_Risk_Profiles!$A:$A,Raw_Risk_Profiles!$D:$D,"")</f>
        <v/>
      </c>
      <c r="K1211" s="4">
        <f>IFERROR(INDEX(Raw_Risk_Profiles!$E:$E,MATCH(B1211,Raw_Risk_Profiles!$A:$A,0)),"Unknown")</f>
        <v/>
      </c>
      <c r="L1211" s="4">
        <f>IFERROR(XLOOKUP(A1211,Raw_Alerts!$B:$B,Raw_Alerts!$A:$A),"No Alert")</f>
        <v/>
      </c>
      <c r="M1211" s="4">
        <f>IFERROR(XLOOKUP(A1211,Raw_Alerts!$B:$B,Raw_Alerts!$C:$C),"")</f>
        <v/>
      </c>
      <c r="N1211" s="4">
        <f>IFERROR(XLOOKUP(A1211,Raw_Alerts!$B:$B,Raw_Alerts!$D:$D),"")</f>
        <v/>
      </c>
      <c r="O1211" s="4">
        <f>IFERROR(XLOOKUP(A1211,Raw_Alerts!$B:$B,Raw_Alerts!$F:$F),"")</f>
        <v/>
      </c>
      <c r="P1211" s="4">
        <f>IF(H1211="Not Found","CRITICAL: No Risk Profile",IF(I1211="Missing","WARN: Missing KYC",IF(I1211="Expired","WARN: KYC Expired",IF(I1211="Pending","INFO: KYC Pending","OK"))))</f>
        <v/>
      </c>
    </row>
    <row r="1212">
      <c r="A1212" s="2">
        <f>Raw_Transactions!A1212</f>
        <v/>
      </c>
      <c r="B1212" s="2">
        <f>Raw_Transactions!B1212</f>
        <v/>
      </c>
      <c r="C1212" s="2">
        <f>Raw_Transactions!C1212</f>
        <v/>
      </c>
      <c r="D1212" s="3">
        <f>Raw_Transactions!D1212</f>
        <v/>
      </c>
      <c r="E1212" s="2">
        <f>Raw_Transactions!E1212</f>
        <v/>
      </c>
      <c r="F1212" s="2">
        <f>Raw_Transactions!F1212</f>
        <v/>
      </c>
      <c r="G1212" s="2">
        <f>Raw_Transactions!G1212</f>
        <v/>
      </c>
      <c r="H1212" s="2">
        <f>XLOOKUP(B1212,Raw_Risk_Profiles!$A:$A,Raw_Risk_Profiles!$B:$B,"Not Found")</f>
        <v/>
      </c>
      <c r="I1212" s="2">
        <f>XLOOKUP(B1212,Raw_Risk_Profiles!$A:$A,Raw_Risk_Profiles!$C:$C,"Missing")</f>
        <v/>
      </c>
      <c r="J1212" s="2">
        <f>XLOOKUP(B1212,Raw_Risk_Profiles!$A:$A,Raw_Risk_Profiles!$D:$D,"")</f>
        <v/>
      </c>
      <c r="K1212" s="2">
        <f>IFERROR(INDEX(Raw_Risk_Profiles!$E:$E,MATCH(B1212,Raw_Risk_Profiles!$A:$A,0)),"Unknown")</f>
        <v/>
      </c>
      <c r="L1212" s="2">
        <f>IFERROR(XLOOKUP(A1212,Raw_Alerts!$B:$B,Raw_Alerts!$A:$A),"No Alert")</f>
        <v/>
      </c>
      <c r="M1212" s="2">
        <f>IFERROR(XLOOKUP(A1212,Raw_Alerts!$B:$B,Raw_Alerts!$C:$C),"")</f>
        <v/>
      </c>
      <c r="N1212" s="2">
        <f>IFERROR(XLOOKUP(A1212,Raw_Alerts!$B:$B,Raw_Alerts!$D:$D),"")</f>
        <v/>
      </c>
      <c r="O1212" s="2">
        <f>IFERROR(XLOOKUP(A1212,Raw_Alerts!$B:$B,Raw_Alerts!$F:$F),"")</f>
        <v/>
      </c>
      <c r="P1212" s="2">
        <f>IF(H1212="Not Found","CRITICAL: No Risk Profile",IF(I1212="Missing","WARN: Missing KYC",IF(I1212="Expired","WARN: KYC Expired",IF(I1212="Pending","INFO: KYC Pending","OK"))))</f>
        <v/>
      </c>
    </row>
    <row r="1213">
      <c r="A1213" s="4">
        <f>Raw_Transactions!A1213</f>
        <v/>
      </c>
      <c r="B1213" s="4">
        <f>Raw_Transactions!B1213</f>
        <v/>
      </c>
      <c r="C1213" s="4">
        <f>Raw_Transactions!C1213</f>
        <v/>
      </c>
      <c r="D1213" s="5">
        <f>Raw_Transactions!D1213</f>
        <v/>
      </c>
      <c r="E1213" s="4">
        <f>Raw_Transactions!E1213</f>
        <v/>
      </c>
      <c r="F1213" s="4">
        <f>Raw_Transactions!F1213</f>
        <v/>
      </c>
      <c r="G1213" s="4">
        <f>Raw_Transactions!G1213</f>
        <v/>
      </c>
      <c r="H1213" s="4">
        <f>XLOOKUP(B1213,Raw_Risk_Profiles!$A:$A,Raw_Risk_Profiles!$B:$B,"Not Found")</f>
        <v/>
      </c>
      <c r="I1213" s="4">
        <f>XLOOKUP(B1213,Raw_Risk_Profiles!$A:$A,Raw_Risk_Profiles!$C:$C,"Missing")</f>
        <v/>
      </c>
      <c r="J1213" s="4">
        <f>XLOOKUP(B1213,Raw_Risk_Profiles!$A:$A,Raw_Risk_Profiles!$D:$D,"")</f>
        <v/>
      </c>
      <c r="K1213" s="4">
        <f>IFERROR(INDEX(Raw_Risk_Profiles!$E:$E,MATCH(B1213,Raw_Risk_Profiles!$A:$A,0)),"Unknown")</f>
        <v/>
      </c>
      <c r="L1213" s="4">
        <f>IFERROR(XLOOKUP(A1213,Raw_Alerts!$B:$B,Raw_Alerts!$A:$A),"No Alert")</f>
        <v/>
      </c>
      <c r="M1213" s="4">
        <f>IFERROR(XLOOKUP(A1213,Raw_Alerts!$B:$B,Raw_Alerts!$C:$C),"")</f>
        <v/>
      </c>
      <c r="N1213" s="4">
        <f>IFERROR(XLOOKUP(A1213,Raw_Alerts!$B:$B,Raw_Alerts!$D:$D),"")</f>
        <v/>
      </c>
      <c r="O1213" s="4">
        <f>IFERROR(XLOOKUP(A1213,Raw_Alerts!$B:$B,Raw_Alerts!$F:$F),"")</f>
        <v/>
      </c>
      <c r="P1213" s="4">
        <f>IF(H1213="Not Found","CRITICAL: No Risk Profile",IF(I1213="Missing","WARN: Missing KYC",IF(I1213="Expired","WARN: KYC Expired",IF(I1213="Pending","INFO: KYC Pending","OK"))))</f>
        <v/>
      </c>
    </row>
    <row r="1214">
      <c r="A1214" s="2">
        <f>Raw_Transactions!A1214</f>
        <v/>
      </c>
      <c r="B1214" s="2">
        <f>Raw_Transactions!B1214</f>
        <v/>
      </c>
      <c r="C1214" s="2">
        <f>Raw_Transactions!C1214</f>
        <v/>
      </c>
      <c r="D1214" s="3">
        <f>Raw_Transactions!D1214</f>
        <v/>
      </c>
      <c r="E1214" s="2">
        <f>Raw_Transactions!E1214</f>
        <v/>
      </c>
      <c r="F1214" s="2">
        <f>Raw_Transactions!F1214</f>
        <v/>
      </c>
      <c r="G1214" s="2">
        <f>Raw_Transactions!G1214</f>
        <v/>
      </c>
      <c r="H1214" s="2">
        <f>XLOOKUP(B1214,Raw_Risk_Profiles!$A:$A,Raw_Risk_Profiles!$B:$B,"Not Found")</f>
        <v/>
      </c>
      <c r="I1214" s="2">
        <f>XLOOKUP(B1214,Raw_Risk_Profiles!$A:$A,Raw_Risk_Profiles!$C:$C,"Missing")</f>
        <v/>
      </c>
      <c r="J1214" s="2">
        <f>XLOOKUP(B1214,Raw_Risk_Profiles!$A:$A,Raw_Risk_Profiles!$D:$D,"")</f>
        <v/>
      </c>
      <c r="K1214" s="2">
        <f>IFERROR(INDEX(Raw_Risk_Profiles!$E:$E,MATCH(B1214,Raw_Risk_Profiles!$A:$A,0)),"Unknown")</f>
        <v/>
      </c>
      <c r="L1214" s="2">
        <f>IFERROR(XLOOKUP(A1214,Raw_Alerts!$B:$B,Raw_Alerts!$A:$A),"No Alert")</f>
        <v/>
      </c>
      <c r="M1214" s="2">
        <f>IFERROR(XLOOKUP(A1214,Raw_Alerts!$B:$B,Raw_Alerts!$C:$C),"")</f>
        <v/>
      </c>
      <c r="N1214" s="2">
        <f>IFERROR(XLOOKUP(A1214,Raw_Alerts!$B:$B,Raw_Alerts!$D:$D),"")</f>
        <v/>
      </c>
      <c r="O1214" s="2">
        <f>IFERROR(XLOOKUP(A1214,Raw_Alerts!$B:$B,Raw_Alerts!$F:$F),"")</f>
        <v/>
      </c>
      <c r="P1214" s="2">
        <f>IF(H1214="Not Found","CRITICAL: No Risk Profile",IF(I1214="Missing","WARN: Missing KYC",IF(I1214="Expired","WARN: KYC Expired",IF(I1214="Pending","INFO: KYC Pending","OK"))))</f>
        <v/>
      </c>
    </row>
    <row r="1215">
      <c r="A1215" s="4">
        <f>Raw_Transactions!A1215</f>
        <v/>
      </c>
      <c r="B1215" s="4">
        <f>Raw_Transactions!B1215</f>
        <v/>
      </c>
      <c r="C1215" s="4">
        <f>Raw_Transactions!C1215</f>
        <v/>
      </c>
      <c r="D1215" s="5">
        <f>Raw_Transactions!D1215</f>
        <v/>
      </c>
      <c r="E1215" s="4">
        <f>Raw_Transactions!E1215</f>
        <v/>
      </c>
      <c r="F1215" s="4">
        <f>Raw_Transactions!F1215</f>
        <v/>
      </c>
      <c r="G1215" s="4">
        <f>Raw_Transactions!G1215</f>
        <v/>
      </c>
      <c r="H1215" s="4">
        <f>XLOOKUP(B1215,Raw_Risk_Profiles!$A:$A,Raw_Risk_Profiles!$B:$B,"Not Found")</f>
        <v/>
      </c>
      <c r="I1215" s="4">
        <f>XLOOKUP(B1215,Raw_Risk_Profiles!$A:$A,Raw_Risk_Profiles!$C:$C,"Missing")</f>
        <v/>
      </c>
      <c r="J1215" s="4">
        <f>XLOOKUP(B1215,Raw_Risk_Profiles!$A:$A,Raw_Risk_Profiles!$D:$D,"")</f>
        <v/>
      </c>
      <c r="K1215" s="4">
        <f>IFERROR(INDEX(Raw_Risk_Profiles!$E:$E,MATCH(B1215,Raw_Risk_Profiles!$A:$A,0)),"Unknown")</f>
        <v/>
      </c>
      <c r="L1215" s="4">
        <f>IFERROR(XLOOKUP(A1215,Raw_Alerts!$B:$B,Raw_Alerts!$A:$A),"No Alert")</f>
        <v/>
      </c>
      <c r="M1215" s="4">
        <f>IFERROR(XLOOKUP(A1215,Raw_Alerts!$B:$B,Raw_Alerts!$C:$C),"")</f>
        <v/>
      </c>
      <c r="N1215" s="4">
        <f>IFERROR(XLOOKUP(A1215,Raw_Alerts!$B:$B,Raw_Alerts!$D:$D),"")</f>
        <v/>
      </c>
      <c r="O1215" s="4">
        <f>IFERROR(XLOOKUP(A1215,Raw_Alerts!$B:$B,Raw_Alerts!$F:$F),"")</f>
        <v/>
      </c>
      <c r="P1215" s="4">
        <f>IF(H1215="Not Found","CRITICAL: No Risk Profile",IF(I1215="Missing","WARN: Missing KYC",IF(I1215="Expired","WARN: KYC Expired",IF(I1215="Pending","INFO: KYC Pending","OK"))))</f>
        <v/>
      </c>
    </row>
    <row r="1216">
      <c r="A1216" s="2">
        <f>Raw_Transactions!A1216</f>
        <v/>
      </c>
      <c r="B1216" s="2">
        <f>Raw_Transactions!B1216</f>
        <v/>
      </c>
      <c r="C1216" s="2">
        <f>Raw_Transactions!C1216</f>
        <v/>
      </c>
      <c r="D1216" s="3">
        <f>Raw_Transactions!D1216</f>
        <v/>
      </c>
      <c r="E1216" s="2">
        <f>Raw_Transactions!E1216</f>
        <v/>
      </c>
      <c r="F1216" s="2">
        <f>Raw_Transactions!F1216</f>
        <v/>
      </c>
      <c r="G1216" s="2">
        <f>Raw_Transactions!G1216</f>
        <v/>
      </c>
      <c r="H1216" s="2">
        <f>XLOOKUP(B1216,Raw_Risk_Profiles!$A:$A,Raw_Risk_Profiles!$B:$B,"Not Found")</f>
        <v/>
      </c>
      <c r="I1216" s="2">
        <f>XLOOKUP(B1216,Raw_Risk_Profiles!$A:$A,Raw_Risk_Profiles!$C:$C,"Missing")</f>
        <v/>
      </c>
      <c r="J1216" s="2">
        <f>XLOOKUP(B1216,Raw_Risk_Profiles!$A:$A,Raw_Risk_Profiles!$D:$D,"")</f>
        <v/>
      </c>
      <c r="K1216" s="2">
        <f>IFERROR(INDEX(Raw_Risk_Profiles!$E:$E,MATCH(B1216,Raw_Risk_Profiles!$A:$A,0)),"Unknown")</f>
        <v/>
      </c>
      <c r="L1216" s="2">
        <f>IFERROR(XLOOKUP(A1216,Raw_Alerts!$B:$B,Raw_Alerts!$A:$A),"No Alert")</f>
        <v/>
      </c>
      <c r="M1216" s="2">
        <f>IFERROR(XLOOKUP(A1216,Raw_Alerts!$B:$B,Raw_Alerts!$C:$C),"")</f>
        <v/>
      </c>
      <c r="N1216" s="2">
        <f>IFERROR(XLOOKUP(A1216,Raw_Alerts!$B:$B,Raw_Alerts!$D:$D),"")</f>
        <v/>
      </c>
      <c r="O1216" s="2">
        <f>IFERROR(XLOOKUP(A1216,Raw_Alerts!$B:$B,Raw_Alerts!$F:$F),"")</f>
        <v/>
      </c>
      <c r="P1216" s="2">
        <f>IF(H1216="Not Found","CRITICAL: No Risk Profile",IF(I1216="Missing","WARN: Missing KYC",IF(I1216="Expired","WARN: KYC Expired",IF(I1216="Pending","INFO: KYC Pending","OK"))))</f>
        <v/>
      </c>
    </row>
    <row r="1217">
      <c r="A1217" s="4">
        <f>Raw_Transactions!A1217</f>
        <v/>
      </c>
      <c r="B1217" s="4">
        <f>Raw_Transactions!B1217</f>
        <v/>
      </c>
      <c r="C1217" s="4">
        <f>Raw_Transactions!C1217</f>
        <v/>
      </c>
      <c r="D1217" s="5">
        <f>Raw_Transactions!D1217</f>
        <v/>
      </c>
      <c r="E1217" s="4">
        <f>Raw_Transactions!E1217</f>
        <v/>
      </c>
      <c r="F1217" s="4">
        <f>Raw_Transactions!F1217</f>
        <v/>
      </c>
      <c r="G1217" s="4">
        <f>Raw_Transactions!G1217</f>
        <v/>
      </c>
      <c r="H1217" s="4">
        <f>XLOOKUP(B1217,Raw_Risk_Profiles!$A:$A,Raw_Risk_Profiles!$B:$B,"Not Found")</f>
        <v/>
      </c>
      <c r="I1217" s="4">
        <f>XLOOKUP(B1217,Raw_Risk_Profiles!$A:$A,Raw_Risk_Profiles!$C:$C,"Missing")</f>
        <v/>
      </c>
      <c r="J1217" s="4">
        <f>XLOOKUP(B1217,Raw_Risk_Profiles!$A:$A,Raw_Risk_Profiles!$D:$D,"")</f>
        <v/>
      </c>
      <c r="K1217" s="4">
        <f>IFERROR(INDEX(Raw_Risk_Profiles!$E:$E,MATCH(B1217,Raw_Risk_Profiles!$A:$A,0)),"Unknown")</f>
        <v/>
      </c>
      <c r="L1217" s="4">
        <f>IFERROR(XLOOKUP(A1217,Raw_Alerts!$B:$B,Raw_Alerts!$A:$A),"No Alert")</f>
        <v/>
      </c>
      <c r="M1217" s="4">
        <f>IFERROR(XLOOKUP(A1217,Raw_Alerts!$B:$B,Raw_Alerts!$C:$C),"")</f>
        <v/>
      </c>
      <c r="N1217" s="4">
        <f>IFERROR(XLOOKUP(A1217,Raw_Alerts!$B:$B,Raw_Alerts!$D:$D),"")</f>
        <v/>
      </c>
      <c r="O1217" s="4">
        <f>IFERROR(XLOOKUP(A1217,Raw_Alerts!$B:$B,Raw_Alerts!$F:$F),"")</f>
        <v/>
      </c>
      <c r="P1217" s="4">
        <f>IF(H1217="Not Found","CRITICAL: No Risk Profile",IF(I1217="Missing","WARN: Missing KYC",IF(I1217="Expired","WARN: KYC Expired",IF(I1217="Pending","INFO: KYC Pending","OK"))))</f>
        <v/>
      </c>
    </row>
    <row r="1218">
      <c r="A1218" s="2">
        <f>Raw_Transactions!A1218</f>
        <v/>
      </c>
      <c r="B1218" s="2">
        <f>Raw_Transactions!B1218</f>
        <v/>
      </c>
      <c r="C1218" s="2">
        <f>Raw_Transactions!C1218</f>
        <v/>
      </c>
      <c r="D1218" s="3">
        <f>Raw_Transactions!D1218</f>
        <v/>
      </c>
      <c r="E1218" s="2">
        <f>Raw_Transactions!E1218</f>
        <v/>
      </c>
      <c r="F1218" s="2">
        <f>Raw_Transactions!F1218</f>
        <v/>
      </c>
      <c r="G1218" s="2">
        <f>Raw_Transactions!G1218</f>
        <v/>
      </c>
      <c r="H1218" s="2">
        <f>XLOOKUP(B1218,Raw_Risk_Profiles!$A:$A,Raw_Risk_Profiles!$B:$B,"Not Found")</f>
        <v/>
      </c>
      <c r="I1218" s="2">
        <f>XLOOKUP(B1218,Raw_Risk_Profiles!$A:$A,Raw_Risk_Profiles!$C:$C,"Missing")</f>
        <v/>
      </c>
      <c r="J1218" s="2">
        <f>XLOOKUP(B1218,Raw_Risk_Profiles!$A:$A,Raw_Risk_Profiles!$D:$D,"")</f>
        <v/>
      </c>
      <c r="K1218" s="2">
        <f>IFERROR(INDEX(Raw_Risk_Profiles!$E:$E,MATCH(B1218,Raw_Risk_Profiles!$A:$A,0)),"Unknown")</f>
        <v/>
      </c>
      <c r="L1218" s="2">
        <f>IFERROR(XLOOKUP(A1218,Raw_Alerts!$B:$B,Raw_Alerts!$A:$A),"No Alert")</f>
        <v/>
      </c>
      <c r="M1218" s="2">
        <f>IFERROR(XLOOKUP(A1218,Raw_Alerts!$B:$B,Raw_Alerts!$C:$C),"")</f>
        <v/>
      </c>
      <c r="N1218" s="2">
        <f>IFERROR(XLOOKUP(A1218,Raw_Alerts!$B:$B,Raw_Alerts!$D:$D),"")</f>
        <v/>
      </c>
      <c r="O1218" s="2">
        <f>IFERROR(XLOOKUP(A1218,Raw_Alerts!$B:$B,Raw_Alerts!$F:$F),"")</f>
        <v/>
      </c>
      <c r="P1218" s="2">
        <f>IF(H1218="Not Found","CRITICAL: No Risk Profile",IF(I1218="Missing","WARN: Missing KYC",IF(I1218="Expired","WARN: KYC Expired",IF(I1218="Pending","INFO: KYC Pending","OK"))))</f>
        <v/>
      </c>
    </row>
    <row r="1219">
      <c r="A1219" s="4">
        <f>Raw_Transactions!A1219</f>
        <v/>
      </c>
      <c r="B1219" s="4">
        <f>Raw_Transactions!B1219</f>
        <v/>
      </c>
      <c r="C1219" s="4">
        <f>Raw_Transactions!C1219</f>
        <v/>
      </c>
      <c r="D1219" s="5">
        <f>Raw_Transactions!D1219</f>
        <v/>
      </c>
      <c r="E1219" s="4">
        <f>Raw_Transactions!E1219</f>
        <v/>
      </c>
      <c r="F1219" s="4">
        <f>Raw_Transactions!F1219</f>
        <v/>
      </c>
      <c r="G1219" s="4">
        <f>Raw_Transactions!G1219</f>
        <v/>
      </c>
      <c r="H1219" s="4">
        <f>XLOOKUP(B1219,Raw_Risk_Profiles!$A:$A,Raw_Risk_Profiles!$B:$B,"Not Found")</f>
        <v/>
      </c>
      <c r="I1219" s="4">
        <f>XLOOKUP(B1219,Raw_Risk_Profiles!$A:$A,Raw_Risk_Profiles!$C:$C,"Missing")</f>
        <v/>
      </c>
      <c r="J1219" s="4">
        <f>XLOOKUP(B1219,Raw_Risk_Profiles!$A:$A,Raw_Risk_Profiles!$D:$D,"")</f>
        <v/>
      </c>
      <c r="K1219" s="4">
        <f>IFERROR(INDEX(Raw_Risk_Profiles!$E:$E,MATCH(B1219,Raw_Risk_Profiles!$A:$A,0)),"Unknown")</f>
        <v/>
      </c>
      <c r="L1219" s="4">
        <f>IFERROR(XLOOKUP(A1219,Raw_Alerts!$B:$B,Raw_Alerts!$A:$A),"No Alert")</f>
        <v/>
      </c>
      <c r="M1219" s="4">
        <f>IFERROR(XLOOKUP(A1219,Raw_Alerts!$B:$B,Raw_Alerts!$C:$C),"")</f>
        <v/>
      </c>
      <c r="N1219" s="4">
        <f>IFERROR(XLOOKUP(A1219,Raw_Alerts!$B:$B,Raw_Alerts!$D:$D),"")</f>
        <v/>
      </c>
      <c r="O1219" s="4">
        <f>IFERROR(XLOOKUP(A1219,Raw_Alerts!$B:$B,Raw_Alerts!$F:$F),"")</f>
        <v/>
      </c>
      <c r="P1219" s="4">
        <f>IF(H1219="Not Found","CRITICAL: No Risk Profile",IF(I1219="Missing","WARN: Missing KYC",IF(I1219="Expired","WARN: KYC Expired",IF(I1219="Pending","INFO: KYC Pending","OK"))))</f>
        <v/>
      </c>
    </row>
    <row r="1220">
      <c r="A1220" s="2">
        <f>Raw_Transactions!A1220</f>
        <v/>
      </c>
      <c r="B1220" s="2">
        <f>Raw_Transactions!B1220</f>
        <v/>
      </c>
      <c r="C1220" s="2">
        <f>Raw_Transactions!C1220</f>
        <v/>
      </c>
      <c r="D1220" s="3">
        <f>Raw_Transactions!D1220</f>
        <v/>
      </c>
      <c r="E1220" s="2">
        <f>Raw_Transactions!E1220</f>
        <v/>
      </c>
      <c r="F1220" s="2">
        <f>Raw_Transactions!F1220</f>
        <v/>
      </c>
      <c r="G1220" s="2">
        <f>Raw_Transactions!G1220</f>
        <v/>
      </c>
      <c r="H1220" s="2">
        <f>XLOOKUP(B1220,Raw_Risk_Profiles!$A:$A,Raw_Risk_Profiles!$B:$B,"Not Found")</f>
        <v/>
      </c>
      <c r="I1220" s="2">
        <f>XLOOKUP(B1220,Raw_Risk_Profiles!$A:$A,Raw_Risk_Profiles!$C:$C,"Missing")</f>
        <v/>
      </c>
      <c r="J1220" s="2">
        <f>XLOOKUP(B1220,Raw_Risk_Profiles!$A:$A,Raw_Risk_Profiles!$D:$D,"")</f>
        <v/>
      </c>
      <c r="K1220" s="2">
        <f>IFERROR(INDEX(Raw_Risk_Profiles!$E:$E,MATCH(B1220,Raw_Risk_Profiles!$A:$A,0)),"Unknown")</f>
        <v/>
      </c>
      <c r="L1220" s="2">
        <f>IFERROR(XLOOKUP(A1220,Raw_Alerts!$B:$B,Raw_Alerts!$A:$A),"No Alert")</f>
        <v/>
      </c>
      <c r="M1220" s="2">
        <f>IFERROR(XLOOKUP(A1220,Raw_Alerts!$B:$B,Raw_Alerts!$C:$C),"")</f>
        <v/>
      </c>
      <c r="N1220" s="2">
        <f>IFERROR(XLOOKUP(A1220,Raw_Alerts!$B:$B,Raw_Alerts!$D:$D),"")</f>
        <v/>
      </c>
      <c r="O1220" s="2">
        <f>IFERROR(XLOOKUP(A1220,Raw_Alerts!$B:$B,Raw_Alerts!$F:$F),"")</f>
        <v/>
      </c>
      <c r="P1220" s="2">
        <f>IF(H1220="Not Found","CRITICAL: No Risk Profile",IF(I1220="Missing","WARN: Missing KYC",IF(I1220="Expired","WARN: KYC Expired",IF(I1220="Pending","INFO: KYC Pending","OK"))))</f>
        <v/>
      </c>
    </row>
    <row r="1221">
      <c r="A1221" s="4">
        <f>Raw_Transactions!A1221</f>
        <v/>
      </c>
      <c r="B1221" s="4">
        <f>Raw_Transactions!B1221</f>
        <v/>
      </c>
      <c r="C1221" s="4">
        <f>Raw_Transactions!C1221</f>
        <v/>
      </c>
      <c r="D1221" s="5">
        <f>Raw_Transactions!D1221</f>
        <v/>
      </c>
      <c r="E1221" s="4">
        <f>Raw_Transactions!E1221</f>
        <v/>
      </c>
      <c r="F1221" s="4">
        <f>Raw_Transactions!F1221</f>
        <v/>
      </c>
      <c r="G1221" s="4">
        <f>Raw_Transactions!G1221</f>
        <v/>
      </c>
      <c r="H1221" s="4">
        <f>XLOOKUP(B1221,Raw_Risk_Profiles!$A:$A,Raw_Risk_Profiles!$B:$B,"Not Found")</f>
        <v/>
      </c>
      <c r="I1221" s="4">
        <f>XLOOKUP(B1221,Raw_Risk_Profiles!$A:$A,Raw_Risk_Profiles!$C:$C,"Missing")</f>
        <v/>
      </c>
      <c r="J1221" s="4">
        <f>XLOOKUP(B1221,Raw_Risk_Profiles!$A:$A,Raw_Risk_Profiles!$D:$D,"")</f>
        <v/>
      </c>
      <c r="K1221" s="4">
        <f>IFERROR(INDEX(Raw_Risk_Profiles!$E:$E,MATCH(B1221,Raw_Risk_Profiles!$A:$A,0)),"Unknown")</f>
        <v/>
      </c>
      <c r="L1221" s="4">
        <f>IFERROR(XLOOKUP(A1221,Raw_Alerts!$B:$B,Raw_Alerts!$A:$A),"No Alert")</f>
        <v/>
      </c>
      <c r="M1221" s="4">
        <f>IFERROR(XLOOKUP(A1221,Raw_Alerts!$B:$B,Raw_Alerts!$C:$C),"")</f>
        <v/>
      </c>
      <c r="N1221" s="4">
        <f>IFERROR(XLOOKUP(A1221,Raw_Alerts!$B:$B,Raw_Alerts!$D:$D),"")</f>
        <v/>
      </c>
      <c r="O1221" s="4">
        <f>IFERROR(XLOOKUP(A1221,Raw_Alerts!$B:$B,Raw_Alerts!$F:$F),"")</f>
        <v/>
      </c>
      <c r="P1221" s="4">
        <f>IF(H1221="Not Found","CRITICAL: No Risk Profile",IF(I1221="Missing","WARN: Missing KYC",IF(I1221="Expired","WARN: KYC Expired",IF(I1221="Pending","INFO: KYC Pending","OK"))))</f>
        <v/>
      </c>
    </row>
    <row r="1222">
      <c r="A1222" s="2">
        <f>Raw_Transactions!A1222</f>
        <v/>
      </c>
      <c r="B1222" s="2">
        <f>Raw_Transactions!B1222</f>
        <v/>
      </c>
      <c r="C1222" s="2">
        <f>Raw_Transactions!C1222</f>
        <v/>
      </c>
      <c r="D1222" s="3">
        <f>Raw_Transactions!D1222</f>
        <v/>
      </c>
      <c r="E1222" s="2">
        <f>Raw_Transactions!E1222</f>
        <v/>
      </c>
      <c r="F1222" s="2">
        <f>Raw_Transactions!F1222</f>
        <v/>
      </c>
      <c r="G1222" s="2">
        <f>Raw_Transactions!G1222</f>
        <v/>
      </c>
      <c r="H1222" s="2">
        <f>XLOOKUP(B1222,Raw_Risk_Profiles!$A:$A,Raw_Risk_Profiles!$B:$B,"Not Found")</f>
        <v/>
      </c>
      <c r="I1222" s="2">
        <f>XLOOKUP(B1222,Raw_Risk_Profiles!$A:$A,Raw_Risk_Profiles!$C:$C,"Missing")</f>
        <v/>
      </c>
      <c r="J1222" s="2">
        <f>XLOOKUP(B1222,Raw_Risk_Profiles!$A:$A,Raw_Risk_Profiles!$D:$D,"")</f>
        <v/>
      </c>
      <c r="K1222" s="2">
        <f>IFERROR(INDEX(Raw_Risk_Profiles!$E:$E,MATCH(B1222,Raw_Risk_Profiles!$A:$A,0)),"Unknown")</f>
        <v/>
      </c>
      <c r="L1222" s="2">
        <f>IFERROR(XLOOKUP(A1222,Raw_Alerts!$B:$B,Raw_Alerts!$A:$A),"No Alert")</f>
        <v/>
      </c>
      <c r="M1222" s="2">
        <f>IFERROR(XLOOKUP(A1222,Raw_Alerts!$B:$B,Raw_Alerts!$C:$C),"")</f>
        <v/>
      </c>
      <c r="N1222" s="2">
        <f>IFERROR(XLOOKUP(A1222,Raw_Alerts!$B:$B,Raw_Alerts!$D:$D),"")</f>
        <v/>
      </c>
      <c r="O1222" s="2">
        <f>IFERROR(XLOOKUP(A1222,Raw_Alerts!$B:$B,Raw_Alerts!$F:$F),"")</f>
        <v/>
      </c>
      <c r="P1222" s="2">
        <f>IF(H1222="Not Found","CRITICAL: No Risk Profile",IF(I1222="Missing","WARN: Missing KYC",IF(I1222="Expired","WARN: KYC Expired",IF(I1222="Pending","INFO: KYC Pending","OK"))))</f>
        <v/>
      </c>
    </row>
    <row r="1223">
      <c r="A1223" s="4">
        <f>Raw_Transactions!A1223</f>
        <v/>
      </c>
      <c r="B1223" s="4">
        <f>Raw_Transactions!B1223</f>
        <v/>
      </c>
      <c r="C1223" s="4">
        <f>Raw_Transactions!C1223</f>
        <v/>
      </c>
      <c r="D1223" s="5">
        <f>Raw_Transactions!D1223</f>
        <v/>
      </c>
      <c r="E1223" s="4">
        <f>Raw_Transactions!E1223</f>
        <v/>
      </c>
      <c r="F1223" s="4">
        <f>Raw_Transactions!F1223</f>
        <v/>
      </c>
      <c r="G1223" s="4">
        <f>Raw_Transactions!G1223</f>
        <v/>
      </c>
      <c r="H1223" s="4">
        <f>XLOOKUP(B1223,Raw_Risk_Profiles!$A:$A,Raw_Risk_Profiles!$B:$B,"Not Found")</f>
        <v/>
      </c>
      <c r="I1223" s="4">
        <f>XLOOKUP(B1223,Raw_Risk_Profiles!$A:$A,Raw_Risk_Profiles!$C:$C,"Missing")</f>
        <v/>
      </c>
      <c r="J1223" s="4">
        <f>XLOOKUP(B1223,Raw_Risk_Profiles!$A:$A,Raw_Risk_Profiles!$D:$D,"")</f>
        <v/>
      </c>
      <c r="K1223" s="4">
        <f>IFERROR(INDEX(Raw_Risk_Profiles!$E:$E,MATCH(B1223,Raw_Risk_Profiles!$A:$A,0)),"Unknown")</f>
        <v/>
      </c>
      <c r="L1223" s="4">
        <f>IFERROR(XLOOKUP(A1223,Raw_Alerts!$B:$B,Raw_Alerts!$A:$A),"No Alert")</f>
        <v/>
      </c>
      <c r="M1223" s="4">
        <f>IFERROR(XLOOKUP(A1223,Raw_Alerts!$B:$B,Raw_Alerts!$C:$C),"")</f>
        <v/>
      </c>
      <c r="N1223" s="4">
        <f>IFERROR(XLOOKUP(A1223,Raw_Alerts!$B:$B,Raw_Alerts!$D:$D),"")</f>
        <v/>
      </c>
      <c r="O1223" s="4">
        <f>IFERROR(XLOOKUP(A1223,Raw_Alerts!$B:$B,Raw_Alerts!$F:$F),"")</f>
        <v/>
      </c>
      <c r="P1223" s="4">
        <f>IF(H1223="Not Found","CRITICAL: No Risk Profile",IF(I1223="Missing","WARN: Missing KYC",IF(I1223="Expired","WARN: KYC Expired",IF(I1223="Pending","INFO: KYC Pending","OK"))))</f>
        <v/>
      </c>
    </row>
    <row r="1224">
      <c r="A1224" s="2">
        <f>Raw_Transactions!A1224</f>
        <v/>
      </c>
      <c r="B1224" s="2">
        <f>Raw_Transactions!B1224</f>
        <v/>
      </c>
      <c r="C1224" s="2">
        <f>Raw_Transactions!C1224</f>
        <v/>
      </c>
      <c r="D1224" s="3">
        <f>Raw_Transactions!D1224</f>
        <v/>
      </c>
      <c r="E1224" s="2">
        <f>Raw_Transactions!E1224</f>
        <v/>
      </c>
      <c r="F1224" s="2">
        <f>Raw_Transactions!F1224</f>
        <v/>
      </c>
      <c r="G1224" s="2">
        <f>Raw_Transactions!G1224</f>
        <v/>
      </c>
      <c r="H1224" s="2">
        <f>XLOOKUP(B1224,Raw_Risk_Profiles!$A:$A,Raw_Risk_Profiles!$B:$B,"Not Found")</f>
        <v/>
      </c>
      <c r="I1224" s="2">
        <f>XLOOKUP(B1224,Raw_Risk_Profiles!$A:$A,Raw_Risk_Profiles!$C:$C,"Missing")</f>
        <v/>
      </c>
      <c r="J1224" s="2">
        <f>XLOOKUP(B1224,Raw_Risk_Profiles!$A:$A,Raw_Risk_Profiles!$D:$D,"")</f>
        <v/>
      </c>
      <c r="K1224" s="2">
        <f>IFERROR(INDEX(Raw_Risk_Profiles!$E:$E,MATCH(B1224,Raw_Risk_Profiles!$A:$A,0)),"Unknown")</f>
        <v/>
      </c>
      <c r="L1224" s="2">
        <f>IFERROR(XLOOKUP(A1224,Raw_Alerts!$B:$B,Raw_Alerts!$A:$A),"No Alert")</f>
        <v/>
      </c>
      <c r="M1224" s="2">
        <f>IFERROR(XLOOKUP(A1224,Raw_Alerts!$B:$B,Raw_Alerts!$C:$C),"")</f>
        <v/>
      </c>
      <c r="N1224" s="2">
        <f>IFERROR(XLOOKUP(A1224,Raw_Alerts!$B:$B,Raw_Alerts!$D:$D),"")</f>
        <v/>
      </c>
      <c r="O1224" s="2">
        <f>IFERROR(XLOOKUP(A1224,Raw_Alerts!$B:$B,Raw_Alerts!$F:$F),"")</f>
        <v/>
      </c>
      <c r="P1224" s="2">
        <f>IF(H1224="Not Found","CRITICAL: No Risk Profile",IF(I1224="Missing","WARN: Missing KYC",IF(I1224="Expired","WARN: KYC Expired",IF(I1224="Pending","INFO: KYC Pending","OK"))))</f>
        <v/>
      </c>
    </row>
    <row r="1225">
      <c r="A1225" s="4">
        <f>Raw_Transactions!A1225</f>
        <v/>
      </c>
      <c r="B1225" s="4">
        <f>Raw_Transactions!B1225</f>
        <v/>
      </c>
      <c r="C1225" s="4">
        <f>Raw_Transactions!C1225</f>
        <v/>
      </c>
      <c r="D1225" s="5">
        <f>Raw_Transactions!D1225</f>
        <v/>
      </c>
      <c r="E1225" s="4">
        <f>Raw_Transactions!E1225</f>
        <v/>
      </c>
      <c r="F1225" s="4">
        <f>Raw_Transactions!F1225</f>
        <v/>
      </c>
      <c r="G1225" s="4">
        <f>Raw_Transactions!G1225</f>
        <v/>
      </c>
      <c r="H1225" s="4">
        <f>XLOOKUP(B1225,Raw_Risk_Profiles!$A:$A,Raw_Risk_Profiles!$B:$B,"Not Found")</f>
        <v/>
      </c>
      <c r="I1225" s="4">
        <f>XLOOKUP(B1225,Raw_Risk_Profiles!$A:$A,Raw_Risk_Profiles!$C:$C,"Missing")</f>
        <v/>
      </c>
      <c r="J1225" s="4">
        <f>XLOOKUP(B1225,Raw_Risk_Profiles!$A:$A,Raw_Risk_Profiles!$D:$D,"")</f>
        <v/>
      </c>
      <c r="K1225" s="4">
        <f>IFERROR(INDEX(Raw_Risk_Profiles!$E:$E,MATCH(B1225,Raw_Risk_Profiles!$A:$A,0)),"Unknown")</f>
        <v/>
      </c>
      <c r="L1225" s="4">
        <f>IFERROR(XLOOKUP(A1225,Raw_Alerts!$B:$B,Raw_Alerts!$A:$A),"No Alert")</f>
        <v/>
      </c>
      <c r="M1225" s="4">
        <f>IFERROR(XLOOKUP(A1225,Raw_Alerts!$B:$B,Raw_Alerts!$C:$C),"")</f>
        <v/>
      </c>
      <c r="N1225" s="4">
        <f>IFERROR(XLOOKUP(A1225,Raw_Alerts!$B:$B,Raw_Alerts!$D:$D),"")</f>
        <v/>
      </c>
      <c r="O1225" s="4">
        <f>IFERROR(XLOOKUP(A1225,Raw_Alerts!$B:$B,Raw_Alerts!$F:$F),"")</f>
        <v/>
      </c>
      <c r="P1225" s="4">
        <f>IF(H1225="Not Found","CRITICAL: No Risk Profile",IF(I1225="Missing","WARN: Missing KYC",IF(I1225="Expired","WARN: KYC Expired",IF(I1225="Pending","INFO: KYC Pending","OK"))))</f>
        <v/>
      </c>
    </row>
    <row r="1226">
      <c r="A1226" s="2">
        <f>Raw_Transactions!A1226</f>
        <v/>
      </c>
      <c r="B1226" s="2">
        <f>Raw_Transactions!B1226</f>
        <v/>
      </c>
      <c r="C1226" s="2">
        <f>Raw_Transactions!C1226</f>
        <v/>
      </c>
      <c r="D1226" s="3">
        <f>Raw_Transactions!D1226</f>
        <v/>
      </c>
      <c r="E1226" s="2">
        <f>Raw_Transactions!E1226</f>
        <v/>
      </c>
      <c r="F1226" s="2">
        <f>Raw_Transactions!F1226</f>
        <v/>
      </c>
      <c r="G1226" s="2">
        <f>Raw_Transactions!G1226</f>
        <v/>
      </c>
      <c r="H1226" s="2">
        <f>XLOOKUP(B1226,Raw_Risk_Profiles!$A:$A,Raw_Risk_Profiles!$B:$B,"Not Found")</f>
        <v/>
      </c>
      <c r="I1226" s="2">
        <f>XLOOKUP(B1226,Raw_Risk_Profiles!$A:$A,Raw_Risk_Profiles!$C:$C,"Missing")</f>
        <v/>
      </c>
      <c r="J1226" s="2">
        <f>XLOOKUP(B1226,Raw_Risk_Profiles!$A:$A,Raw_Risk_Profiles!$D:$D,"")</f>
        <v/>
      </c>
      <c r="K1226" s="2">
        <f>IFERROR(INDEX(Raw_Risk_Profiles!$E:$E,MATCH(B1226,Raw_Risk_Profiles!$A:$A,0)),"Unknown")</f>
        <v/>
      </c>
      <c r="L1226" s="2">
        <f>IFERROR(XLOOKUP(A1226,Raw_Alerts!$B:$B,Raw_Alerts!$A:$A),"No Alert")</f>
        <v/>
      </c>
      <c r="M1226" s="2">
        <f>IFERROR(XLOOKUP(A1226,Raw_Alerts!$B:$B,Raw_Alerts!$C:$C),"")</f>
        <v/>
      </c>
      <c r="N1226" s="2">
        <f>IFERROR(XLOOKUP(A1226,Raw_Alerts!$B:$B,Raw_Alerts!$D:$D),"")</f>
        <v/>
      </c>
      <c r="O1226" s="2">
        <f>IFERROR(XLOOKUP(A1226,Raw_Alerts!$B:$B,Raw_Alerts!$F:$F),"")</f>
        <v/>
      </c>
      <c r="P1226" s="2">
        <f>IF(H1226="Not Found","CRITICAL: No Risk Profile",IF(I1226="Missing","WARN: Missing KYC",IF(I1226="Expired","WARN: KYC Expired",IF(I1226="Pending","INFO: KYC Pending","OK"))))</f>
        <v/>
      </c>
    </row>
    <row r="1227">
      <c r="A1227" s="4">
        <f>Raw_Transactions!A1227</f>
        <v/>
      </c>
      <c r="B1227" s="4">
        <f>Raw_Transactions!B1227</f>
        <v/>
      </c>
      <c r="C1227" s="4">
        <f>Raw_Transactions!C1227</f>
        <v/>
      </c>
      <c r="D1227" s="5">
        <f>Raw_Transactions!D1227</f>
        <v/>
      </c>
      <c r="E1227" s="4">
        <f>Raw_Transactions!E1227</f>
        <v/>
      </c>
      <c r="F1227" s="4">
        <f>Raw_Transactions!F1227</f>
        <v/>
      </c>
      <c r="G1227" s="4">
        <f>Raw_Transactions!G1227</f>
        <v/>
      </c>
      <c r="H1227" s="4">
        <f>XLOOKUP(B1227,Raw_Risk_Profiles!$A:$A,Raw_Risk_Profiles!$B:$B,"Not Found")</f>
        <v/>
      </c>
      <c r="I1227" s="4">
        <f>XLOOKUP(B1227,Raw_Risk_Profiles!$A:$A,Raw_Risk_Profiles!$C:$C,"Missing")</f>
        <v/>
      </c>
      <c r="J1227" s="4">
        <f>XLOOKUP(B1227,Raw_Risk_Profiles!$A:$A,Raw_Risk_Profiles!$D:$D,"")</f>
        <v/>
      </c>
      <c r="K1227" s="4">
        <f>IFERROR(INDEX(Raw_Risk_Profiles!$E:$E,MATCH(B1227,Raw_Risk_Profiles!$A:$A,0)),"Unknown")</f>
        <v/>
      </c>
      <c r="L1227" s="4">
        <f>IFERROR(XLOOKUP(A1227,Raw_Alerts!$B:$B,Raw_Alerts!$A:$A),"No Alert")</f>
        <v/>
      </c>
      <c r="M1227" s="4">
        <f>IFERROR(XLOOKUP(A1227,Raw_Alerts!$B:$B,Raw_Alerts!$C:$C),"")</f>
        <v/>
      </c>
      <c r="N1227" s="4">
        <f>IFERROR(XLOOKUP(A1227,Raw_Alerts!$B:$B,Raw_Alerts!$D:$D),"")</f>
        <v/>
      </c>
      <c r="O1227" s="4">
        <f>IFERROR(XLOOKUP(A1227,Raw_Alerts!$B:$B,Raw_Alerts!$F:$F),"")</f>
        <v/>
      </c>
      <c r="P1227" s="4">
        <f>IF(H1227="Not Found","CRITICAL: No Risk Profile",IF(I1227="Missing","WARN: Missing KYC",IF(I1227="Expired","WARN: KYC Expired",IF(I1227="Pending","INFO: KYC Pending","OK"))))</f>
        <v/>
      </c>
    </row>
    <row r="1228">
      <c r="A1228" s="2">
        <f>Raw_Transactions!A1228</f>
        <v/>
      </c>
      <c r="B1228" s="2">
        <f>Raw_Transactions!B1228</f>
        <v/>
      </c>
      <c r="C1228" s="2">
        <f>Raw_Transactions!C1228</f>
        <v/>
      </c>
      <c r="D1228" s="3">
        <f>Raw_Transactions!D1228</f>
        <v/>
      </c>
      <c r="E1228" s="2">
        <f>Raw_Transactions!E1228</f>
        <v/>
      </c>
      <c r="F1228" s="2">
        <f>Raw_Transactions!F1228</f>
        <v/>
      </c>
      <c r="G1228" s="2">
        <f>Raw_Transactions!G1228</f>
        <v/>
      </c>
      <c r="H1228" s="2">
        <f>XLOOKUP(B1228,Raw_Risk_Profiles!$A:$A,Raw_Risk_Profiles!$B:$B,"Not Found")</f>
        <v/>
      </c>
      <c r="I1228" s="2">
        <f>XLOOKUP(B1228,Raw_Risk_Profiles!$A:$A,Raw_Risk_Profiles!$C:$C,"Missing")</f>
        <v/>
      </c>
      <c r="J1228" s="2">
        <f>XLOOKUP(B1228,Raw_Risk_Profiles!$A:$A,Raw_Risk_Profiles!$D:$D,"")</f>
        <v/>
      </c>
      <c r="K1228" s="2">
        <f>IFERROR(INDEX(Raw_Risk_Profiles!$E:$E,MATCH(B1228,Raw_Risk_Profiles!$A:$A,0)),"Unknown")</f>
        <v/>
      </c>
      <c r="L1228" s="2">
        <f>IFERROR(XLOOKUP(A1228,Raw_Alerts!$B:$B,Raw_Alerts!$A:$A),"No Alert")</f>
        <v/>
      </c>
      <c r="M1228" s="2">
        <f>IFERROR(XLOOKUP(A1228,Raw_Alerts!$B:$B,Raw_Alerts!$C:$C),"")</f>
        <v/>
      </c>
      <c r="N1228" s="2">
        <f>IFERROR(XLOOKUP(A1228,Raw_Alerts!$B:$B,Raw_Alerts!$D:$D),"")</f>
        <v/>
      </c>
      <c r="O1228" s="2">
        <f>IFERROR(XLOOKUP(A1228,Raw_Alerts!$B:$B,Raw_Alerts!$F:$F),"")</f>
        <v/>
      </c>
      <c r="P1228" s="2">
        <f>IF(H1228="Not Found","CRITICAL: No Risk Profile",IF(I1228="Missing","WARN: Missing KYC",IF(I1228="Expired","WARN: KYC Expired",IF(I1228="Pending","INFO: KYC Pending","OK"))))</f>
        <v/>
      </c>
    </row>
    <row r="1229">
      <c r="A1229" s="4">
        <f>Raw_Transactions!A1229</f>
        <v/>
      </c>
      <c r="B1229" s="4">
        <f>Raw_Transactions!B1229</f>
        <v/>
      </c>
      <c r="C1229" s="4">
        <f>Raw_Transactions!C1229</f>
        <v/>
      </c>
      <c r="D1229" s="5">
        <f>Raw_Transactions!D1229</f>
        <v/>
      </c>
      <c r="E1229" s="4">
        <f>Raw_Transactions!E1229</f>
        <v/>
      </c>
      <c r="F1229" s="4">
        <f>Raw_Transactions!F1229</f>
        <v/>
      </c>
      <c r="G1229" s="4">
        <f>Raw_Transactions!G1229</f>
        <v/>
      </c>
      <c r="H1229" s="4">
        <f>XLOOKUP(B1229,Raw_Risk_Profiles!$A:$A,Raw_Risk_Profiles!$B:$B,"Not Found")</f>
        <v/>
      </c>
      <c r="I1229" s="4">
        <f>XLOOKUP(B1229,Raw_Risk_Profiles!$A:$A,Raw_Risk_Profiles!$C:$C,"Missing")</f>
        <v/>
      </c>
      <c r="J1229" s="4">
        <f>XLOOKUP(B1229,Raw_Risk_Profiles!$A:$A,Raw_Risk_Profiles!$D:$D,"")</f>
        <v/>
      </c>
      <c r="K1229" s="4">
        <f>IFERROR(INDEX(Raw_Risk_Profiles!$E:$E,MATCH(B1229,Raw_Risk_Profiles!$A:$A,0)),"Unknown")</f>
        <v/>
      </c>
      <c r="L1229" s="4">
        <f>IFERROR(XLOOKUP(A1229,Raw_Alerts!$B:$B,Raw_Alerts!$A:$A),"No Alert")</f>
        <v/>
      </c>
      <c r="M1229" s="4">
        <f>IFERROR(XLOOKUP(A1229,Raw_Alerts!$B:$B,Raw_Alerts!$C:$C),"")</f>
        <v/>
      </c>
      <c r="N1229" s="4">
        <f>IFERROR(XLOOKUP(A1229,Raw_Alerts!$B:$B,Raw_Alerts!$D:$D),"")</f>
        <v/>
      </c>
      <c r="O1229" s="4">
        <f>IFERROR(XLOOKUP(A1229,Raw_Alerts!$B:$B,Raw_Alerts!$F:$F),"")</f>
        <v/>
      </c>
      <c r="P1229" s="4">
        <f>IF(H1229="Not Found","CRITICAL: No Risk Profile",IF(I1229="Missing","WARN: Missing KYC",IF(I1229="Expired","WARN: KYC Expired",IF(I1229="Pending","INFO: KYC Pending","OK"))))</f>
        <v/>
      </c>
    </row>
    <row r="1230">
      <c r="A1230" s="2">
        <f>Raw_Transactions!A1230</f>
        <v/>
      </c>
      <c r="B1230" s="2">
        <f>Raw_Transactions!B1230</f>
        <v/>
      </c>
      <c r="C1230" s="2">
        <f>Raw_Transactions!C1230</f>
        <v/>
      </c>
      <c r="D1230" s="3">
        <f>Raw_Transactions!D1230</f>
        <v/>
      </c>
      <c r="E1230" s="2">
        <f>Raw_Transactions!E1230</f>
        <v/>
      </c>
      <c r="F1230" s="2">
        <f>Raw_Transactions!F1230</f>
        <v/>
      </c>
      <c r="G1230" s="2">
        <f>Raw_Transactions!G1230</f>
        <v/>
      </c>
      <c r="H1230" s="2">
        <f>XLOOKUP(B1230,Raw_Risk_Profiles!$A:$A,Raw_Risk_Profiles!$B:$B,"Not Found")</f>
        <v/>
      </c>
      <c r="I1230" s="2">
        <f>XLOOKUP(B1230,Raw_Risk_Profiles!$A:$A,Raw_Risk_Profiles!$C:$C,"Missing")</f>
        <v/>
      </c>
      <c r="J1230" s="2">
        <f>XLOOKUP(B1230,Raw_Risk_Profiles!$A:$A,Raw_Risk_Profiles!$D:$D,"")</f>
        <v/>
      </c>
      <c r="K1230" s="2">
        <f>IFERROR(INDEX(Raw_Risk_Profiles!$E:$E,MATCH(B1230,Raw_Risk_Profiles!$A:$A,0)),"Unknown")</f>
        <v/>
      </c>
      <c r="L1230" s="2">
        <f>IFERROR(XLOOKUP(A1230,Raw_Alerts!$B:$B,Raw_Alerts!$A:$A),"No Alert")</f>
        <v/>
      </c>
      <c r="M1230" s="2">
        <f>IFERROR(XLOOKUP(A1230,Raw_Alerts!$B:$B,Raw_Alerts!$C:$C),"")</f>
        <v/>
      </c>
      <c r="N1230" s="2">
        <f>IFERROR(XLOOKUP(A1230,Raw_Alerts!$B:$B,Raw_Alerts!$D:$D),"")</f>
        <v/>
      </c>
      <c r="O1230" s="2">
        <f>IFERROR(XLOOKUP(A1230,Raw_Alerts!$B:$B,Raw_Alerts!$F:$F),"")</f>
        <v/>
      </c>
      <c r="P1230" s="2">
        <f>IF(H1230="Not Found","CRITICAL: No Risk Profile",IF(I1230="Missing","WARN: Missing KYC",IF(I1230="Expired","WARN: KYC Expired",IF(I1230="Pending","INFO: KYC Pending","OK"))))</f>
        <v/>
      </c>
    </row>
    <row r="1231">
      <c r="A1231" s="4">
        <f>Raw_Transactions!A1231</f>
        <v/>
      </c>
      <c r="B1231" s="4">
        <f>Raw_Transactions!B1231</f>
        <v/>
      </c>
      <c r="C1231" s="4">
        <f>Raw_Transactions!C1231</f>
        <v/>
      </c>
      <c r="D1231" s="5">
        <f>Raw_Transactions!D1231</f>
        <v/>
      </c>
      <c r="E1231" s="4">
        <f>Raw_Transactions!E1231</f>
        <v/>
      </c>
      <c r="F1231" s="4">
        <f>Raw_Transactions!F1231</f>
        <v/>
      </c>
      <c r="G1231" s="4">
        <f>Raw_Transactions!G1231</f>
        <v/>
      </c>
      <c r="H1231" s="4">
        <f>XLOOKUP(B1231,Raw_Risk_Profiles!$A:$A,Raw_Risk_Profiles!$B:$B,"Not Found")</f>
        <v/>
      </c>
      <c r="I1231" s="4">
        <f>XLOOKUP(B1231,Raw_Risk_Profiles!$A:$A,Raw_Risk_Profiles!$C:$C,"Missing")</f>
        <v/>
      </c>
      <c r="J1231" s="4">
        <f>XLOOKUP(B1231,Raw_Risk_Profiles!$A:$A,Raw_Risk_Profiles!$D:$D,"")</f>
        <v/>
      </c>
      <c r="K1231" s="4">
        <f>IFERROR(INDEX(Raw_Risk_Profiles!$E:$E,MATCH(B1231,Raw_Risk_Profiles!$A:$A,0)),"Unknown")</f>
        <v/>
      </c>
      <c r="L1231" s="4">
        <f>IFERROR(XLOOKUP(A1231,Raw_Alerts!$B:$B,Raw_Alerts!$A:$A),"No Alert")</f>
        <v/>
      </c>
      <c r="M1231" s="4">
        <f>IFERROR(XLOOKUP(A1231,Raw_Alerts!$B:$B,Raw_Alerts!$C:$C),"")</f>
        <v/>
      </c>
      <c r="N1231" s="4">
        <f>IFERROR(XLOOKUP(A1231,Raw_Alerts!$B:$B,Raw_Alerts!$D:$D),"")</f>
        <v/>
      </c>
      <c r="O1231" s="4">
        <f>IFERROR(XLOOKUP(A1231,Raw_Alerts!$B:$B,Raw_Alerts!$F:$F),"")</f>
        <v/>
      </c>
      <c r="P1231" s="4">
        <f>IF(H1231="Not Found","CRITICAL: No Risk Profile",IF(I1231="Missing","WARN: Missing KYC",IF(I1231="Expired","WARN: KYC Expired",IF(I1231="Pending","INFO: KYC Pending","OK"))))</f>
        <v/>
      </c>
    </row>
    <row r="1232">
      <c r="A1232" s="2">
        <f>Raw_Transactions!A1232</f>
        <v/>
      </c>
      <c r="B1232" s="2">
        <f>Raw_Transactions!B1232</f>
        <v/>
      </c>
      <c r="C1232" s="2">
        <f>Raw_Transactions!C1232</f>
        <v/>
      </c>
      <c r="D1232" s="3">
        <f>Raw_Transactions!D1232</f>
        <v/>
      </c>
      <c r="E1232" s="2">
        <f>Raw_Transactions!E1232</f>
        <v/>
      </c>
      <c r="F1232" s="2">
        <f>Raw_Transactions!F1232</f>
        <v/>
      </c>
      <c r="G1232" s="2">
        <f>Raw_Transactions!G1232</f>
        <v/>
      </c>
      <c r="H1232" s="2">
        <f>XLOOKUP(B1232,Raw_Risk_Profiles!$A:$A,Raw_Risk_Profiles!$B:$B,"Not Found")</f>
        <v/>
      </c>
      <c r="I1232" s="2">
        <f>XLOOKUP(B1232,Raw_Risk_Profiles!$A:$A,Raw_Risk_Profiles!$C:$C,"Missing")</f>
        <v/>
      </c>
      <c r="J1232" s="2">
        <f>XLOOKUP(B1232,Raw_Risk_Profiles!$A:$A,Raw_Risk_Profiles!$D:$D,"")</f>
        <v/>
      </c>
      <c r="K1232" s="2">
        <f>IFERROR(INDEX(Raw_Risk_Profiles!$E:$E,MATCH(B1232,Raw_Risk_Profiles!$A:$A,0)),"Unknown")</f>
        <v/>
      </c>
      <c r="L1232" s="2">
        <f>IFERROR(XLOOKUP(A1232,Raw_Alerts!$B:$B,Raw_Alerts!$A:$A),"No Alert")</f>
        <v/>
      </c>
      <c r="M1232" s="2">
        <f>IFERROR(XLOOKUP(A1232,Raw_Alerts!$B:$B,Raw_Alerts!$C:$C),"")</f>
        <v/>
      </c>
      <c r="N1232" s="2">
        <f>IFERROR(XLOOKUP(A1232,Raw_Alerts!$B:$B,Raw_Alerts!$D:$D),"")</f>
        <v/>
      </c>
      <c r="O1232" s="2">
        <f>IFERROR(XLOOKUP(A1232,Raw_Alerts!$B:$B,Raw_Alerts!$F:$F),"")</f>
        <v/>
      </c>
      <c r="P1232" s="2">
        <f>IF(H1232="Not Found","CRITICAL: No Risk Profile",IF(I1232="Missing","WARN: Missing KYC",IF(I1232="Expired","WARN: KYC Expired",IF(I1232="Pending","INFO: KYC Pending","OK"))))</f>
        <v/>
      </c>
    </row>
    <row r="1233">
      <c r="A1233" s="4">
        <f>Raw_Transactions!A1233</f>
        <v/>
      </c>
      <c r="B1233" s="4">
        <f>Raw_Transactions!B1233</f>
        <v/>
      </c>
      <c r="C1233" s="4">
        <f>Raw_Transactions!C1233</f>
        <v/>
      </c>
      <c r="D1233" s="5">
        <f>Raw_Transactions!D1233</f>
        <v/>
      </c>
      <c r="E1233" s="4">
        <f>Raw_Transactions!E1233</f>
        <v/>
      </c>
      <c r="F1233" s="4">
        <f>Raw_Transactions!F1233</f>
        <v/>
      </c>
      <c r="G1233" s="4">
        <f>Raw_Transactions!G1233</f>
        <v/>
      </c>
      <c r="H1233" s="4">
        <f>XLOOKUP(B1233,Raw_Risk_Profiles!$A:$A,Raw_Risk_Profiles!$B:$B,"Not Found")</f>
        <v/>
      </c>
      <c r="I1233" s="4">
        <f>XLOOKUP(B1233,Raw_Risk_Profiles!$A:$A,Raw_Risk_Profiles!$C:$C,"Missing")</f>
        <v/>
      </c>
      <c r="J1233" s="4">
        <f>XLOOKUP(B1233,Raw_Risk_Profiles!$A:$A,Raw_Risk_Profiles!$D:$D,"")</f>
        <v/>
      </c>
      <c r="K1233" s="4">
        <f>IFERROR(INDEX(Raw_Risk_Profiles!$E:$E,MATCH(B1233,Raw_Risk_Profiles!$A:$A,0)),"Unknown")</f>
        <v/>
      </c>
      <c r="L1233" s="4">
        <f>IFERROR(XLOOKUP(A1233,Raw_Alerts!$B:$B,Raw_Alerts!$A:$A),"No Alert")</f>
        <v/>
      </c>
      <c r="M1233" s="4">
        <f>IFERROR(XLOOKUP(A1233,Raw_Alerts!$B:$B,Raw_Alerts!$C:$C),"")</f>
        <v/>
      </c>
      <c r="N1233" s="4">
        <f>IFERROR(XLOOKUP(A1233,Raw_Alerts!$B:$B,Raw_Alerts!$D:$D),"")</f>
        <v/>
      </c>
      <c r="O1233" s="4">
        <f>IFERROR(XLOOKUP(A1233,Raw_Alerts!$B:$B,Raw_Alerts!$F:$F),"")</f>
        <v/>
      </c>
      <c r="P1233" s="4">
        <f>IF(H1233="Not Found","CRITICAL: No Risk Profile",IF(I1233="Missing","WARN: Missing KYC",IF(I1233="Expired","WARN: KYC Expired",IF(I1233="Pending","INFO: KYC Pending","OK"))))</f>
        <v/>
      </c>
    </row>
    <row r="1234">
      <c r="A1234" s="2">
        <f>Raw_Transactions!A1234</f>
        <v/>
      </c>
      <c r="B1234" s="2">
        <f>Raw_Transactions!B1234</f>
        <v/>
      </c>
      <c r="C1234" s="2">
        <f>Raw_Transactions!C1234</f>
        <v/>
      </c>
      <c r="D1234" s="3">
        <f>Raw_Transactions!D1234</f>
        <v/>
      </c>
      <c r="E1234" s="2">
        <f>Raw_Transactions!E1234</f>
        <v/>
      </c>
      <c r="F1234" s="2">
        <f>Raw_Transactions!F1234</f>
        <v/>
      </c>
      <c r="G1234" s="2">
        <f>Raw_Transactions!G1234</f>
        <v/>
      </c>
      <c r="H1234" s="2">
        <f>XLOOKUP(B1234,Raw_Risk_Profiles!$A:$A,Raw_Risk_Profiles!$B:$B,"Not Found")</f>
        <v/>
      </c>
      <c r="I1234" s="2">
        <f>XLOOKUP(B1234,Raw_Risk_Profiles!$A:$A,Raw_Risk_Profiles!$C:$C,"Missing")</f>
        <v/>
      </c>
      <c r="J1234" s="2">
        <f>XLOOKUP(B1234,Raw_Risk_Profiles!$A:$A,Raw_Risk_Profiles!$D:$D,"")</f>
        <v/>
      </c>
      <c r="K1234" s="2">
        <f>IFERROR(INDEX(Raw_Risk_Profiles!$E:$E,MATCH(B1234,Raw_Risk_Profiles!$A:$A,0)),"Unknown")</f>
        <v/>
      </c>
      <c r="L1234" s="2">
        <f>IFERROR(XLOOKUP(A1234,Raw_Alerts!$B:$B,Raw_Alerts!$A:$A),"No Alert")</f>
        <v/>
      </c>
      <c r="M1234" s="2">
        <f>IFERROR(XLOOKUP(A1234,Raw_Alerts!$B:$B,Raw_Alerts!$C:$C),"")</f>
        <v/>
      </c>
      <c r="N1234" s="2">
        <f>IFERROR(XLOOKUP(A1234,Raw_Alerts!$B:$B,Raw_Alerts!$D:$D),"")</f>
        <v/>
      </c>
      <c r="O1234" s="2">
        <f>IFERROR(XLOOKUP(A1234,Raw_Alerts!$B:$B,Raw_Alerts!$F:$F),"")</f>
        <v/>
      </c>
      <c r="P1234" s="2">
        <f>IF(H1234="Not Found","CRITICAL: No Risk Profile",IF(I1234="Missing","WARN: Missing KYC",IF(I1234="Expired","WARN: KYC Expired",IF(I1234="Pending","INFO: KYC Pending","OK"))))</f>
        <v/>
      </c>
    </row>
    <row r="1235">
      <c r="A1235" s="4">
        <f>Raw_Transactions!A1235</f>
        <v/>
      </c>
      <c r="B1235" s="4">
        <f>Raw_Transactions!B1235</f>
        <v/>
      </c>
      <c r="C1235" s="4">
        <f>Raw_Transactions!C1235</f>
        <v/>
      </c>
      <c r="D1235" s="5">
        <f>Raw_Transactions!D1235</f>
        <v/>
      </c>
      <c r="E1235" s="4">
        <f>Raw_Transactions!E1235</f>
        <v/>
      </c>
      <c r="F1235" s="4">
        <f>Raw_Transactions!F1235</f>
        <v/>
      </c>
      <c r="G1235" s="4">
        <f>Raw_Transactions!G1235</f>
        <v/>
      </c>
      <c r="H1235" s="4">
        <f>XLOOKUP(B1235,Raw_Risk_Profiles!$A:$A,Raw_Risk_Profiles!$B:$B,"Not Found")</f>
        <v/>
      </c>
      <c r="I1235" s="4">
        <f>XLOOKUP(B1235,Raw_Risk_Profiles!$A:$A,Raw_Risk_Profiles!$C:$C,"Missing")</f>
        <v/>
      </c>
      <c r="J1235" s="4">
        <f>XLOOKUP(B1235,Raw_Risk_Profiles!$A:$A,Raw_Risk_Profiles!$D:$D,"")</f>
        <v/>
      </c>
      <c r="K1235" s="4">
        <f>IFERROR(INDEX(Raw_Risk_Profiles!$E:$E,MATCH(B1235,Raw_Risk_Profiles!$A:$A,0)),"Unknown")</f>
        <v/>
      </c>
      <c r="L1235" s="4">
        <f>IFERROR(XLOOKUP(A1235,Raw_Alerts!$B:$B,Raw_Alerts!$A:$A),"No Alert")</f>
        <v/>
      </c>
      <c r="M1235" s="4">
        <f>IFERROR(XLOOKUP(A1235,Raw_Alerts!$B:$B,Raw_Alerts!$C:$C),"")</f>
        <v/>
      </c>
      <c r="N1235" s="4">
        <f>IFERROR(XLOOKUP(A1235,Raw_Alerts!$B:$B,Raw_Alerts!$D:$D),"")</f>
        <v/>
      </c>
      <c r="O1235" s="4">
        <f>IFERROR(XLOOKUP(A1235,Raw_Alerts!$B:$B,Raw_Alerts!$F:$F),"")</f>
        <v/>
      </c>
      <c r="P1235" s="4">
        <f>IF(H1235="Not Found","CRITICAL: No Risk Profile",IF(I1235="Missing","WARN: Missing KYC",IF(I1235="Expired","WARN: KYC Expired",IF(I1235="Pending","INFO: KYC Pending","OK"))))</f>
        <v/>
      </c>
    </row>
    <row r="1236">
      <c r="A1236" s="2">
        <f>Raw_Transactions!A1236</f>
        <v/>
      </c>
      <c r="B1236" s="2">
        <f>Raw_Transactions!B1236</f>
        <v/>
      </c>
      <c r="C1236" s="2">
        <f>Raw_Transactions!C1236</f>
        <v/>
      </c>
      <c r="D1236" s="3">
        <f>Raw_Transactions!D1236</f>
        <v/>
      </c>
      <c r="E1236" s="2">
        <f>Raw_Transactions!E1236</f>
        <v/>
      </c>
      <c r="F1236" s="2">
        <f>Raw_Transactions!F1236</f>
        <v/>
      </c>
      <c r="G1236" s="2">
        <f>Raw_Transactions!G1236</f>
        <v/>
      </c>
      <c r="H1236" s="2">
        <f>XLOOKUP(B1236,Raw_Risk_Profiles!$A:$A,Raw_Risk_Profiles!$B:$B,"Not Found")</f>
        <v/>
      </c>
      <c r="I1236" s="2">
        <f>XLOOKUP(B1236,Raw_Risk_Profiles!$A:$A,Raw_Risk_Profiles!$C:$C,"Missing")</f>
        <v/>
      </c>
      <c r="J1236" s="2">
        <f>XLOOKUP(B1236,Raw_Risk_Profiles!$A:$A,Raw_Risk_Profiles!$D:$D,"")</f>
        <v/>
      </c>
      <c r="K1236" s="2">
        <f>IFERROR(INDEX(Raw_Risk_Profiles!$E:$E,MATCH(B1236,Raw_Risk_Profiles!$A:$A,0)),"Unknown")</f>
        <v/>
      </c>
      <c r="L1236" s="2">
        <f>IFERROR(XLOOKUP(A1236,Raw_Alerts!$B:$B,Raw_Alerts!$A:$A),"No Alert")</f>
        <v/>
      </c>
      <c r="M1236" s="2">
        <f>IFERROR(XLOOKUP(A1236,Raw_Alerts!$B:$B,Raw_Alerts!$C:$C),"")</f>
        <v/>
      </c>
      <c r="N1236" s="2">
        <f>IFERROR(XLOOKUP(A1236,Raw_Alerts!$B:$B,Raw_Alerts!$D:$D),"")</f>
        <v/>
      </c>
      <c r="O1236" s="2">
        <f>IFERROR(XLOOKUP(A1236,Raw_Alerts!$B:$B,Raw_Alerts!$F:$F),"")</f>
        <v/>
      </c>
      <c r="P1236" s="2">
        <f>IF(H1236="Not Found","CRITICAL: No Risk Profile",IF(I1236="Missing","WARN: Missing KYC",IF(I1236="Expired","WARN: KYC Expired",IF(I1236="Pending","INFO: KYC Pending","OK"))))</f>
        <v/>
      </c>
    </row>
    <row r="1237">
      <c r="A1237" s="4">
        <f>Raw_Transactions!A1237</f>
        <v/>
      </c>
      <c r="B1237" s="4">
        <f>Raw_Transactions!B1237</f>
        <v/>
      </c>
      <c r="C1237" s="4">
        <f>Raw_Transactions!C1237</f>
        <v/>
      </c>
      <c r="D1237" s="5">
        <f>Raw_Transactions!D1237</f>
        <v/>
      </c>
      <c r="E1237" s="4">
        <f>Raw_Transactions!E1237</f>
        <v/>
      </c>
      <c r="F1237" s="4">
        <f>Raw_Transactions!F1237</f>
        <v/>
      </c>
      <c r="G1237" s="4">
        <f>Raw_Transactions!G1237</f>
        <v/>
      </c>
      <c r="H1237" s="4">
        <f>XLOOKUP(B1237,Raw_Risk_Profiles!$A:$A,Raw_Risk_Profiles!$B:$B,"Not Found")</f>
        <v/>
      </c>
      <c r="I1237" s="4">
        <f>XLOOKUP(B1237,Raw_Risk_Profiles!$A:$A,Raw_Risk_Profiles!$C:$C,"Missing")</f>
        <v/>
      </c>
      <c r="J1237" s="4">
        <f>XLOOKUP(B1237,Raw_Risk_Profiles!$A:$A,Raw_Risk_Profiles!$D:$D,"")</f>
        <v/>
      </c>
      <c r="K1237" s="4">
        <f>IFERROR(INDEX(Raw_Risk_Profiles!$E:$E,MATCH(B1237,Raw_Risk_Profiles!$A:$A,0)),"Unknown")</f>
        <v/>
      </c>
      <c r="L1237" s="4">
        <f>IFERROR(XLOOKUP(A1237,Raw_Alerts!$B:$B,Raw_Alerts!$A:$A),"No Alert")</f>
        <v/>
      </c>
      <c r="M1237" s="4">
        <f>IFERROR(XLOOKUP(A1237,Raw_Alerts!$B:$B,Raw_Alerts!$C:$C),"")</f>
        <v/>
      </c>
      <c r="N1237" s="4">
        <f>IFERROR(XLOOKUP(A1237,Raw_Alerts!$B:$B,Raw_Alerts!$D:$D),"")</f>
        <v/>
      </c>
      <c r="O1237" s="4">
        <f>IFERROR(XLOOKUP(A1237,Raw_Alerts!$B:$B,Raw_Alerts!$F:$F),"")</f>
        <v/>
      </c>
      <c r="P1237" s="4">
        <f>IF(H1237="Not Found","CRITICAL: No Risk Profile",IF(I1237="Missing","WARN: Missing KYC",IF(I1237="Expired","WARN: KYC Expired",IF(I1237="Pending","INFO: KYC Pending","OK"))))</f>
        <v/>
      </c>
    </row>
    <row r="1238">
      <c r="A1238" s="2">
        <f>Raw_Transactions!A1238</f>
        <v/>
      </c>
      <c r="B1238" s="2">
        <f>Raw_Transactions!B1238</f>
        <v/>
      </c>
      <c r="C1238" s="2">
        <f>Raw_Transactions!C1238</f>
        <v/>
      </c>
      <c r="D1238" s="3">
        <f>Raw_Transactions!D1238</f>
        <v/>
      </c>
      <c r="E1238" s="2">
        <f>Raw_Transactions!E1238</f>
        <v/>
      </c>
      <c r="F1238" s="2">
        <f>Raw_Transactions!F1238</f>
        <v/>
      </c>
      <c r="G1238" s="2">
        <f>Raw_Transactions!G1238</f>
        <v/>
      </c>
      <c r="H1238" s="2">
        <f>XLOOKUP(B1238,Raw_Risk_Profiles!$A:$A,Raw_Risk_Profiles!$B:$B,"Not Found")</f>
        <v/>
      </c>
      <c r="I1238" s="2">
        <f>XLOOKUP(B1238,Raw_Risk_Profiles!$A:$A,Raw_Risk_Profiles!$C:$C,"Missing")</f>
        <v/>
      </c>
      <c r="J1238" s="2">
        <f>XLOOKUP(B1238,Raw_Risk_Profiles!$A:$A,Raw_Risk_Profiles!$D:$D,"")</f>
        <v/>
      </c>
      <c r="K1238" s="2">
        <f>IFERROR(INDEX(Raw_Risk_Profiles!$E:$E,MATCH(B1238,Raw_Risk_Profiles!$A:$A,0)),"Unknown")</f>
        <v/>
      </c>
      <c r="L1238" s="2">
        <f>IFERROR(XLOOKUP(A1238,Raw_Alerts!$B:$B,Raw_Alerts!$A:$A),"No Alert")</f>
        <v/>
      </c>
      <c r="M1238" s="2">
        <f>IFERROR(XLOOKUP(A1238,Raw_Alerts!$B:$B,Raw_Alerts!$C:$C),"")</f>
        <v/>
      </c>
      <c r="N1238" s="2">
        <f>IFERROR(XLOOKUP(A1238,Raw_Alerts!$B:$B,Raw_Alerts!$D:$D),"")</f>
        <v/>
      </c>
      <c r="O1238" s="2">
        <f>IFERROR(XLOOKUP(A1238,Raw_Alerts!$B:$B,Raw_Alerts!$F:$F),"")</f>
        <v/>
      </c>
      <c r="P1238" s="2">
        <f>IF(H1238="Not Found","CRITICAL: No Risk Profile",IF(I1238="Missing","WARN: Missing KYC",IF(I1238="Expired","WARN: KYC Expired",IF(I1238="Pending","INFO: KYC Pending","OK"))))</f>
        <v/>
      </c>
    </row>
    <row r="1239">
      <c r="A1239" s="4">
        <f>Raw_Transactions!A1239</f>
        <v/>
      </c>
      <c r="B1239" s="4">
        <f>Raw_Transactions!B1239</f>
        <v/>
      </c>
      <c r="C1239" s="4">
        <f>Raw_Transactions!C1239</f>
        <v/>
      </c>
      <c r="D1239" s="5">
        <f>Raw_Transactions!D1239</f>
        <v/>
      </c>
      <c r="E1239" s="4">
        <f>Raw_Transactions!E1239</f>
        <v/>
      </c>
      <c r="F1239" s="4">
        <f>Raw_Transactions!F1239</f>
        <v/>
      </c>
      <c r="G1239" s="4">
        <f>Raw_Transactions!G1239</f>
        <v/>
      </c>
      <c r="H1239" s="4">
        <f>XLOOKUP(B1239,Raw_Risk_Profiles!$A:$A,Raw_Risk_Profiles!$B:$B,"Not Found")</f>
        <v/>
      </c>
      <c r="I1239" s="4">
        <f>XLOOKUP(B1239,Raw_Risk_Profiles!$A:$A,Raw_Risk_Profiles!$C:$C,"Missing")</f>
        <v/>
      </c>
      <c r="J1239" s="4">
        <f>XLOOKUP(B1239,Raw_Risk_Profiles!$A:$A,Raw_Risk_Profiles!$D:$D,"")</f>
        <v/>
      </c>
      <c r="K1239" s="4">
        <f>IFERROR(INDEX(Raw_Risk_Profiles!$E:$E,MATCH(B1239,Raw_Risk_Profiles!$A:$A,0)),"Unknown")</f>
        <v/>
      </c>
      <c r="L1239" s="4">
        <f>IFERROR(XLOOKUP(A1239,Raw_Alerts!$B:$B,Raw_Alerts!$A:$A),"No Alert")</f>
        <v/>
      </c>
      <c r="M1239" s="4">
        <f>IFERROR(XLOOKUP(A1239,Raw_Alerts!$B:$B,Raw_Alerts!$C:$C),"")</f>
        <v/>
      </c>
      <c r="N1239" s="4">
        <f>IFERROR(XLOOKUP(A1239,Raw_Alerts!$B:$B,Raw_Alerts!$D:$D),"")</f>
        <v/>
      </c>
      <c r="O1239" s="4">
        <f>IFERROR(XLOOKUP(A1239,Raw_Alerts!$B:$B,Raw_Alerts!$F:$F),"")</f>
        <v/>
      </c>
      <c r="P1239" s="4">
        <f>IF(H1239="Not Found","CRITICAL: No Risk Profile",IF(I1239="Missing","WARN: Missing KYC",IF(I1239="Expired","WARN: KYC Expired",IF(I1239="Pending","INFO: KYC Pending","OK"))))</f>
        <v/>
      </c>
    </row>
    <row r="1240">
      <c r="A1240" s="2">
        <f>Raw_Transactions!A1240</f>
        <v/>
      </c>
      <c r="B1240" s="2">
        <f>Raw_Transactions!B1240</f>
        <v/>
      </c>
      <c r="C1240" s="2">
        <f>Raw_Transactions!C1240</f>
        <v/>
      </c>
      <c r="D1240" s="3">
        <f>Raw_Transactions!D1240</f>
        <v/>
      </c>
      <c r="E1240" s="2">
        <f>Raw_Transactions!E1240</f>
        <v/>
      </c>
      <c r="F1240" s="2">
        <f>Raw_Transactions!F1240</f>
        <v/>
      </c>
      <c r="G1240" s="2">
        <f>Raw_Transactions!G1240</f>
        <v/>
      </c>
      <c r="H1240" s="2">
        <f>XLOOKUP(B1240,Raw_Risk_Profiles!$A:$A,Raw_Risk_Profiles!$B:$B,"Not Found")</f>
        <v/>
      </c>
      <c r="I1240" s="2">
        <f>XLOOKUP(B1240,Raw_Risk_Profiles!$A:$A,Raw_Risk_Profiles!$C:$C,"Missing")</f>
        <v/>
      </c>
      <c r="J1240" s="2">
        <f>XLOOKUP(B1240,Raw_Risk_Profiles!$A:$A,Raw_Risk_Profiles!$D:$D,"")</f>
        <v/>
      </c>
      <c r="K1240" s="2">
        <f>IFERROR(INDEX(Raw_Risk_Profiles!$E:$E,MATCH(B1240,Raw_Risk_Profiles!$A:$A,0)),"Unknown")</f>
        <v/>
      </c>
      <c r="L1240" s="2">
        <f>IFERROR(XLOOKUP(A1240,Raw_Alerts!$B:$B,Raw_Alerts!$A:$A),"No Alert")</f>
        <v/>
      </c>
      <c r="M1240" s="2">
        <f>IFERROR(XLOOKUP(A1240,Raw_Alerts!$B:$B,Raw_Alerts!$C:$C),"")</f>
        <v/>
      </c>
      <c r="N1240" s="2">
        <f>IFERROR(XLOOKUP(A1240,Raw_Alerts!$B:$B,Raw_Alerts!$D:$D),"")</f>
        <v/>
      </c>
      <c r="O1240" s="2">
        <f>IFERROR(XLOOKUP(A1240,Raw_Alerts!$B:$B,Raw_Alerts!$F:$F),"")</f>
        <v/>
      </c>
      <c r="P1240" s="2">
        <f>IF(H1240="Not Found","CRITICAL: No Risk Profile",IF(I1240="Missing","WARN: Missing KYC",IF(I1240="Expired","WARN: KYC Expired",IF(I1240="Pending","INFO: KYC Pending","OK"))))</f>
        <v/>
      </c>
    </row>
    <row r="1241">
      <c r="A1241" s="4">
        <f>Raw_Transactions!A1241</f>
        <v/>
      </c>
      <c r="B1241" s="4">
        <f>Raw_Transactions!B1241</f>
        <v/>
      </c>
      <c r="C1241" s="4">
        <f>Raw_Transactions!C1241</f>
        <v/>
      </c>
      <c r="D1241" s="5">
        <f>Raw_Transactions!D1241</f>
        <v/>
      </c>
      <c r="E1241" s="4">
        <f>Raw_Transactions!E1241</f>
        <v/>
      </c>
      <c r="F1241" s="4">
        <f>Raw_Transactions!F1241</f>
        <v/>
      </c>
      <c r="G1241" s="4">
        <f>Raw_Transactions!G1241</f>
        <v/>
      </c>
      <c r="H1241" s="4">
        <f>XLOOKUP(B1241,Raw_Risk_Profiles!$A:$A,Raw_Risk_Profiles!$B:$B,"Not Found")</f>
        <v/>
      </c>
      <c r="I1241" s="4">
        <f>XLOOKUP(B1241,Raw_Risk_Profiles!$A:$A,Raw_Risk_Profiles!$C:$C,"Missing")</f>
        <v/>
      </c>
      <c r="J1241" s="4">
        <f>XLOOKUP(B1241,Raw_Risk_Profiles!$A:$A,Raw_Risk_Profiles!$D:$D,"")</f>
        <v/>
      </c>
      <c r="K1241" s="4">
        <f>IFERROR(INDEX(Raw_Risk_Profiles!$E:$E,MATCH(B1241,Raw_Risk_Profiles!$A:$A,0)),"Unknown")</f>
        <v/>
      </c>
      <c r="L1241" s="4">
        <f>IFERROR(XLOOKUP(A1241,Raw_Alerts!$B:$B,Raw_Alerts!$A:$A),"No Alert")</f>
        <v/>
      </c>
      <c r="M1241" s="4">
        <f>IFERROR(XLOOKUP(A1241,Raw_Alerts!$B:$B,Raw_Alerts!$C:$C),"")</f>
        <v/>
      </c>
      <c r="N1241" s="4">
        <f>IFERROR(XLOOKUP(A1241,Raw_Alerts!$B:$B,Raw_Alerts!$D:$D),"")</f>
        <v/>
      </c>
      <c r="O1241" s="4">
        <f>IFERROR(XLOOKUP(A1241,Raw_Alerts!$B:$B,Raw_Alerts!$F:$F),"")</f>
        <v/>
      </c>
      <c r="P1241" s="4">
        <f>IF(H1241="Not Found","CRITICAL: No Risk Profile",IF(I1241="Missing","WARN: Missing KYC",IF(I1241="Expired","WARN: KYC Expired",IF(I1241="Pending","INFO: KYC Pending","OK"))))</f>
        <v/>
      </c>
    </row>
    <row r="1242">
      <c r="A1242" s="2">
        <f>Raw_Transactions!A1242</f>
        <v/>
      </c>
      <c r="B1242" s="2">
        <f>Raw_Transactions!B1242</f>
        <v/>
      </c>
      <c r="C1242" s="2">
        <f>Raw_Transactions!C1242</f>
        <v/>
      </c>
      <c r="D1242" s="3">
        <f>Raw_Transactions!D1242</f>
        <v/>
      </c>
      <c r="E1242" s="2">
        <f>Raw_Transactions!E1242</f>
        <v/>
      </c>
      <c r="F1242" s="2">
        <f>Raw_Transactions!F1242</f>
        <v/>
      </c>
      <c r="G1242" s="2">
        <f>Raw_Transactions!G1242</f>
        <v/>
      </c>
      <c r="H1242" s="2">
        <f>XLOOKUP(B1242,Raw_Risk_Profiles!$A:$A,Raw_Risk_Profiles!$B:$B,"Not Found")</f>
        <v/>
      </c>
      <c r="I1242" s="2">
        <f>XLOOKUP(B1242,Raw_Risk_Profiles!$A:$A,Raw_Risk_Profiles!$C:$C,"Missing")</f>
        <v/>
      </c>
      <c r="J1242" s="2">
        <f>XLOOKUP(B1242,Raw_Risk_Profiles!$A:$A,Raw_Risk_Profiles!$D:$D,"")</f>
        <v/>
      </c>
      <c r="K1242" s="2">
        <f>IFERROR(INDEX(Raw_Risk_Profiles!$E:$E,MATCH(B1242,Raw_Risk_Profiles!$A:$A,0)),"Unknown")</f>
        <v/>
      </c>
      <c r="L1242" s="2">
        <f>IFERROR(XLOOKUP(A1242,Raw_Alerts!$B:$B,Raw_Alerts!$A:$A),"No Alert")</f>
        <v/>
      </c>
      <c r="M1242" s="2">
        <f>IFERROR(XLOOKUP(A1242,Raw_Alerts!$B:$B,Raw_Alerts!$C:$C),"")</f>
        <v/>
      </c>
      <c r="N1242" s="2">
        <f>IFERROR(XLOOKUP(A1242,Raw_Alerts!$B:$B,Raw_Alerts!$D:$D),"")</f>
        <v/>
      </c>
      <c r="O1242" s="2">
        <f>IFERROR(XLOOKUP(A1242,Raw_Alerts!$B:$B,Raw_Alerts!$F:$F),"")</f>
        <v/>
      </c>
      <c r="P1242" s="2">
        <f>IF(H1242="Not Found","CRITICAL: No Risk Profile",IF(I1242="Missing","WARN: Missing KYC",IF(I1242="Expired","WARN: KYC Expired",IF(I1242="Pending","INFO: KYC Pending","OK"))))</f>
        <v/>
      </c>
    </row>
    <row r="1243">
      <c r="A1243" s="4">
        <f>Raw_Transactions!A1243</f>
        <v/>
      </c>
      <c r="B1243" s="4">
        <f>Raw_Transactions!B1243</f>
        <v/>
      </c>
      <c r="C1243" s="4">
        <f>Raw_Transactions!C1243</f>
        <v/>
      </c>
      <c r="D1243" s="5">
        <f>Raw_Transactions!D1243</f>
        <v/>
      </c>
      <c r="E1243" s="4">
        <f>Raw_Transactions!E1243</f>
        <v/>
      </c>
      <c r="F1243" s="4">
        <f>Raw_Transactions!F1243</f>
        <v/>
      </c>
      <c r="G1243" s="4">
        <f>Raw_Transactions!G1243</f>
        <v/>
      </c>
      <c r="H1243" s="4">
        <f>XLOOKUP(B1243,Raw_Risk_Profiles!$A:$A,Raw_Risk_Profiles!$B:$B,"Not Found")</f>
        <v/>
      </c>
      <c r="I1243" s="4">
        <f>XLOOKUP(B1243,Raw_Risk_Profiles!$A:$A,Raw_Risk_Profiles!$C:$C,"Missing")</f>
        <v/>
      </c>
      <c r="J1243" s="4">
        <f>XLOOKUP(B1243,Raw_Risk_Profiles!$A:$A,Raw_Risk_Profiles!$D:$D,"")</f>
        <v/>
      </c>
      <c r="K1243" s="4">
        <f>IFERROR(INDEX(Raw_Risk_Profiles!$E:$E,MATCH(B1243,Raw_Risk_Profiles!$A:$A,0)),"Unknown")</f>
        <v/>
      </c>
      <c r="L1243" s="4">
        <f>IFERROR(XLOOKUP(A1243,Raw_Alerts!$B:$B,Raw_Alerts!$A:$A),"No Alert")</f>
        <v/>
      </c>
      <c r="M1243" s="4">
        <f>IFERROR(XLOOKUP(A1243,Raw_Alerts!$B:$B,Raw_Alerts!$C:$C),"")</f>
        <v/>
      </c>
      <c r="N1243" s="4">
        <f>IFERROR(XLOOKUP(A1243,Raw_Alerts!$B:$B,Raw_Alerts!$D:$D),"")</f>
        <v/>
      </c>
      <c r="O1243" s="4">
        <f>IFERROR(XLOOKUP(A1243,Raw_Alerts!$B:$B,Raw_Alerts!$F:$F),"")</f>
        <v/>
      </c>
      <c r="P1243" s="4">
        <f>IF(H1243="Not Found","CRITICAL: No Risk Profile",IF(I1243="Missing","WARN: Missing KYC",IF(I1243="Expired","WARN: KYC Expired",IF(I1243="Pending","INFO: KYC Pending","OK"))))</f>
        <v/>
      </c>
    </row>
    <row r="1244">
      <c r="A1244" s="2">
        <f>Raw_Transactions!A1244</f>
        <v/>
      </c>
      <c r="B1244" s="2">
        <f>Raw_Transactions!B1244</f>
        <v/>
      </c>
      <c r="C1244" s="2">
        <f>Raw_Transactions!C1244</f>
        <v/>
      </c>
      <c r="D1244" s="3">
        <f>Raw_Transactions!D1244</f>
        <v/>
      </c>
      <c r="E1244" s="2">
        <f>Raw_Transactions!E1244</f>
        <v/>
      </c>
      <c r="F1244" s="2">
        <f>Raw_Transactions!F1244</f>
        <v/>
      </c>
      <c r="G1244" s="2">
        <f>Raw_Transactions!G1244</f>
        <v/>
      </c>
      <c r="H1244" s="2">
        <f>XLOOKUP(B1244,Raw_Risk_Profiles!$A:$A,Raw_Risk_Profiles!$B:$B,"Not Found")</f>
        <v/>
      </c>
      <c r="I1244" s="2">
        <f>XLOOKUP(B1244,Raw_Risk_Profiles!$A:$A,Raw_Risk_Profiles!$C:$C,"Missing")</f>
        <v/>
      </c>
      <c r="J1244" s="2">
        <f>XLOOKUP(B1244,Raw_Risk_Profiles!$A:$A,Raw_Risk_Profiles!$D:$D,"")</f>
        <v/>
      </c>
      <c r="K1244" s="2">
        <f>IFERROR(INDEX(Raw_Risk_Profiles!$E:$E,MATCH(B1244,Raw_Risk_Profiles!$A:$A,0)),"Unknown")</f>
        <v/>
      </c>
      <c r="L1244" s="2">
        <f>IFERROR(XLOOKUP(A1244,Raw_Alerts!$B:$B,Raw_Alerts!$A:$A),"No Alert")</f>
        <v/>
      </c>
      <c r="M1244" s="2">
        <f>IFERROR(XLOOKUP(A1244,Raw_Alerts!$B:$B,Raw_Alerts!$C:$C),"")</f>
        <v/>
      </c>
      <c r="N1244" s="2">
        <f>IFERROR(XLOOKUP(A1244,Raw_Alerts!$B:$B,Raw_Alerts!$D:$D),"")</f>
        <v/>
      </c>
      <c r="O1244" s="2">
        <f>IFERROR(XLOOKUP(A1244,Raw_Alerts!$B:$B,Raw_Alerts!$F:$F),"")</f>
        <v/>
      </c>
      <c r="P1244" s="2">
        <f>IF(H1244="Not Found","CRITICAL: No Risk Profile",IF(I1244="Missing","WARN: Missing KYC",IF(I1244="Expired","WARN: KYC Expired",IF(I1244="Pending","INFO: KYC Pending","OK"))))</f>
        <v/>
      </c>
    </row>
    <row r="1245">
      <c r="A1245" s="4">
        <f>Raw_Transactions!A1245</f>
        <v/>
      </c>
      <c r="B1245" s="4">
        <f>Raw_Transactions!B1245</f>
        <v/>
      </c>
      <c r="C1245" s="4">
        <f>Raw_Transactions!C1245</f>
        <v/>
      </c>
      <c r="D1245" s="5">
        <f>Raw_Transactions!D1245</f>
        <v/>
      </c>
      <c r="E1245" s="4">
        <f>Raw_Transactions!E1245</f>
        <v/>
      </c>
      <c r="F1245" s="4">
        <f>Raw_Transactions!F1245</f>
        <v/>
      </c>
      <c r="G1245" s="4">
        <f>Raw_Transactions!G1245</f>
        <v/>
      </c>
      <c r="H1245" s="4">
        <f>XLOOKUP(B1245,Raw_Risk_Profiles!$A:$A,Raw_Risk_Profiles!$B:$B,"Not Found")</f>
        <v/>
      </c>
      <c r="I1245" s="4">
        <f>XLOOKUP(B1245,Raw_Risk_Profiles!$A:$A,Raw_Risk_Profiles!$C:$C,"Missing")</f>
        <v/>
      </c>
      <c r="J1245" s="4">
        <f>XLOOKUP(B1245,Raw_Risk_Profiles!$A:$A,Raw_Risk_Profiles!$D:$D,"")</f>
        <v/>
      </c>
      <c r="K1245" s="4">
        <f>IFERROR(INDEX(Raw_Risk_Profiles!$E:$E,MATCH(B1245,Raw_Risk_Profiles!$A:$A,0)),"Unknown")</f>
        <v/>
      </c>
      <c r="L1245" s="4">
        <f>IFERROR(XLOOKUP(A1245,Raw_Alerts!$B:$B,Raw_Alerts!$A:$A),"No Alert")</f>
        <v/>
      </c>
      <c r="M1245" s="4">
        <f>IFERROR(XLOOKUP(A1245,Raw_Alerts!$B:$B,Raw_Alerts!$C:$C),"")</f>
        <v/>
      </c>
      <c r="N1245" s="4">
        <f>IFERROR(XLOOKUP(A1245,Raw_Alerts!$B:$B,Raw_Alerts!$D:$D),"")</f>
        <v/>
      </c>
      <c r="O1245" s="4">
        <f>IFERROR(XLOOKUP(A1245,Raw_Alerts!$B:$B,Raw_Alerts!$F:$F),"")</f>
        <v/>
      </c>
      <c r="P1245" s="4">
        <f>IF(H1245="Not Found","CRITICAL: No Risk Profile",IF(I1245="Missing","WARN: Missing KYC",IF(I1245="Expired","WARN: KYC Expired",IF(I1245="Pending","INFO: KYC Pending","OK"))))</f>
        <v/>
      </c>
    </row>
    <row r="1246">
      <c r="A1246" s="2">
        <f>Raw_Transactions!A1246</f>
        <v/>
      </c>
      <c r="B1246" s="2">
        <f>Raw_Transactions!B1246</f>
        <v/>
      </c>
      <c r="C1246" s="2">
        <f>Raw_Transactions!C1246</f>
        <v/>
      </c>
      <c r="D1246" s="3">
        <f>Raw_Transactions!D1246</f>
        <v/>
      </c>
      <c r="E1246" s="2">
        <f>Raw_Transactions!E1246</f>
        <v/>
      </c>
      <c r="F1246" s="2">
        <f>Raw_Transactions!F1246</f>
        <v/>
      </c>
      <c r="G1246" s="2">
        <f>Raw_Transactions!G1246</f>
        <v/>
      </c>
      <c r="H1246" s="2">
        <f>XLOOKUP(B1246,Raw_Risk_Profiles!$A:$A,Raw_Risk_Profiles!$B:$B,"Not Found")</f>
        <v/>
      </c>
      <c r="I1246" s="2">
        <f>XLOOKUP(B1246,Raw_Risk_Profiles!$A:$A,Raw_Risk_Profiles!$C:$C,"Missing")</f>
        <v/>
      </c>
      <c r="J1246" s="2">
        <f>XLOOKUP(B1246,Raw_Risk_Profiles!$A:$A,Raw_Risk_Profiles!$D:$D,"")</f>
        <v/>
      </c>
      <c r="K1246" s="2">
        <f>IFERROR(INDEX(Raw_Risk_Profiles!$E:$E,MATCH(B1246,Raw_Risk_Profiles!$A:$A,0)),"Unknown")</f>
        <v/>
      </c>
      <c r="L1246" s="2">
        <f>IFERROR(XLOOKUP(A1246,Raw_Alerts!$B:$B,Raw_Alerts!$A:$A),"No Alert")</f>
        <v/>
      </c>
      <c r="M1246" s="2">
        <f>IFERROR(XLOOKUP(A1246,Raw_Alerts!$B:$B,Raw_Alerts!$C:$C),"")</f>
        <v/>
      </c>
      <c r="N1246" s="2">
        <f>IFERROR(XLOOKUP(A1246,Raw_Alerts!$B:$B,Raw_Alerts!$D:$D),"")</f>
        <v/>
      </c>
      <c r="O1246" s="2">
        <f>IFERROR(XLOOKUP(A1246,Raw_Alerts!$B:$B,Raw_Alerts!$F:$F),"")</f>
        <v/>
      </c>
      <c r="P1246" s="2">
        <f>IF(H1246="Not Found","CRITICAL: No Risk Profile",IF(I1246="Missing","WARN: Missing KYC",IF(I1246="Expired","WARN: KYC Expired",IF(I1246="Pending","INFO: KYC Pending","OK"))))</f>
        <v/>
      </c>
    </row>
    <row r="1247">
      <c r="A1247" s="4">
        <f>Raw_Transactions!A1247</f>
        <v/>
      </c>
      <c r="B1247" s="4">
        <f>Raw_Transactions!B1247</f>
        <v/>
      </c>
      <c r="C1247" s="4">
        <f>Raw_Transactions!C1247</f>
        <v/>
      </c>
      <c r="D1247" s="5">
        <f>Raw_Transactions!D1247</f>
        <v/>
      </c>
      <c r="E1247" s="4">
        <f>Raw_Transactions!E1247</f>
        <v/>
      </c>
      <c r="F1247" s="4">
        <f>Raw_Transactions!F1247</f>
        <v/>
      </c>
      <c r="G1247" s="4">
        <f>Raw_Transactions!G1247</f>
        <v/>
      </c>
      <c r="H1247" s="4">
        <f>XLOOKUP(B1247,Raw_Risk_Profiles!$A:$A,Raw_Risk_Profiles!$B:$B,"Not Found")</f>
        <v/>
      </c>
      <c r="I1247" s="4">
        <f>XLOOKUP(B1247,Raw_Risk_Profiles!$A:$A,Raw_Risk_Profiles!$C:$C,"Missing")</f>
        <v/>
      </c>
      <c r="J1247" s="4">
        <f>XLOOKUP(B1247,Raw_Risk_Profiles!$A:$A,Raw_Risk_Profiles!$D:$D,"")</f>
        <v/>
      </c>
      <c r="K1247" s="4">
        <f>IFERROR(INDEX(Raw_Risk_Profiles!$E:$E,MATCH(B1247,Raw_Risk_Profiles!$A:$A,0)),"Unknown")</f>
        <v/>
      </c>
      <c r="L1247" s="4">
        <f>IFERROR(XLOOKUP(A1247,Raw_Alerts!$B:$B,Raw_Alerts!$A:$A),"No Alert")</f>
        <v/>
      </c>
      <c r="M1247" s="4">
        <f>IFERROR(XLOOKUP(A1247,Raw_Alerts!$B:$B,Raw_Alerts!$C:$C),"")</f>
        <v/>
      </c>
      <c r="N1247" s="4">
        <f>IFERROR(XLOOKUP(A1247,Raw_Alerts!$B:$B,Raw_Alerts!$D:$D),"")</f>
        <v/>
      </c>
      <c r="O1247" s="4">
        <f>IFERROR(XLOOKUP(A1247,Raw_Alerts!$B:$B,Raw_Alerts!$F:$F),"")</f>
        <v/>
      </c>
      <c r="P1247" s="4">
        <f>IF(H1247="Not Found","CRITICAL: No Risk Profile",IF(I1247="Missing","WARN: Missing KYC",IF(I1247="Expired","WARN: KYC Expired",IF(I1247="Pending","INFO: KYC Pending","OK"))))</f>
        <v/>
      </c>
    </row>
    <row r="1248">
      <c r="A1248" s="2">
        <f>Raw_Transactions!A1248</f>
        <v/>
      </c>
      <c r="B1248" s="2">
        <f>Raw_Transactions!B1248</f>
        <v/>
      </c>
      <c r="C1248" s="2">
        <f>Raw_Transactions!C1248</f>
        <v/>
      </c>
      <c r="D1248" s="3">
        <f>Raw_Transactions!D1248</f>
        <v/>
      </c>
      <c r="E1248" s="2">
        <f>Raw_Transactions!E1248</f>
        <v/>
      </c>
      <c r="F1248" s="2">
        <f>Raw_Transactions!F1248</f>
        <v/>
      </c>
      <c r="G1248" s="2">
        <f>Raw_Transactions!G1248</f>
        <v/>
      </c>
      <c r="H1248" s="2">
        <f>XLOOKUP(B1248,Raw_Risk_Profiles!$A:$A,Raw_Risk_Profiles!$B:$B,"Not Found")</f>
        <v/>
      </c>
      <c r="I1248" s="2">
        <f>XLOOKUP(B1248,Raw_Risk_Profiles!$A:$A,Raw_Risk_Profiles!$C:$C,"Missing")</f>
        <v/>
      </c>
      <c r="J1248" s="2">
        <f>XLOOKUP(B1248,Raw_Risk_Profiles!$A:$A,Raw_Risk_Profiles!$D:$D,"")</f>
        <v/>
      </c>
      <c r="K1248" s="2">
        <f>IFERROR(INDEX(Raw_Risk_Profiles!$E:$E,MATCH(B1248,Raw_Risk_Profiles!$A:$A,0)),"Unknown")</f>
        <v/>
      </c>
      <c r="L1248" s="2">
        <f>IFERROR(XLOOKUP(A1248,Raw_Alerts!$B:$B,Raw_Alerts!$A:$A),"No Alert")</f>
        <v/>
      </c>
      <c r="M1248" s="2">
        <f>IFERROR(XLOOKUP(A1248,Raw_Alerts!$B:$B,Raw_Alerts!$C:$C),"")</f>
        <v/>
      </c>
      <c r="N1248" s="2">
        <f>IFERROR(XLOOKUP(A1248,Raw_Alerts!$B:$B,Raw_Alerts!$D:$D),"")</f>
        <v/>
      </c>
      <c r="O1248" s="2">
        <f>IFERROR(XLOOKUP(A1248,Raw_Alerts!$B:$B,Raw_Alerts!$F:$F),"")</f>
        <v/>
      </c>
      <c r="P1248" s="2">
        <f>IF(H1248="Not Found","CRITICAL: No Risk Profile",IF(I1248="Missing","WARN: Missing KYC",IF(I1248="Expired","WARN: KYC Expired",IF(I1248="Pending","INFO: KYC Pending","OK"))))</f>
        <v/>
      </c>
    </row>
    <row r="1249">
      <c r="A1249" s="4">
        <f>Raw_Transactions!A1249</f>
        <v/>
      </c>
      <c r="B1249" s="4">
        <f>Raw_Transactions!B1249</f>
        <v/>
      </c>
      <c r="C1249" s="4">
        <f>Raw_Transactions!C1249</f>
        <v/>
      </c>
      <c r="D1249" s="5">
        <f>Raw_Transactions!D1249</f>
        <v/>
      </c>
      <c r="E1249" s="4">
        <f>Raw_Transactions!E1249</f>
        <v/>
      </c>
      <c r="F1249" s="4">
        <f>Raw_Transactions!F1249</f>
        <v/>
      </c>
      <c r="G1249" s="4">
        <f>Raw_Transactions!G1249</f>
        <v/>
      </c>
      <c r="H1249" s="4">
        <f>XLOOKUP(B1249,Raw_Risk_Profiles!$A:$A,Raw_Risk_Profiles!$B:$B,"Not Found")</f>
        <v/>
      </c>
      <c r="I1249" s="4">
        <f>XLOOKUP(B1249,Raw_Risk_Profiles!$A:$A,Raw_Risk_Profiles!$C:$C,"Missing")</f>
        <v/>
      </c>
      <c r="J1249" s="4">
        <f>XLOOKUP(B1249,Raw_Risk_Profiles!$A:$A,Raw_Risk_Profiles!$D:$D,"")</f>
        <v/>
      </c>
      <c r="K1249" s="4">
        <f>IFERROR(INDEX(Raw_Risk_Profiles!$E:$E,MATCH(B1249,Raw_Risk_Profiles!$A:$A,0)),"Unknown")</f>
        <v/>
      </c>
      <c r="L1249" s="4">
        <f>IFERROR(XLOOKUP(A1249,Raw_Alerts!$B:$B,Raw_Alerts!$A:$A),"No Alert")</f>
        <v/>
      </c>
      <c r="M1249" s="4">
        <f>IFERROR(XLOOKUP(A1249,Raw_Alerts!$B:$B,Raw_Alerts!$C:$C),"")</f>
        <v/>
      </c>
      <c r="N1249" s="4">
        <f>IFERROR(XLOOKUP(A1249,Raw_Alerts!$B:$B,Raw_Alerts!$D:$D),"")</f>
        <v/>
      </c>
      <c r="O1249" s="4">
        <f>IFERROR(XLOOKUP(A1249,Raw_Alerts!$B:$B,Raw_Alerts!$F:$F),"")</f>
        <v/>
      </c>
      <c r="P1249" s="4">
        <f>IF(H1249="Not Found","CRITICAL: No Risk Profile",IF(I1249="Missing","WARN: Missing KYC",IF(I1249="Expired","WARN: KYC Expired",IF(I1249="Pending","INFO: KYC Pending","OK"))))</f>
        <v/>
      </c>
    </row>
    <row r="1250">
      <c r="A1250" s="2">
        <f>Raw_Transactions!A1250</f>
        <v/>
      </c>
      <c r="B1250" s="2">
        <f>Raw_Transactions!B1250</f>
        <v/>
      </c>
      <c r="C1250" s="2">
        <f>Raw_Transactions!C1250</f>
        <v/>
      </c>
      <c r="D1250" s="3">
        <f>Raw_Transactions!D1250</f>
        <v/>
      </c>
      <c r="E1250" s="2">
        <f>Raw_Transactions!E1250</f>
        <v/>
      </c>
      <c r="F1250" s="2">
        <f>Raw_Transactions!F1250</f>
        <v/>
      </c>
      <c r="G1250" s="2">
        <f>Raw_Transactions!G1250</f>
        <v/>
      </c>
      <c r="H1250" s="2">
        <f>XLOOKUP(B1250,Raw_Risk_Profiles!$A:$A,Raw_Risk_Profiles!$B:$B,"Not Found")</f>
        <v/>
      </c>
      <c r="I1250" s="2">
        <f>XLOOKUP(B1250,Raw_Risk_Profiles!$A:$A,Raw_Risk_Profiles!$C:$C,"Missing")</f>
        <v/>
      </c>
      <c r="J1250" s="2">
        <f>XLOOKUP(B1250,Raw_Risk_Profiles!$A:$A,Raw_Risk_Profiles!$D:$D,"")</f>
        <v/>
      </c>
      <c r="K1250" s="2">
        <f>IFERROR(INDEX(Raw_Risk_Profiles!$E:$E,MATCH(B1250,Raw_Risk_Profiles!$A:$A,0)),"Unknown")</f>
        <v/>
      </c>
      <c r="L1250" s="2">
        <f>IFERROR(XLOOKUP(A1250,Raw_Alerts!$B:$B,Raw_Alerts!$A:$A),"No Alert")</f>
        <v/>
      </c>
      <c r="M1250" s="2">
        <f>IFERROR(XLOOKUP(A1250,Raw_Alerts!$B:$B,Raw_Alerts!$C:$C),"")</f>
        <v/>
      </c>
      <c r="N1250" s="2">
        <f>IFERROR(XLOOKUP(A1250,Raw_Alerts!$B:$B,Raw_Alerts!$D:$D),"")</f>
        <v/>
      </c>
      <c r="O1250" s="2">
        <f>IFERROR(XLOOKUP(A1250,Raw_Alerts!$B:$B,Raw_Alerts!$F:$F),"")</f>
        <v/>
      </c>
      <c r="P1250" s="2">
        <f>IF(H1250="Not Found","CRITICAL: No Risk Profile",IF(I1250="Missing","WARN: Missing KYC",IF(I1250="Expired","WARN: KYC Expired",IF(I1250="Pending","INFO: KYC Pending","OK"))))</f>
        <v/>
      </c>
    </row>
    <row r="1251">
      <c r="A1251" s="4">
        <f>Raw_Transactions!A1251</f>
        <v/>
      </c>
      <c r="B1251" s="4">
        <f>Raw_Transactions!B1251</f>
        <v/>
      </c>
      <c r="C1251" s="4">
        <f>Raw_Transactions!C1251</f>
        <v/>
      </c>
      <c r="D1251" s="5">
        <f>Raw_Transactions!D1251</f>
        <v/>
      </c>
      <c r="E1251" s="4">
        <f>Raw_Transactions!E1251</f>
        <v/>
      </c>
      <c r="F1251" s="4">
        <f>Raw_Transactions!F1251</f>
        <v/>
      </c>
      <c r="G1251" s="4">
        <f>Raw_Transactions!G1251</f>
        <v/>
      </c>
      <c r="H1251" s="4">
        <f>XLOOKUP(B1251,Raw_Risk_Profiles!$A:$A,Raw_Risk_Profiles!$B:$B,"Not Found")</f>
        <v/>
      </c>
      <c r="I1251" s="4">
        <f>XLOOKUP(B1251,Raw_Risk_Profiles!$A:$A,Raw_Risk_Profiles!$C:$C,"Missing")</f>
        <v/>
      </c>
      <c r="J1251" s="4">
        <f>XLOOKUP(B1251,Raw_Risk_Profiles!$A:$A,Raw_Risk_Profiles!$D:$D,"")</f>
        <v/>
      </c>
      <c r="K1251" s="4">
        <f>IFERROR(INDEX(Raw_Risk_Profiles!$E:$E,MATCH(B1251,Raw_Risk_Profiles!$A:$A,0)),"Unknown")</f>
        <v/>
      </c>
      <c r="L1251" s="4">
        <f>IFERROR(XLOOKUP(A1251,Raw_Alerts!$B:$B,Raw_Alerts!$A:$A),"No Alert")</f>
        <v/>
      </c>
      <c r="M1251" s="4">
        <f>IFERROR(XLOOKUP(A1251,Raw_Alerts!$B:$B,Raw_Alerts!$C:$C),"")</f>
        <v/>
      </c>
      <c r="N1251" s="4">
        <f>IFERROR(XLOOKUP(A1251,Raw_Alerts!$B:$B,Raw_Alerts!$D:$D),"")</f>
        <v/>
      </c>
      <c r="O1251" s="4">
        <f>IFERROR(XLOOKUP(A1251,Raw_Alerts!$B:$B,Raw_Alerts!$F:$F),"")</f>
        <v/>
      </c>
      <c r="P1251" s="4">
        <f>IF(H1251="Not Found","CRITICAL: No Risk Profile",IF(I1251="Missing","WARN: Missing KYC",IF(I1251="Expired","WARN: KYC Expired",IF(I1251="Pending","INFO: KYC Pending","OK"))))</f>
        <v/>
      </c>
    </row>
    <row r="1252">
      <c r="A1252" s="2">
        <f>Raw_Transactions!A1252</f>
        <v/>
      </c>
      <c r="B1252" s="2">
        <f>Raw_Transactions!B1252</f>
        <v/>
      </c>
      <c r="C1252" s="2">
        <f>Raw_Transactions!C1252</f>
        <v/>
      </c>
      <c r="D1252" s="3">
        <f>Raw_Transactions!D1252</f>
        <v/>
      </c>
      <c r="E1252" s="2">
        <f>Raw_Transactions!E1252</f>
        <v/>
      </c>
      <c r="F1252" s="2">
        <f>Raw_Transactions!F1252</f>
        <v/>
      </c>
      <c r="G1252" s="2">
        <f>Raw_Transactions!G1252</f>
        <v/>
      </c>
      <c r="H1252" s="2">
        <f>XLOOKUP(B1252,Raw_Risk_Profiles!$A:$A,Raw_Risk_Profiles!$B:$B,"Not Found")</f>
        <v/>
      </c>
      <c r="I1252" s="2">
        <f>XLOOKUP(B1252,Raw_Risk_Profiles!$A:$A,Raw_Risk_Profiles!$C:$C,"Missing")</f>
        <v/>
      </c>
      <c r="J1252" s="2">
        <f>XLOOKUP(B1252,Raw_Risk_Profiles!$A:$A,Raw_Risk_Profiles!$D:$D,"")</f>
        <v/>
      </c>
      <c r="K1252" s="2">
        <f>IFERROR(INDEX(Raw_Risk_Profiles!$E:$E,MATCH(B1252,Raw_Risk_Profiles!$A:$A,0)),"Unknown")</f>
        <v/>
      </c>
      <c r="L1252" s="2">
        <f>IFERROR(XLOOKUP(A1252,Raw_Alerts!$B:$B,Raw_Alerts!$A:$A),"No Alert")</f>
        <v/>
      </c>
      <c r="M1252" s="2">
        <f>IFERROR(XLOOKUP(A1252,Raw_Alerts!$B:$B,Raw_Alerts!$C:$C),"")</f>
        <v/>
      </c>
      <c r="N1252" s="2">
        <f>IFERROR(XLOOKUP(A1252,Raw_Alerts!$B:$B,Raw_Alerts!$D:$D),"")</f>
        <v/>
      </c>
      <c r="O1252" s="2">
        <f>IFERROR(XLOOKUP(A1252,Raw_Alerts!$B:$B,Raw_Alerts!$F:$F),"")</f>
        <v/>
      </c>
      <c r="P1252" s="2">
        <f>IF(H1252="Not Found","CRITICAL: No Risk Profile",IF(I1252="Missing","WARN: Missing KYC",IF(I1252="Expired","WARN: KYC Expired",IF(I1252="Pending","INFO: KYC Pending","OK"))))</f>
        <v/>
      </c>
    </row>
    <row r="1253">
      <c r="A1253" s="4">
        <f>Raw_Transactions!A1253</f>
        <v/>
      </c>
      <c r="B1253" s="4">
        <f>Raw_Transactions!B1253</f>
        <v/>
      </c>
      <c r="C1253" s="4">
        <f>Raw_Transactions!C1253</f>
        <v/>
      </c>
      <c r="D1253" s="5">
        <f>Raw_Transactions!D1253</f>
        <v/>
      </c>
      <c r="E1253" s="4">
        <f>Raw_Transactions!E1253</f>
        <v/>
      </c>
      <c r="F1253" s="4">
        <f>Raw_Transactions!F1253</f>
        <v/>
      </c>
      <c r="G1253" s="4">
        <f>Raw_Transactions!G1253</f>
        <v/>
      </c>
      <c r="H1253" s="4">
        <f>XLOOKUP(B1253,Raw_Risk_Profiles!$A:$A,Raw_Risk_Profiles!$B:$B,"Not Found")</f>
        <v/>
      </c>
      <c r="I1253" s="4">
        <f>XLOOKUP(B1253,Raw_Risk_Profiles!$A:$A,Raw_Risk_Profiles!$C:$C,"Missing")</f>
        <v/>
      </c>
      <c r="J1253" s="4">
        <f>XLOOKUP(B1253,Raw_Risk_Profiles!$A:$A,Raw_Risk_Profiles!$D:$D,"")</f>
        <v/>
      </c>
      <c r="K1253" s="4">
        <f>IFERROR(INDEX(Raw_Risk_Profiles!$E:$E,MATCH(B1253,Raw_Risk_Profiles!$A:$A,0)),"Unknown")</f>
        <v/>
      </c>
      <c r="L1253" s="4">
        <f>IFERROR(XLOOKUP(A1253,Raw_Alerts!$B:$B,Raw_Alerts!$A:$A),"No Alert")</f>
        <v/>
      </c>
      <c r="M1253" s="4">
        <f>IFERROR(XLOOKUP(A1253,Raw_Alerts!$B:$B,Raw_Alerts!$C:$C),"")</f>
        <v/>
      </c>
      <c r="N1253" s="4">
        <f>IFERROR(XLOOKUP(A1253,Raw_Alerts!$B:$B,Raw_Alerts!$D:$D),"")</f>
        <v/>
      </c>
      <c r="O1253" s="4">
        <f>IFERROR(XLOOKUP(A1253,Raw_Alerts!$B:$B,Raw_Alerts!$F:$F),"")</f>
        <v/>
      </c>
      <c r="P1253" s="4">
        <f>IF(H1253="Not Found","CRITICAL: No Risk Profile",IF(I1253="Missing","WARN: Missing KYC",IF(I1253="Expired","WARN: KYC Expired",IF(I1253="Pending","INFO: KYC Pending","OK"))))</f>
        <v/>
      </c>
    </row>
    <row r="1254">
      <c r="A1254" s="2">
        <f>Raw_Transactions!A1254</f>
        <v/>
      </c>
      <c r="B1254" s="2">
        <f>Raw_Transactions!B1254</f>
        <v/>
      </c>
      <c r="C1254" s="2">
        <f>Raw_Transactions!C1254</f>
        <v/>
      </c>
      <c r="D1254" s="3">
        <f>Raw_Transactions!D1254</f>
        <v/>
      </c>
      <c r="E1254" s="2">
        <f>Raw_Transactions!E1254</f>
        <v/>
      </c>
      <c r="F1254" s="2">
        <f>Raw_Transactions!F1254</f>
        <v/>
      </c>
      <c r="G1254" s="2">
        <f>Raw_Transactions!G1254</f>
        <v/>
      </c>
      <c r="H1254" s="2">
        <f>XLOOKUP(B1254,Raw_Risk_Profiles!$A:$A,Raw_Risk_Profiles!$B:$B,"Not Found")</f>
        <v/>
      </c>
      <c r="I1254" s="2">
        <f>XLOOKUP(B1254,Raw_Risk_Profiles!$A:$A,Raw_Risk_Profiles!$C:$C,"Missing")</f>
        <v/>
      </c>
      <c r="J1254" s="2">
        <f>XLOOKUP(B1254,Raw_Risk_Profiles!$A:$A,Raw_Risk_Profiles!$D:$D,"")</f>
        <v/>
      </c>
      <c r="K1254" s="2">
        <f>IFERROR(INDEX(Raw_Risk_Profiles!$E:$E,MATCH(B1254,Raw_Risk_Profiles!$A:$A,0)),"Unknown")</f>
        <v/>
      </c>
      <c r="L1254" s="2">
        <f>IFERROR(XLOOKUP(A1254,Raw_Alerts!$B:$B,Raw_Alerts!$A:$A),"No Alert")</f>
        <v/>
      </c>
      <c r="M1254" s="2">
        <f>IFERROR(XLOOKUP(A1254,Raw_Alerts!$B:$B,Raw_Alerts!$C:$C),"")</f>
        <v/>
      </c>
      <c r="N1254" s="2">
        <f>IFERROR(XLOOKUP(A1254,Raw_Alerts!$B:$B,Raw_Alerts!$D:$D),"")</f>
        <v/>
      </c>
      <c r="O1254" s="2">
        <f>IFERROR(XLOOKUP(A1254,Raw_Alerts!$B:$B,Raw_Alerts!$F:$F),"")</f>
        <v/>
      </c>
      <c r="P1254" s="2">
        <f>IF(H1254="Not Found","CRITICAL: No Risk Profile",IF(I1254="Missing","WARN: Missing KYC",IF(I1254="Expired","WARN: KYC Expired",IF(I1254="Pending","INFO: KYC Pending","OK"))))</f>
        <v/>
      </c>
    </row>
    <row r="1255">
      <c r="A1255" s="4">
        <f>Raw_Transactions!A1255</f>
        <v/>
      </c>
      <c r="B1255" s="4">
        <f>Raw_Transactions!B1255</f>
        <v/>
      </c>
      <c r="C1255" s="4">
        <f>Raw_Transactions!C1255</f>
        <v/>
      </c>
      <c r="D1255" s="5">
        <f>Raw_Transactions!D1255</f>
        <v/>
      </c>
      <c r="E1255" s="4">
        <f>Raw_Transactions!E1255</f>
        <v/>
      </c>
      <c r="F1255" s="4">
        <f>Raw_Transactions!F1255</f>
        <v/>
      </c>
      <c r="G1255" s="4">
        <f>Raw_Transactions!G1255</f>
        <v/>
      </c>
      <c r="H1255" s="4">
        <f>XLOOKUP(B1255,Raw_Risk_Profiles!$A:$A,Raw_Risk_Profiles!$B:$B,"Not Found")</f>
        <v/>
      </c>
      <c r="I1255" s="4">
        <f>XLOOKUP(B1255,Raw_Risk_Profiles!$A:$A,Raw_Risk_Profiles!$C:$C,"Missing")</f>
        <v/>
      </c>
      <c r="J1255" s="4">
        <f>XLOOKUP(B1255,Raw_Risk_Profiles!$A:$A,Raw_Risk_Profiles!$D:$D,"")</f>
        <v/>
      </c>
      <c r="K1255" s="4">
        <f>IFERROR(INDEX(Raw_Risk_Profiles!$E:$E,MATCH(B1255,Raw_Risk_Profiles!$A:$A,0)),"Unknown")</f>
        <v/>
      </c>
      <c r="L1255" s="4">
        <f>IFERROR(XLOOKUP(A1255,Raw_Alerts!$B:$B,Raw_Alerts!$A:$A),"No Alert")</f>
        <v/>
      </c>
      <c r="M1255" s="4">
        <f>IFERROR(XLOOKUP(A1255,Raw_Alerts!$B:$B,Raw_Alerts!$C:$C),"")</f>
        <v/>
      </c>
      <c r="N1255" s="4">
        <f>IFERROR(XLOOKUP(A1255,Raw_Alerts!$B:$B,Raw_Alerts!$D:$D),"")</f>
        <v/>
      </c>
      <c r="O1255" s="4">
        <f>IFERROR(XLOOKUP(A1255,Raw_Alerts!$B:$B,Raw_Alerts!$F:$F),"")</f>
        <v/>
      </c>
      <c r="P1255" s="4">
        <f>IF(H1255="Not Found","CRITICAL: No Risk Profile",IF(I1255="Missing","WARN: Missing KYC",IF(I1255="Expired","WARN: KYC Expired",IF(I1255="Pending","INFO: KYC Pending","OK"))))</f>
        <v/>
      </c>
    </row>
    <row r="1256">
      <c r="A1256" s="2">
        <f>Raw_Transactions!A1256</f>
        <v/>
      </c>
      <c r="B1256" s="2">
        <f>Raw_Transactions!B1256</f>
        <v/>
      </c>
      <c r="C1256" s="2">
        <f>Raw_Transactions!C1256</f>
        <v/>
      </c>
      <c r="D1256" s="3">
        <f>Raw_Transactions!D1256</f>
        <v/>
      </c>
      <c r="E1256" s="2">
        <f>Raw_Transactions!E1256</f>
        <v/>
      </c>
      <c r="F1256" s="2">
        <f>Raw_Transactions!F1256</f>
        <v/>
      </c>
      <c r="G1256" s="2">
        <f>Raw_Transactions!G1256</f>
        <v/>
      </c>
      <c r="H1256" s="2">
        <f>XLOOKUP(B1256,Raw_Risk_Profiles!$A:$A,Raw_Risk_Profiles!$B:$B,"Not Found")</f>
        <v/>
      </c>
      <c r="I1256" s="2">
        <f>XLOOKUP(B1256,Raw_Risk_Profiles!$A:$A,Raw_Risk_Profiles!$C:$C,"Missing")</f>
        <v/>
      </c>
      <c r="J1256" s="2">
        <f>XLOOKUP(B1256,Raw_Risk_Profiles!$A:$A,Raw_Risk_Profiles!$D:$D,"")</f>
        <v/>
      </c>
      <c r="K1256" s="2">
        <f>IFERROR(INDEX(Raw_Risk_Profiles!$E:$E,MATCH(B1256,Raw_Risk_Profiles!$A:$A,0)),"Unknown")</f>
        <v/>
      </c>
      <c r="L1256" s="2">
        <f>IFERROR(XLOOKUP(A1256,Raw_Alerts!$B:$B,Raw_Alerts!$A:$A),"No Alert")</f>
        <v/>
      </c>
      <c r="M1256" s="2">
        <f>IFERROR(XLOOKUP(A1256,Raw_Alerts!$B:$B,Raw_Alerts!$C:$C),"")</f>
        <v/>
      </c>
      <c r="N1256" s="2">
        <f>IFERROR(XLOOKUP(A1256,Raw_Alerts!$B:$B,Raw_Alerts!$D:$D),"")</f>
        <v/>
      </c>
      <c r="O1256" s="2">
        <f>IFERROR(XLOOKUP(A1256,Raw_Alerts!$B:$B,Raw_Alerts!$F:$F),"")</f>
        <v/>
      </c>
      <c r="P1256" s="2">
        <f>IF(H1256="Not Found","CRITICAL: No Risk Profile",IF(I1256="Missing","WARN: Missing KYC",IF(I1256="Expired","WARN: KYC Expired",IF(I1256="Pending","INFO: KYC Pending","OK"))))</f>
        <v/>
      </c>
    </row>
    <row r="1257">
      <c r="A1257" s="4">
        <f>Raw_Transactions!A1257</f>
        <v/>
      </c>
      <c r="B1257" s="4">
        <f>Raw_Transactions!B1257</f>
        <v/>
      </c>
      <c r="C1257" s="4">
        <f>Raw_Transactions!C1257</f>
        <v/>
      </c>
      <c r="D1257" s="5">
        <f>Raw_Transactions!D1257</f>
        <v/>
      </c>
      <c r="E1257" s="4">
        <f>Raw_Transactions!E1257</f>
        <v/>
      </c>
      <c r="F1257" s="4">
        <f>Raw_Transactions!F1257</f>
        <v/>
      </c>
      <c r="G1257" s="4">
        <f>Raw_Transactions!G1257</f>
        <v/>
      </c>
      <c r="H1257" s="4">
        <f>XLOOKUP(B1257,Raw_Risk_Profiles!$A:$A,Raw_Risk_Profiles!$B:$B,"Not Found")</f>
        <v/>
      </c>
      <c r="I1257" s="4">
        <f>XLOOKUP(B1257,Raw_Risk_Profiles!$A:$A,Raw_Risk_Profiles!$C:$C,"Missing")</f>
        <v/>
      </c>
      <c r="J1257" s="4">
        <f>XLOOKUP(B1257,Raw_Risk_Profiles!$A:$A,Raw_Risk_Profiles!$D:$D,"")</f>
        <v/>
      </c>
      <c r="K1257" s="4">
        <f>IFERROR(INDEX(Raw_Risk_Profiles!$E:$E,MATCH(B1257,Raw_Risk_Profiles!$A:$A,0)),"Unknown")</f>
        <v/>
      </c>
      <c r="L1257" s="4">
        <f>IFERROR(XLOOKUP(A1257,Raw_Alerts!$B:$B,Raw_Alerts!$A:$A),"No Alert")</f>
        <v/>
      </c>
      <c r="M1257" s="4">
        <f>IFERROR(XLOOKUP(A1257,Raw_Alerts!$B:$B,Raw_Alerts!$C:$C),"")</f>
        <v/>
      </c>
      <c r="N1257" s="4">
        <f>IFERROR(XLOOKUP(A1257,Raw_Alerts!$B:$B,Raw_Alerts!$D:$D),"")</f>
        <v/>
      </c>
      <c r="O1257" s="4">
        <f>IFERROR(XLOOKUP(A1257,Raw_Alerts!$B:$B,Raw_Alerts!$F:$F),"")</f>
        <v/>
      </c>
      <c r="P1257" s="4">
        <f>IF(H1257="Not Found","CRITICAL: No Risk Profile",IF(I1257="Missing","WARN: Missing KYC",IF(I1257="Expired","WARN: KYC Expired",IF(I1257="Pending","INFO: KYC Pending","OK"))))</f>
        <v/>
      </c>
    </row>
    <row r="1258">
      <c r="A1258" s="2">
        <f>Raw_Transactions!A1258</f>
        <v/>
      </c>
      <c r="B1258" s="2">
        <f>Raw_Transactions!B1258</f>
        <v/>
      </c>
      <c r="C1258" s="2">
        <f>Raw_Transactions!C1258</f>
        <v/>
      </c>
      <c r="D1258" s="3">
        <f>Raw_Transactions!D1258</f>
        <v/>
      </c>
      <c r="E1258" s="2">
        <f>Raw_Transactions!E1258</f>
        <v/>
      </c>
      <c r="F1258" s="2">
        <f>Raw_Transactions!F1258</f>
        <v/>
      </c>
      <c r="G1258" s="2">
        <f>Raw_Transactions!G1258</f>
        <v/>
      </c>
      <c r="H1258" s="2">
        <f>XLOOKUP(B1258,Raw_Risk_Profiles!$A:$A,Raw_Risk_Profiles!$B:$B,"Not Found")</f>
        <v/>
      </c>
      <c r="I1258" s="2">
        <f>XLOOKUP(B1258,Raw_Risk_Profiles!$A:$A,Raw_Risk_Profiles!$C:$C,"Missing")</f>
        <v/>
      </c>
      <c r="J1258" s="2">
        <f>XLOOKUP(B1258,Raw_Risk_Profiles!$A:$A,Raw_Risk_Profiles!$D:$D,"")</f>
        <v/>
      </c>
      <c r="K1258" s="2">
        <f>IFERROR(INDEX(Raw_Risk_Profiles!$E:$E,MATCH(B1258,Raw_Risk_Profiles!$A:$A,0)),"Unknown")</f>
        <v/>
      </c>
      <c r="L1258" s="2">
        <f>IFERROR(XLOOKUP(A1258,Raw_Alerts!$B:$B,Raw_Alerts!$A:$A),"No Alert")</f>
        <v/>
      </c>
      <c r="M1258" s="2">
        <f>IFERROR(XLOOKUP(A1258,Raw_Alerts!$B:$B,Raw_Alerts!$C:$C),"")</f>
        <v/>
      </c>
      <c r="N1258" s="2">
        <f>IFERROR(XLOOKUP(A1258,Raw_Alerts!$B:$B,Raw_Alerts!$D:$D),"")</f>
        <v/>
      </c>
      <c r="O1258" s="2">
        <f>IFERROR(XLOOKUP(A1258,Raw_Alerts!$B:$B,Raw_Alerts!$F:$F),"")</f>
        <v/>
      </c>
      <c r="P1258" s="2">
        <f>IF(H1258="Not Found","CRITICAL: No Risk Profile",IF(I1258="Missing","WARN: Missing KYC",IF(I1258="Expired","WARN: KYC Expired",IF(I1258="Pending","INFO: KYC Pending","OK"))))</f>
        <v/>
      </c>
    </row>
    <row r="1259">
      <c r="A1259" s="4">
        <f>Raw_Transactions!A1259</f>
        <v/>
      </c>
      <c r="B1259" s="4">
        <f>Raw_Transactions!B1259</f>
        <v/>
      </c>
      <c r="C1259" s="4">
        <f>Raw_Transactions!C1259</f>
        <v/>
      </c>
      <c r="D1259" s="5">
        <f>Raw_Transactions!D1259</f>
        <v/>
      </c>
      <c r="E1259" s="4">
        <f>Raw_Transactions!E1259</f>
        <v/>
      </c>
      <c r="F1259" s="4">
        <f>Raw_Transactions!F1259</f>
        <v/>
      </c>
      <c r="G1259" s="4">
        <f>Raw_Transactions!G1259</f>
        <v/>
      </c>
      <c r="H1259" s="4">
        <f>XLOOKUP(B1259,Raw_Risk_Profiles!$A:$A,Raw_Risk_Profiles!$B:$B,"Not Found")</f>
        <v/>
      </c>
      <c r="I1259" s="4">
        <f>XLOOKUP(B1259,Raw_Risk_Profiles!$A:$A,Raw_Risk_Profiles!$C:$C,"Missing")</f>
        <v/>
      </c>
      <c r="J1259" s="4">
        <f>XLOOKUP(B1259,Raw_Risk_Profiles!$A:$A,Raw_Risk_Profiles!$D:$D,"")</f>
        <v/>
      </c>
      <c r="K1259" s="4">
        <f>IFERROR(INDEX(Raw_Risk_Profiles!$E:$E,MATCH(B1259,Raw_Risk_Profiles!$A:$A,0)),"Unknown")</f>
        <v/>
      </c>
      <c r="L1259" s="4">
        <f>IFERROR(XLOOKUP(A1259,Raw_Alerts!$B:$B,Raw_Alerts!$A:$A),"No Alert")</f>
        <v/>
      </c>
      <c r="M1259" s="4">
        <f>IFERROR(XLOOKUP(A1259,Raw_Alerts!$B:$B,Raw_Alerts!$C:$C),"")</f>
        <v/>
      </c>
      <c r="N1259" s="4">
        <f>IFERROR(XLOOKUP(A1259,Raw_Alerts!$B:$B,Raw_Alerts!$D:$D),"")</f>
        <v/>
      </c>
      <c r="O1259" s="4">
        <f>IFERROR(XLOOKUP(A1259,Raw_Alerts!$B:$B,Raw_Alerts!$F:$F),"")</f>
        <v/>
      </c>
      <c r="P1259" s="4">
        <f>IF(H1259="Not Found","CRITICAL: No Risk Profile",IF(I1259="Missing","WARN: Missing KYC",IF(I1259="Expired","WARN: KYC Expired",IF(I1259="Pending","INFO: KYC Pending","OK"))))</f>
        <v/>
      </c>
    </row>
    <row r="1260">
      <c r="A1260" s="2">
        <f>Raw_Transactions!A1260</f>
        <v/>
      </c>
      <c r="B1260" s="2">
        <f>Raw_Transactions!B1260</f>
        <v/>
      </c>
      <c r="C1260" s="2">
        <f>Raw_Transactions!C1260</f>
        <v/>
      </c>
      <c r="D1260" s="3">
        <f>Raw_Transactions!D1260</f>
        <v/>
      </c>
      <c r="E1260" s="2">
        <f>Raw_Transactions!E1260</f>
        <v/>
      </c>
      <c r="F1260" s="2">
        <f>Raw_Transactions!F1260</f>
        <v/>
      </c>
      <c r="G1260" s="2">
        <f>Raw_Transactions!G1260</f>
        <v/>
      </c>
      <c r="H1260" s="2">
        <f>XLOOKUP(B1260,Raw_Risk_Profiles!$A:$A,Raw_Risk_Profiles!$B:$B,"Not Found")</f>
        <v/>
      </c>
      <c r="I1260" s="2">
        <f>XLOOKUP(B1260,Raw_Risk_Profiles!$A:$A,Raw_Risk_Profiles!$C:$C,"Missing")</f>
        <v/>
      </c>
      <c r="J1260" s="2">
        <f>XLOOKUP(B1260,Raw_Risk_Profiles!$A:$A,Raw_Risk_Profiles!$D:$D,"")</f>
        <v/>
      </c>
      <c r="K1260" s="2">
        <f>IFERROR(INDEX(Raw_Risk_Profiles!$E:$E,MATCH(B1260,Raw_Risk_Profiles!$A:$A,0)),"Unknown")</f>
        <v/>
      </c>
      <c r="L1260" s="2">
        <f>IFERROR(XLOOKUP(A1260,Raw_Alerts!$B:$B,Raw_Alerts!$A:$A),"No Alert")</f>
        <v/>
      </c>
      <c r="M1260" s="2">
        <f>IFERROR(XLOOKUP(A1260,Raw_Alerts!$B:$B,Raw_Alerts!$C:$C),"")</f>
        <v/>
      </c>
      <c r="N1260" s="2">
        <f>IFERROR(XLOOKUP(A1260,Raw_Alerts!$B:$B,Raw_Alerts!$D:$D),"")</f>
        <v/>
      </c>
      <c r="O1260" s="2">
        <f>IFERROR(XLOOKUP(A1260,Raw_Alerts!$B:$B,Raw_Alerts!$F:$F),"")</f>
        <v/>
      </c>
      <c r="P1260" s="2">
        <f>IF(H1260="Not Found","CRITICAL: No Risk Profile",IF(I1260="Missing","WARN: Missing KYC",IF(I1260="Expired","WARN: KYC Expired",IF(I1260="Pending","INFO: KYC Pending","OK"))))</f>
        <v/>
      </c>
    </row>
    <row r="1261">
      <c r="A1261" s="4">
        <f>Raw_Transactions!A1261</f>
        <v/>
      </c>
      <c r="B1261" s="4">
        <f>Raw_Transactions!B1261</f>
        <v/>
      </c>
      <c r="C1261" s="4">
        <f>Raw_Transactions!C1261</f>
        <v/>
      </c>
      <c r="D1261" s="5">
        <f>Raw_Transactions!D1261</f>
        <v/>
      </c>
      <c r="E1261" s="4">
        <f>Raw_Transactions!E1261</f>
        <v/>
      </c>
      <c r="F1261" s="4">
        <f>Raw_Transactions!F1261</f>
        <v/>
      </c>
      <c r="G1261" s="4">
        <f>Raw_Transactions!G1261</f>
        <v/>
      </c>
      <c r="H1261" s="4">
        <f>XLOOKUP(B1261,Raw_Risk_Profiles!$A:$A,Raw_Risk_Profiles!$B:$B,"Not Found")</f>
        <v/>
      </c>
      <c r="I1261" s="4">
        <f>XLOOKUP(B1261,Raw_Risk_Profiles!$A:$A,Raw_Risk_Profiles!$C:$C,"Missing")</f>
        <v/>
      </c>
      <c r="J1261" s="4">
        <f>XLOOKUP(B1261,Raw_Risk_Profiles!$A:$A,Raw_Risk_Profiles!$D:$D,"")</f>
        <v/>
      </c>
      <c r="K1261" s="4">
        <f>IFERROR(INDEX(Raw_Risk_Profiles!$E:$E,MATCH(B1261,Raw_Risk_Profiles!$A:$A,0)),"Unknown")</f>
        <v/>
      </c>
      <c r="L1261" s="4">
        <f>IFERROR(XLOOKUP(A1261,Raw_Alerts!$B:$B,Raw_Alerts!$A:$A),"No Alert")</f>
        <v/>
      </c>
      <c r="M1261" s="4">
        <f>IFERROR(XLOOKUP(A1261,Raw_Alerts!$B:$B,Raw_Alerts!$C:$C),"")</f>
        <v/>
      </c>
      <c r="N1261" s="4">
        <f>IFERROR(XLOOKUP(A1261,Raw_Alerts!$B:$B,Raw_Alerts!$D:$D),"")</f>
        <v/>
      </c>
      <c r="O1261" s="4">
        <f>IFERROR(XLOOKUP(A1261,Raw_Alerts!$B:$B,Raw_Alerts!$F:$F),"")</f>
        <v/>
      </c>
      <c r="P1261" s="4">
        <f>IF(H1261="Not Found","CRITICAL: No Risk Profile",IF(I1261="Missing","WARN: Missing KYC",IF(I1261="Expired","WARN: KYC Expired",IF(I1261="Pending","INFO: KYC Pending","OK"))))</f>
        <v/>
      </c>
    </row>
    <row r="1262">
      <c r="A1262" s="2">
        <f>Raw_Transactions!A1262</f>
        <v/>
      </c>
      <c r="B1262" s="2">
        <f>Raw_Transactions!B1262</f>
        <v/>
      </c>
      <c r="C1262" s="2">
        <f>Raw_Transactions!C1262</f>
        <v/>
      </c>
      <c r="D1262" s="3">
        <f>Raw_Transactions!D1262</f>
        <v/>
      </c>
      <c r="E1262" s="2">
        <f>Raw_Transactions!E1262</f>
        <v/>
      </c>
      <c r="F1262" s="2">
        <f>Raw_Transactions!F1262</f>
        <v/>
      </c>
      <c r="G1262" s="2">
        <f>Raw_Transactions!G1262</f>
        <v/>
      </c>
      <c r="H1262" s="2">
        <f>XLOOKUP(B1262,Raw_Risk_Profiles!$A:$A,Raw_Risk_Profiles!$B:$B,"Not Found")</f>
        <v/>
      </c>
      <c r="I1262" s="2">
        <f>XLOOKUP(B1262,Raw_Risk_Profiles!$A:$A,Raw_Risk_Profiles!$C:$C,"Missing")</f>
        <v/>
      </c>
      <c r="J1262" s="2">
        <f>XLOOKUP(B1262,Raw_Risk_Profiles!$A:$A,Raw_Risk_Profiles!$D:$D,"")</f>
        <v/>
      </c>
      <c r="K1262" s="2">
        <f>IFERROR(INDEX(Raw_Risk_Profiles!$E:$E,MATCH(B1262,Raw_Risk_Profiles!$A:$A,0)),"Unknown")</f>
        <v/>
      </c>
      <c r="L1262" s="2">
        <f>IFERROR(XLOOKUP(A1262,Raw_Alerts!$B:$B,Raw_Alerts!$A:$A),"No Alert")</f>
        <v/>
      </c>
      <c r="M1262" s="2">
        <f>IFERROR(XLOOKUP(A1262,Raw_Alerts!$B:$B,Raw_Alerts!$C:$C),"")</f>
        <v/>
      </c>
      <c r="N1262" s="2">
        <f>IFERROR(XLOOKUP(A1262,Raw_Alerts!$B:$B,Raw_Alerts!$D:$D),"")</f>
        <v/>
      </c>
      <c r="O1262" s="2">
        <f>IFERROR(XLOOKUP(A1262,Raw_Alerts!$B:$B,Raw_Alerts!$F:$F),"")</f>
        <v/>
      </c>
      <c r="P1262" s="2">
        <f>IF(H1262="Not Found","CRITICAL: No Risk Profile",IF(I1262="Missing","WARN: Missing KYC",IF(I1262="Expired","WARN: KYC Expired",IF(I1262="Pending","INFO: KYC Pending","OK"))))</f>
        <v/>
      </c>
    </row>
    <row r="1263">
      <c r="A1263" s="4">
        <f>Raw_Transactions!A1263</f>
        <v/>
      </c>
      <c r="B1263" s="4">
        <f>Raw_Transactions!B1263</f>
        <v/>
      </c>
      <c r="C1263" s="4">
        <f>Raw_Transactions!C1263</f>
        <v/>
      </c>
      <c r="D1263" s="5">
        <f>Raw_Transactions!D1263</f>
        <v/>
      </c>
      <c r="E1263" s="4">
        <f>Raw_Transactions!E1263</f>
        <v/>
      </c>
      <c r="F1263" s="4">
        <f>Raw_Transactions!F1263</f>
        <v/>
      </c>
      <c r="G1263" s="4">
        <f>Raw_Transactions!G1263</f>
        <v/>
      </c>
      <c r="H1263" s="4">
        <f>XLOOKUP(B1263,Raw_Risk_Profiles!$A:$A,Raw_Risk_Profiles!$B:$B,"Not Found")</f>
        <v/>
      </c>
      <c r="I1263" s="4">
        <f>XLOOKUP(B1263,Raw_Risk_Profiles!$A:$A,Raw_Risk_Profiles!$C:$C,"Missing")</f>
        <v/>
      </c>
      <c r="J1263" s="4">
        <f>XLOOKUP(B1263,Raw_Risk_Profiles!$A:$A,Raw_Risk_Profiles!$D:$D,"")</f>
        <v/>
      </c>
      <c r="K1263" s="4">
        <f>IFERROR(INDEX(Raw_Risk_Profiles!$E:$E,MATCH(B1263,Raw_Risk_Profiles!$A:$A,0)),"Unknown")</f>
        <v/>
      </c>
      <c r="L1263" s="4">
        <f>IFERROR(XLOOKUP(A1263,Raw_Alerts!$B:$B,Raw_Alerts!$A:$A),"No Alert")</f>
        <v/>
      </c>
      <c r="M1263" s="4">
        <f>IFERROR(XLOOKUP(A1263,Raw_Alerts!$B:$B,Raw_Alerts!$C:$C),"")</f>
        <v/>
      </c>
      <c r="N1263" s="4">
        <f>IFERROR(XLOOKUP(A1263,Raw_Alerts!$B:$B,Raw_Alerts!$D:$D),"")</f>
        <v/>
      </c>
      <c r="O1263" s="4">
        <f>IFERROR(XLOOKUP(A1263,Raw_Alerts!$B:$B,Raw_Alerts!$F:$F),"")</f>
        <v/>
      </c>
      <c r="P1263" s="4">
        <f>IF(H1263="Not Found","CRITICAL: No Risk Profile",IF(I1263="Missing","WARN: Missing KYC",IF(I1263="Expired","WARN: KYC Expired",IF(I1263="Pending","INFO: KYC Pending","OK"))))</f>
        <v/>
      </c>
    </row>
    <row r="1264">
      <c r="A1264" s="2">
        <f>Raw_Transactions!A1264</f>
        <v/>
      </c>
      <c r="B1264" s="2">
        <f>Raw_Transactions!B1264</f>
        <v/>
      </c>
      <c r="C1264" s="2">
        <f>Raw_Transactions!C1264</f>
        <v/>
      </c>
      <c r="D1264" s="3">
        <f>Raw_Transactions!D1264</f>
        <v/>
      </c>
      <c r="E1264" s="2">
        <f>Raw_Transactions!E1264</f>
        <v/>
      </c>
      <c r="F1264" s="2">
        <f>Raw_Transactions!F1264</f>
        <v/>
      </c>
      <c r="G1264" s="2">
        <f>Raw_Transactions!G1264</f>
        <v/>
      </c>
      <c r="H1264" s="2">
        <f>XLOOKUP(B1264,Raw_Risk_Profiles!$A:$A,Raw_Risk_Profiles!$B:$B,"Not Found")</f>
        <v/>
      </c>
      <c r="I1264" s="2">
        <f>XLOOKUP(B1264,Raw_Risk_Profiles!$A:$A,Raw_Risk_Profiles!$C:$C,"Missing")</f>
        <v/>
      </c>
      <c r="J1264" s="2">
        <f>XLOOKUP(B1264,Raw_Risk_Profiles!$A:$A,Raw_Risk_Profiles!$D:$D,"")</f>
        <v/>
      </c>
      <c r="K1264" s="2">
        <f>IFERROR(INDEX(Raw_Risk_Profiles!$E:$E,MATCH(B1264,Raw_Risk_Profiles!$A:$A,0)),"Unknown")</f>
        <v/>
      </c>
      <c r="L1264" s="2">
        <f>IFERROR(XLOOKUP(A1264,Raw_Alerts!$B:$B,Raw_Alerts!$A:$A),"No Alert")</f>
        <v/>
      </c>
      <c r="M1264" s="2">
        <f>IFERROR(XLOOKUP(A1264,Raw_Alerts!$B:$B,Raw_Alerts!$C:$C),"")</f>
        <v/>
      </c>
      <c r="N1264" s="2">
        <f>IFERROR(XLOOKUP(A1264,Raw_Alerts!$B:$B,Raw_Alerts!$D:$D),"")</f>
        <v/>
      </c>
      <c r="O1264" s="2">
        <f>IFERROR(XLOOKUP(A1264,Raw_Alerts!$B:$B,Raw_Alerts!$F:$F),"")</f>
        <v/>
      </c>
      <c r="P1264" s="2">
        <f>IF(H1264="Not Found","CRITICAL: No Risk Profile",IF(I1264="Missing","WARN: Missing KYC",IF(I1264="Expired","WARN: KYC Expired",IF(I1264="Pending","INFO: KYC Pending","OK"))))</f>
        <v/>
      </c>
    </row>
    <row r="1265">
      <c r="A1265" s="4">
        <f>Raw_Transactions!A1265</f>
        <v/>
      </c>
      <c r="B1265" s="4">
        <f>Raw_Transactions!B1265</f>
        <v/>
      </c>
      <c r="C1265" s="4">
        <f>Raw_Transactions!C1265</f>
        <v/>
      </c>
      <c r="D1265" s="5">
        <f>Raw_Transactions!D1265</f>
        <v/>
      </c>
      <c r="E1265" s="4">
        <f>Raw_Transactions!E1265</f>
        <v/>
      </c>
      <c r="F1265" s="4">
        <f>Raw_Transactions!F1265</f>
        <v/>
      </c>
      <c r="G1265" s="4">
        <f>Raw_Transactions!G1265</f>
        <v/>
      </c>
      <c r="H1265" s="4">
        <f>XLOOKUP(B1265,Raw_Risk_Profiles!$A:$A,Raw_Risk_Profiles!$B:$B,"Not Found")</f>
        <v/>
      </c>
      <c r="I1265" s="4">
        <f>XLOOKUP(B1265,Raw_Risk_Profiles!$A:$A,Raw_Risk_Profiles!$C:$C,"Missing")</f>
        <v/>
      </c>
      <c r="J1265" s="4">
        <f>XLOOKUP(B1265,Raw_Risk_Profiles!$A:$A,Raw_Risk_Profiles!$D:$D,"")</f>
        <v/>
      </c>
      <c r="K1265" s="4">
        <f>IFERROR(INDEX(Raw_Risk_Profiles!$E:$E,MATCH(B1265,Raw_Risk_Profiles!$A:$A,0)),"Unknown")</f>
        <v/>
      </c>
      <c r="L1265" s="4">
        <f>IFERROR(XLOOKUP(A1265,Raw_Alerts!$B:$B,Raw_Alerts!$A:$A),"No Alert")</f>
        <v/>
      </c>
      <c r="M1265" s="4">
        <f>IFERROR(XLOOKUP(A1265,Raw_Alerts!$B:$B,Raw_Alerts!$C:$C),"")</f>
        <v/>
      </c>
      <c r="N1265" s="4">
        <f>IFERROR(XLOOKUP(A1265,Raw_Alerts!$B:$B,Raw_Alerts!$D:$D),"")</f>
        <v/>
      </c>
      <c r="O1265" s="4">
        <f>IFERROR(XLOOKUP(A1265,Raw_Alerts!$B:$B,Raw_Alerts!$F:$F),"")</f>
        <v/>
      </c>
      <c r="P1265" s="4">
        <f>IF(H1265="Not Found","CRITICAL: No Risk Profile",IF(I1265="Missing","WARN: Missing KYC",IF(I1265="Expired","WARN: KYC Expired",IF(I1265="Pending","INFO: KYC Pending","OK"))))</f>
        <v/>
      </c>
    </row>
    <row r="1266">
      <c r="A1266" s="2">
        <f>Raw_Transactions!A1266</f>
        <v/>
      </c>
      <c r="B1266" s="2">
        <f>Raw_Transactions!B1266</f>
        <v/>
      </c>
      <c r="C1266" s="2">
        <f>Raw_Transactions!C1266</f>
        <v/>
      </c>
      <c r="D1266" s="3">
        <f>Raw_Transactions!D1266</f>
        <v/>
      </c>
      <c r="E1266" s="2">
        <f>Raw_Transactions!E1266</f>
        <v/>
      </c>
      <c r="F1266" s="2">
        <f>Raw_Transactions!F1266</f>
        <v/>
      </c>
      <c r="G1266" s="2">
        <f>Raw_Transactions!G1266</f>
        <v/>
      </c>
      <c r="H1266" s="2">
        <f>XLOOKUP(B1266,Raw_Risk_Profiles!$A:$A,Raw_Risk_Profiles!$B:$B,"Not Found")</f>
        <v/>
      </c>
      <c r="I1266" s="2">
        <f>XLOOKUP(B1266,Raw_Risk_Profiles!$A:$A,Raw_Risk_Profiles!$C:$C,"Missing")</f>
        <v/>
      </c>
      <c r="J1266" s="2">
        <f>XLOOKUP(B1266,Raw_Risk_Profiles!$A:$A,Raw_Risk_Profiles!$D:$D,"")</f>
        <v/>
      </c>
      <c r="K1266" s="2">
        <f>IFERROR(INDEX(Raw_Risk_Profiles!$E:$E,MATCH(B1266,Raw_Risk_Profiles!$A:$A,0)),"Unknown")</f>
        <v/>
      </c>
      <c r="L1266" s="2">
        <f>IFERROR(XLOOKUP(A1266,Raw_Alerts!$B:$B,Raw_Alerts!$A:$A),"No Alert")</f>
        <v/>
      </c>
      <c r="M1266" s="2">
        <f>IFERROR(XLOOKUP(A1266,Raw_Alerts!$B:$B,Raw_Alerts!$C:$C),"")</f>
        <v/>
      </c>
      <c r="N1266" s="2">
        <f>IFERROR(XLOOKUP(A1266,Raw_Alerts!$B:$B,Raw_Alerts!$D:$D),"")</f>
        <v/>
      </c>
      <c r="O1266" s="2">
        <f>IFERROR(XLOOKUP(A1266,Raw_Alerts!$B:$B,Raw_Alerts!$F:$F),"")</f>
        <v/>
      </c>
      <c r="P1266" s="2">
        <f>IF(H1266="Not Found","CRITICAL: No Risk Profile",IF(I1266="Missing","WARN: Missing KYC",IF(I1266="Expired","WARN: KYC Expired",IF(I1266="Pending","INFO: KYC Pending","OK"))))</f>
        <v/>
      </c>
    </row>
    <row r="1267">
      <c r="A1267" s="4">
        <f>Raw_Transactions!A1267</f>
        <v/>
      </c>
      <c r="B1267" s="4">
        <f>Raw_Transactions!B1267</f>
        <v/>
      </c>
      <c r="C1267" s="4">
        <f>Raw_Transactions!C1267</f>
        <v/>
      </c>
      <c r="D1267" s="5">
        <f>Raw_Transactions!D1267</f>
        <v/>
      </c>
      <c r="E1267" s="4">
        <f>Raw_Transactions!E1267</f>
        <v/>
      </c>
      <c r="F1267" s="4">
        <f>Raw_Transactions!F1267</f>
        <v/>
      </c>
      <c r="G1267" s="4">
        <f>Raw_Transactions!G1267</f>
        <v/>
      </c>
      <c r="H1267" s="4">
        <f>XLOOKUP(B1267,Raw_Risk_Profiles!$A:$A,Raw_Risk_Profiles!$B:$B,"Not Found")</f>
        <v/>
      </c>
      <c r="I1267" s="4">
        <f>XLOOKUP(B1267,Raw_Risk_Profiles!$A:$A,Raw_Risk_Profiles!$C:$C,"Missing")</f>
        <v/>
      </c>
      <c r="J1267" s="4">
        <f>XLOOKUP(B1267,Raw_Risk_Profiles!$A:$A,Raw_Risk_Profiles!$D:$D,"")</f>
        <v/>
      </c>
      <c r="K1267" s="4">
        <f>IFERROR(INDEX(Raw_Risk_Profiles!$E:$E,MATCH(B1267,Raw_Risk_Profiles!$A:$A,0)),"Unknown")</f>
        <v/>
      </c>
      <c r="L1267" s="4">
        <f>IFERROR(XLOOKUP(A1267,Raw_Alerts!$B:$B,Raw_Alerts!$A:$A),"No Alert")</f>
        <v/>
      </c>
      <c r="M1267" s="4">
        <f>IFERROR(XLOOKUP(A1267,Raw_Alerts!$B:$B,Raw_Alerts!$C:$C),"")</f>
        <v/>
      </c>
      <c r="N1267" s="4">
        <f>IFERROR(XLOOKUP(A1267,Raw_Alerts!$B:$B,Raw_Alerts!$D:$D),"")</f>
        <v/>
      </c>
      <c r="O1267" s="4">
        <f>IFERROR(XLOOKUP(A1267,Raw_Alerts!$B:$B,Raw_Alerts!$F:$F),"")</f>
        <v/>
      </c>
      <c r="P1267" s="4">
        <f>IF(H1267="Not Found","CRITICAL: No Risk Profile",IF(I1267="Missing","WARN: Missing KYC",IF(I1267="Expired","WARN: KYC Expired",IF(I1267="Pending","INFO: KYC Pending","OK"))))</f>
        <v/>
      </c>
    </row>
    <row r="1268">
      <c r="A1268" s="2">
        <f>Raw_Transactions!A1268</f>
        <v/>
      </c>
      <c r="B1268" s="2">
        <f>Raw_Transactions!B1268</f>
        <v/>
      </c>
      <c r="C1268" s="2">
        <f>Raw_Transactions!C1268</f>
        <v/>
      </c>
      <c r="D1268" s="3">
        <f>Raw_Transactions!D1268</f>
        <v/>
      </c>
      <c r="E1268" s="2">
        <f>Raw_Transactions!E1268</f>
        <v/>
      </c>
      <c r="F1268" s="2">
        <f>Raw_Transactions!F1268</f>
        <v/>
      </c>
      <c r="G1268" s="2">
        <f>Raw_Transactions!G1268</f>
        <v/>
      </c>
      <c r="H1268" s="2">
        <f>XLOOKUP(B1268,Raw_Risk_Profiles!$A:$A,Raw_Risk_Profiles!$B:$B,"Not Found")</f>
        <v/>
      </c>
      <c r="I1268" s="2">
        <f>XLOOKUP(B1268,Raw_Risk_Profiles!$A:$A,Raw_Risk_Profiles!$C:$C,"Missing")</f>
        <v/>
      </c>
      <c r="J1268" s="2">
        <f>XLOOKUP(B1268,Raw_Risk_Profiles!$A:$A,Raw_Risk_Profiles!$D:$D,"")</f>
        <v/>
      </c>
      <c r="K1268" s="2">
        <f>IFERROR(INDEX(Raw_Risk_Profiles!$E:$E,MATCH(B1268,Raw_Risk_Profiles!$A:$A,0)),"Unknown")</f>
        <v/>
      </c>
      <c r="L1268" s="2">
        <f>IFERROR(XLOOKUP(A1268,Raw_Alerts!$B:$B,Raw_Alerts!$A:$A),"No Alert")</f>
        <v/>
      </c>
      <c r="M1268" s="2">
        <f>IFERROR(XLOOKUP(A1268,Raw_Alerts!$B:$B,Raw_Alerts!$C:$C),"")</f>
        <v/>
      </c>
      <c r="N1268" s="2">
        <f>IFERROR(XLOOKUP(A1268,Raw_Alerts!$B:$B,Raw_Alerts!$D:$D),"")</f>
        <v/>
      </c>
      <c r="O1268" s="2">
        <f>IFERROR(XLOOKUP(A1268,Raw_Alerts!$B:$B,Raw_Alerts!$F:$F),"")</f>
        <v/>
      </c>
      <c r="P1268" s="2">
        <f>IF(H1268="Not Found","CRITICAL: No Risk Profile",IF(I1268="Missing","WARN: Missing KYC",IF(I1268="Expired","WARN: KYC Expired",IF(I1268="Pending","INFO: KYC Pending","OK"))))</f>
        <v/>
      </c>
    </row>
    <row r="1269">
      <c r="A1269" s="4">
        <f>Raw_Transactions!A1269</f>
        <v/>
      </c>
      <c r="B1269" s="4">
        <f>Raw_Transactions!B1269</f>
        <v/>
      </c>
      <c r="C1269" s="4">
        <f>Raw_Transactions!C1269</f>
        <v/>
      </c>
      <c r="D1269" s="5">
        <f>Raw_Transactions!D1269</f>
        <v/>
      </c>
      <c r="E1269" s="4">
        <f>Raw_Transactions!E1269</f>
        <v/>
      </c>
      <c r="F1269" s="4">
        <f>Raw_Transactions!F1269</f>
        <v/>
      </c>
      <c r="G1269" s="4">
        <f>Raw_Transactions!G1269</f>
        <v/>
      </c>
      <c r="H1269" s="4">
        <f>XLOOKUP(B1269,Raw_Risk_Profiles!$A:$A,Raw_Risk_Profiles!$B:$B,"Not Found")</f>
        <v/>
      </c>
      <c r="I1269" s="4">
        <f>XLOOKUP(B1269,Raw_Risk_Profiles!$A:$A,Raw_Risk_Profiles!$C:$C,"Missing")</f>
        <v/>
      </c>
      <c r="J1269" s="4">
        <f>XLOOKUP(B1269,Raw_Risk_Profiles!$A:$A,Raw_Risk_Profiles!$D:$D,"")</f>
        <v/>
      </c>
      <c r="K1269" s="4">
        <f>IFERROR(INDEX(Raw_Risk_Profiles!$E:$E,MATCH(B1269,Raw_Risk_Profiles!$A:$A,0)),"Unknown")</f>
        <v/>
      </c>
      <c r="L1269" s="4">
        <f>IFERROR(XLOOKUP(A1269,Raw_Alerts!$B:$B,Raw_Alerts!$A:$A),"No Alert")</f>
        <v/>
      </c>
      <c r="M1269" s="4">
        <f>IFERROR(XLOOKUP(A1269,Raw_Alerts!$B:$B,Raw_Alerts!$C:$C),"")</f>
        <v/>
      </c>
      <c r="N1269" s="4">
        <f>IFERROR(XLOOKUP(A1269,Raw_Alerts!$B:$B,Raw_Alerts!$D:$D),"")</f>
        <v/>
      </c>
      <c r="O1269" s="4">
        <f>IFERROR(XLOOKUP(A1269,Raw_Alerts!$B:$B,Raw_Alerts!$F:$F),"")</f>
        <v/>
      </c>
      <c r="P1269" s="4">
        <f>IF(H1269="Not Found","CRITICAL: No Risk Profile",IF(I1269="Missing","WARN: Missing KYC",IF(I1269="Expired","WARN: KYC Expired",IF(I1269="Pending","INFO: KYC Pending","OK"))))</f>
        <v/>
      </c>
    </row>
    <row r="1270">
      <c r="A1270" s="2">
        <f>Raw_Transactions!A1270</f>
        <v/>
      </c>
      <c r="B1270" s="2">
        <f>Raw_Transactions!B1270</f>
        <v/>
      </c>
      <c r="C1270" s="2">
        <f>Raw_Transactions!C1270</f>
        <v/>
      </c>
      <c r="D1270" s="3">
        <f>Raw_Transactions!D1270</f>
        <v/>
      </c>
      <c r="E1270" s="2">
        <f>Raw_Transactions!E1270</f>
        <v/>
      </c>
      <c r="F1270" s="2">
        <f>Raw_Transactions!F1270</f>
        <v/>
      </c>
      <c r="G1270" s="2">
        <f>Raw_Transactions!G1270</f>
        <v/>
      </c>
      <c r="H1270" s="2">
        <f>XLOOKUP(B1270,Raw_Risk_Profiles!$A:$A,Raw_Risk_Profiles!$B:$B,"Not Found")</f>
        <v/>
      </c>
      <c r="I1270" s="2">
        <f>XLOOKUP(B1270,Raw_Risk_Profiles!$A:$A,Raw_Risk_Profiles!$C:$C,"Missing")</f>
        <v/>
      </c>
      <c r="J1270" s="2">
        <f>XLOOKUP(B1270,Raw_Risk_Profiles!$A:$A,Raw_Risk_Profiles!$D:$D,"")</f>
        <v/>
      </c>
      <c r="K1270" s="2">
        <f>IFERROR(INDEX(Raw_Risk_Profiles!$E:$E,MATCH(B1270,Raw_Risk_Profiles!$A:$A,0)),"Unknown")</f>
        <v/>
      </c>
      <c r="L1270" s="2">
        <f>IFERROR(XLOOKUP(A1270,Raw_Alerts!$B:$B,Raw_Alerts!$A:$A),"No Alert")</f>
        <v/>
      </c>
      <c r="M1270" s="2">
        <f>IFERROR(XLOOKUP(A1270,Raw_Alerts!$B:$B,Raw_Alerts!$C:$C),"")</f>
        <v/>
      </c>
      <c r="N1270" s="2">
        <f>IFERROR(XLOOKUP(A1270,Raw_Alerts!$B:$B,Raw_Alerts!$D:$D),"")</f>
        <v/>
      </c>
      <c r="O1270" s="2">
        <f>IFERROR(XLOOKUP(A1270,Raw_Alerts!$B:$B,Raw_Alerts!$F:$F),"")</f>
        <v/>
      </c>
      <c r="P1270" s="2">
        <f>IF(H1270="Not Found","CRITICAL: No Risk Profile",IF(I1270="Missing","WARN: Missing KYC",IF(I1270="Expired","WARN: KYC Expired",IF(I1270="Pending","INFO: KYC Pending","OK"))))</f>
        <v/>
      </c>
    </row>
    <row r="1271">
      <c r="A1271" s="4">
        <f>Raw_Transactions!A1271</f>
        <v/>
      </c>
      <c r="B1271" s="4">
        <f>Raw_Transactions!B1271</f>
        <v/>
      </c>
      <c r="C1271" s="4">
        <f>Raw_Transactions!C1271</f>
        <v/>
      </c>
      <c r="D1271" s="5">
        <f>Raw_Transactions!D1271</f>
        <v/>
      </c>
      <c r="E1271" s="4">
        <f>Raw_Transactions!E1271</f>
        <v/>
      </c>
      <c r="F1271" s="4">
        <f>Raw_Transactions!F1271</f>
        <v/>
      </c>
      <c r="G1271" s="4">
        <f>Raw_Transactions!G1271</f>
        <v/>
      </c>
      <c r="H1271" s="4">
        <f>XLOOKUP(B1271,Raw_Risk_Profiles!$A:$A,Raw_Risk_Profiles!$B:$B,"Not Found")</f>
        <v/>
      </c>
      <c r="I1271" s="4">
        <f>XLOOKUP(B1271,Raw_Risk_Profiles!$A:$A,Raw_Risk_Profiles!$C:$C,"Missing")</f>
        <v/>
      </c>
      <c r="J1271" s="4">
        <f>XLOOKUP(B1271,Raw_Risk_Profiles!$A:$A,Raw_Risk_Profiles!$D:$D,"")</f>
        <v/>
      </c>
      <c r="K1271" s="4">
        <f>IFERROR(INDEX(Raw_Risk_Profiles!$E:$E,MATCH(B1271,Raw_Risk_Profiles!$A:$A,0)),"Unknown")</f>
        <v/>
      </c>
      <c r="L1271" s="4">
        <f>IFERROR(XLOOKUP(A1271,Raw_Alerts!$B:$B,Raw_Alerts!$A:$A),"No Alert")</f>
        <v/>
      </c>
      <c r="M1271" s="4">
        <f>IFERROR(XLOOKUP(A1271,Raw_Alerts!$B:$B,Raw_Alerts!$C:$C),"")</f>
        <v/>
      </c>
      <c r="N1271" s="4">
        <f>IFERROR(XLOOKUP(A1271,Raw_Alerts!$B:$B,Raw_Alerts!$D:$D),"")</f>
        <v/>
      </c>
      <c r="O1271" s="4">
        <f>IFERROR(XLOOKUP(A1271,Raw_Alerts!$B:$B,Raw_Alerts!$F:$F),"")</f>
        <v/>
      </c>
      <c r="P1271" s="4">
        <f>IF(H1271="Not Found","CRITICAL: No Risk Profile",IF(I1271="Missing","WARN: Missing KYC",IF(I1271="Expired","WARN: KYC Expired",IF(I1271="Pending","INFO: KYC Pending","OK"))))</f>
        <v/>
      </c>
    </row>
    <row r="1272">
      <c r="A1272" s="2">
        <f>Raw_Transactions!A1272</f>
        <v/>
      </c>
      <c r="B1272" s="2">
        <f>Raw_Transactions!B1272</f>
        <v/>
      </c>
      <c r="C1272" s="2">
        <f>Raw_Transactions!C1272</f>
        <v/>
      </c>
      <c r="D1272" s="3">
        <f>Raw_Transactions!D1272</f>
        <v/>
      </c>
      <c r="E1272" s="2">
        <f>Raw_Transactions!E1272</f>
        <v/>
      </c>
      <c r="F1272" s="2">
        <f>Raw_Transactions!F1272</f>
        <v/>
      </c>
      <c r="G1272" s="2">
        <f>Raw_Transactions!G1272</f>
        <v/>
      </c>
      <c r="H1272" s="2">
        <f>XLOOKUP(B1272,Raw_Risk_Profiles!$A:$A,Raw_Risk_Profiles!$B:$B,"Not Found")</f>
        <v/>
      </c>
      <c r="I1272" s="2">
        <f>XLOOKUP(B1272,Raw_Risk_Profiles!$A:$A,Raw_Risk_Profiles!$C:$C,"Missing")</f>
        <v/>
      </c>
      <c r="J1272" s="2">
        <f>XLOOKUP(B1272,Raw_Risk_Profiles!$A:$A,Raw_Risk_Profiles!$D:$D,"")</f>
        <v/>
      </c>
      <c r="K1272" s="2">
        <f>IFERROR(INDEX(Raw_Risk_Profiles!$E:$E,MATCH(B1272,Raw_Risk_Profiles!$A:$A,0)),"Unknown")</f>
        <v/>
      </c>
      <c r="L1272" s="2">
        <f>IFERROR(XLOOKUP(A1272,Raw_Alerts!$B:$B,Raw_Alerts!$A:$A),"No Alert")</f>
        <v/>
      </c>
      <c r="M1272" s="2">
        <f>IFERROR(XLOOKUP(A1272,Raw_Alerts!$B:$B,Raw_Alerts!$C:$C),"")</f>
        <v/>
      </c>
      <c r="N1272" s="2">
        <f>IFERROR(XLOOKUP(A1272,Raw_Alerts!$B:$B,Raw_Alerts!$D:$D),"")</f>
        <v/>
      </c>
      <c r="O1272" s="2">
        <f>IFERROR(XLOOKUP(A1272,Raw_Alerts!$B:$B,Raw_Alerts!$F:$F),"")</f>
        <v/>
      </c>
      <c r="P1272" s="2">
        <f>IF(H1272="Not Found","CRITICAL: No Risk Profile",IF(I1272="Missing","WARN: Missing KYC",IF(I1272="Expired","WARN: KYC Expired",IF(I1272="Pending","INFO: KYC Pending","OK"))))</f>
        <v/>
      </c>
    </row>
    <row r="1273">
      <c r="A1273" s="4">
        <f>Raw_Transactions!A1273</f>
        <v/>
      </c>
      <c r="B1273" s="4">
        <f>Raw_Transactions!B1273</f>
        <v/>
      </c>
      <c r="C1273" s="4">
        <f>Raw_Transactions!C1273</f>
        <v/>
      </c>
      <c r="D1273" s="5">
        <f>Raw_Transactions!D1273</f>
        <v/>
      </c>
      <c r="E1273" s="4">
        <f>Raw_Transactions!E1273</f>
        <v/>
      </c>
      <c r="F1273" s="4">
        <f>Raw_Transactions!F1273</f>
        <v/>
      </c>
      <c r="G1273" s="4">
        <f>Raw_Transactions!G1273</f>
        <v/>
      </c>
      <c r="H1273" s="4">
        <f>XLOOKUP(B1273,Raw_Risk_Profiles!$A:$A,Raw_Risk_Profiles!$B:$B,"Not Found")</f>
        <v/>
      </c>
      <c r="I1273" s="4">
        <f>XLOOKUP(B1273,Raw_Risk_Profiles!$A:$A,Raw_Risk_Profiles!$C:$C,"Missing")</f>
        <v/>
      </c>
      <c r="J1273" s="4">
        <f>XLOOKUP(B1273,Raw_Risk_Profiles!$A:$A,Raw_Risk_Profiles!$D:$D,"")</f>
        <v/>
      </c>
      <c r="K1273" s="4">
        <f>IFERROR(INDEX(Raw_Risk_Profiles!$E:$E,MATCH(B1273,Raw_Risk_Profiles!$A:$A,0)),"Unknown")</f>
        <v/>
      </c>
      <c r="L1273" s="4">
        <f>IFERROR(XLOOKUP(A1273,Raw_Alerts!$B:$B,Raw_Alerts!$A:$A),"No Alert")</f>
        <v/>
      </c>
      <c r="M1273" s="4">
        <f>IFERROR(XLOOKUP(A1273,Raw_Alerts!$B:$B,Raw_Alerts!$C:$C),"")</f>
        <v/>
      </c>
      <c r="N1273" s="4">
        <f>IFERROR(XLOOKUP(A1273,Raw_Alerts!$B:$B,Raw_Alerts!$D:$D),"")</f>
        <v/>
      </c>
      <c r="O1273" s="4">
        <f>IFERROR(XLOOKUP(A1273,Raw_Alerts!$B:$B,Raw_Alerts!$F:$F),"")</f>
        <v/>
      </c>
      <c r="P1273" s="4">
        <f>IF(H1273="Not Found","CRITICAL: No Risk Profile",IF(I1273="Missing","WARN: Missing KYC",IF(I1273="Expired","WARN: KYC Expired",IF(I1273="Pending","INFO: KYC Pending","OK"))))</f>
        <v/>
      </c>
    </row>
    <row r="1274">
      <c r="A1274" s="2">
        <f>Raw_Transactions!A1274</f>
        <v/>
      </c>
      <c r="B1274" s="2">
        <f>Raw_Transactions!B1274</f>
        <v/>
      </c>
      <c r="C1274" s="2">
        <f>Raw_Transactions!C1274</f>
        <v/>
      </c>
      <c r="D1274" s="3">
        <f>Raw_Transactions!D1274</f>
        <v/>
      </c>
      <c r="E1274" s="2">
        <f>Raw_Transactions!E1274</f>
        <v/>
      </c>
      <c r="F1274" s="2">
        <f>Raw_Transactions!F1274</f>
        <v/>
      </c>
      <c r="G1274" s="2">
        <f>Raw_Transactions!G1274</f>
        <v/>
      </c>
      <c r="H1274" s="2">
        <f>XLOOKUP(B1274,Raw_Risk_Profiles!$A:$A,Raw_Risk_Profiles!$B:$B,"Not Found")</f>
        <v/>
      </c>
      <c r="I1274" s="2">
        <f>XLOOKUP(B1274,Raw_Risk_Profiles!$A:$A,Raw_Risk_Profiles!$C:$C,"Missing")</f>
        <v/>
      </c>
      <c r="J1274" s="2">
        <f>XLOOKUP(B1274,Raw_Risk_Profiles!$A:$A,Raw_Risk_Profiles!$D:$D,"")</f>
        <v/>
      </c>
      <c r="K1274" s="2">
        <f>IFERROR(INDEX(Raw_Risk_Profiles!$E:$E,MATCH(B1274,Raw_Risk_Profiles!$A:$A,0)),"Unknown")</f>
        <v/>
      </c>
      <c r="L1274" s="2">
        <f>IFERROR(XLOOKUP(A1274,Raw_Alerts!$B:$B,Raw_Alerts!$A:$A),"No Alert")</f>
        <v/>
      </c>
      <c r="M1274" s="2">
        <f>IFERROR(XLOOKUP(A1274,Raw_Alerts!$B:$B,Raw_Alerts!$C:$C),"")</f>
        <v/>
      </c>
      <c r="N1274" s="2">
        <f>IFERROR(XLOOKUP(A1274,Raw_Alerts!$B:$B,Raw_Alerts!$D:$D),"")</f>
        <v/>
      </c>
      <c r="O1274" s="2">
        <f>IFERROR(XLOOKUP(A1274,Raw_Alerts!$B:$B,Raw_Alerts!$F:$F),"")</f>
        <v/>
      </c>
      <c r="P1274" s="2">
        <f>IF(H1274="Not Found","CRITICAL: No Risk Profile",IF(I1274="Missing","WARN: Missing KYC",IF(I1274="Expired","WARN: KYC Expired",IF(I1274="Pending","INFO: KYC Pending","OK"))))</f>
        <v/>
      </c>
    </row>
    <row r="1275">
      <c r="A1275" s="4">
        <f>Raw_Transactions!A1275</f>
        <v/>
      </c>
      <c r="B1275" s="4">
        <f>Raw_Transactions!B1275</f>
        <v/>
      </c>
      <c r="C1275" s="4">
        <f>Raw_Transactions!C1275</f>
        <v/>
      </c>
      <c r="D1275" s="5">
        <f>Raw_Transactions!D1275</f>
        <v/>
      </c>
      <c r="E1275" s="4">
        <f>Raw_Transactions!E1275</f>
        <v/>
      </c>
      <c r="F1275" s="4">
        <f>Raw_Transactions!F1275</f>
        <v/>
      </c>
      <c r="G1275" s="4">
        <f>Raw_Transactions!G1275</f>
        <v/>
      </c>
      <c r="H1275" s="4">
        <f>XLOOKUP(B1275,Raw_Risk_Profiles!$A:$A,Raw_Risk_Profiles!$B:$B,"Not Found")</f>
        <v/>
      </c>
      <c r="I1275" s="4">
        <f>XLOOKUP(B1275,Raw_Risk_Profiles!$A:$A,Raw_Risk_Profiles!$C:$C,"Missing")</f>
        <v/>
      </c>
      <c r="J1275" s="4">
        <f>XLOOKUP(B1275,Raw_Risk_Profiles!$A:$A,Raw_Risk_Profiles!$D:$D,"")</f>
        <v/>
      </c>
      <c r="K1275" s="4">
        <f>IFERROR(INDEX(Raw_Risk_Profiles!$E:$E,MATCH(B1275,Raw_Risk_Profiles!$A:$A,0)),"Unknown")</f>
        <v/>
      </c>
      <c r="L1275" s="4">
        <f>IFERROR(XLOOKUP(A1275,Raw_Alerts!$B:$B,Raw_Alerts!$A:$A),"No Alert")</f>
        <v/>
      </c>
      <c r="M1275" s="4">
        <f>IFERROR(XLOOKUP(A1275,Raw_Alerts!$B:$B,Raw_Alerts!$C:$C),"")</f>
        <v/>
      </c>
      <c r="N1275" s="4">
        <f>IFERROR(XLOOKUP(A1275,Raw_Alerts!$B:$B,Raw_Alerts!$D:$D),"")</f>
        <v/>
      </c>
      <c r="O1275" s="4">
        <f>IFERROR(XLOOKUP(A1275,Raw_Alerts!$B:$B,Raw_Alerts!$F:$F),"")</f>
        <v/>
      </c>
      <c r="P1275" s="4">
        <f>IF(H1275="Not Found","CRITICAL: No Risk Profile",IF(I1275="Missing","WARN: Missing KYC",IF(I1275="Expired","WARN: KYC Expired",IF(I1275="Pending","INFO: KYC Pending","OK"))))</f>
        <v/>
      </c>
    </row>
    <row r="1276">
      <c r="A1276" s="2">
        <f>Raw_Transactions!A1276</f>
        <v/>
      </c>
      <c r="B1276" s="2">
        <f>Raw_Transactions!B1276</f>
        <v/>
      </c>
      <c r="C1276" s="2">
        <f>Raw_Transactions!C1276</f>
        <v/>
      </c>
      <c r="D1276" s="3">
        <f>Raw_Transactions!D1276</f>
        <v/>
      </c>
      <c r="E1276" s="2">
        <f>Raw_Transactions!E1276</f>
        <v/>
      </c>
      <c r="F1276" s="2">
        <f>Raw_Transactions!F1276</f>
        <v/>
      </c>
      <c r="G1276" s="2">
        <f>Raw_Transactions!G1276</f>
        <v/>
      </c>
      <c r="H1276" s="2">
        <f>XLOOKUP(B1276,Raw_Risk_Profiles!$A:$A,Raw_Risk_Profiles!$B:$B,"Not Found")</f>
        <v/>
      </c>
      <c r="I1276" s="2">
        <f>XLOOKUP(B1276,Raw_Risk_Profiles!$A:$A,Raw_Risk_Profiles!$C:$C,"Missing")</f>
        <v/>
      </c>
      <c r="J1276" s="2">
        <f>XLOOKUP(B1276,Raw_Risk_Profiles!$A:$A,Raw_Risk_Profiles!$D:$D,"")</f>
        <v/>
      </c>
      <c r="K1276" s="2">
        <f>IFERROR(INDEX(Raw_Risk_Profiles!$E:$E,MATCH(B1276,Raw_Risk_Profiles!$A:$A,0)),"Unknown")</f>
        <v/>
      </c>
      <c r="L1276" s="2">
        <f>IFERROR(XLOOKUP(A1276,Raw_Alerts!$B:$B,Raw_Alerts!$A:$A),"No Alert")</f>
        <v/>
      </c>
      <c r="M1276" s="2">
        <f>IFERROR(XLOOKUP(A1276,Raw_Alerts!$B:$B,Raw_Alerts!$C:$C),"")</f>
        <v/>
      </c>
      <c r="N1276" s="2">
        <f>IFERROR(XLOOKUP(A1276,Raw_Alerts!$B:$B,Raw_Alerts!$D:$D),"")</f>
        <v/>
      </c>
      <c r="O1276" s="2">
        <f>IFERROR(XLOOKUP(A1276,Raw_Alerts!$B:$B,Raw_Alerts!$F:$F),"")</f>
        <v/>
      </c>
      <c r="P1276" s="2">
        <f>IF(H1276="Not Found","CRITICAL: No Risk Profile",IF(I1276="Missing","WARN: Missing KYC",IF(I1276="Expired","WARN: KYC Expired",IF(I1276="Pending","INFO: KYC Pending","OK"))))</f>
        <v/>
      </c>
    </row>
    <row r="1277">
      <c r="A1277" s="4">
        <f>Raw_Transactions!A1277</f>
        <v/>
      </c>
      <c r="B1277" s="4">
        <f>Raw_Transactions!B1277</f>
        <v/>
      </c>
      <c r="C1277" s="4">
        <f>Raw_Transactions!C1277</f>
        <v/>
      </c>
      <c r="D1277" s="5">
        <f>Raw_Transactions!D1277</f>
        <v/>
      </c>
      <c r="E1277" s="4">
        <f>Raw_Transactions!E1277</f>
        <v/>
      </c>
      <c r="F1277" s="4">
        <f>Raw_Transactions!F1277</f>
        <v/>
      </c>
      <c r="G1277" s="4">
        <f>Raw_Transactions!G1277</f>
        <v/>
      </c>
      <c r="H1277" s="4">
        <f>XLOOKUP(B1277,Raw_Risk_Profiles!$A:$A,Raw_Risk_Profiles!$B:$B,"Not Found")</f>
        <v/>
      </c>
      <c r="I1277" s="4">
        <f>XLOOKUP(B1277,Raw_Risk_Profiles!$A:$A,Raw_Risk_Profiles!$C:$C,"Missing")</f>
        <v/>
      </c>
      <c r="J1277" s="4">
        <f>XLOOKUP(B1277,Raw_Risk_Profiles!$A:$A,Raw_Risk_Profiles!$D:$D,"")</f>
        <v/>
      </c>
      <c r="K1277" s="4">
        <f>IFERROR(INDEX(Raw_Risk_Profiles!$E:$E,MATCH(B1277,Raw_Risk_Profiles!$A:$A,0)),"Unknown")</f>
        <v/>
      </c>
      <c r="L1277" s="4">
        <f>IFERROR(XLOOKUP(A1277,Raw_Alerts!$B:$B,Raw_Alerts!$A:$A),"No Alert")</f>
        <v/>
      </c>
      <c r="M1277" s="4">
        <f>IFERROR(XLOOKUP(A1277,Raw_Alerts!$B:$B,Raw_Alerts!$C:$C),"")</f>
        <v/>
      </c>
      <c r="N1277" s="4">
        <f>IFERROR(XLOOKUP(A1277,Raw_Alerts!$B:$B,Raw_Alerts!$D:$D),"")</f>
        <v/>
      </c>
      <c r="O1277" s="4">
        <f>IFERROR(XLOOKUP(A1277,Raw_Alerts!$B:$B,Raw_Alerts!$F:$F),"")</f>
        <v/>
      </c>
      <c r="P1277" s="4">
        <f>IF(H1277="Not Found","CRITICAL: No Risk Profile",IF(I1277="Missing","WARN: Missing KYC",IF(I1277="Expired","WARN: KYC Expired",IF(I1277="Pending","INFO: KYC Pending","OK"))))</f>
        <v/>
      </c>
    </row>
    <row r="1278">
      <c r="A1278" s="2">
        <f>Raw_Transactions!A1278</f>
        <v/>
      </c>
      <c r="B1278" s="2">
        <f>Raw_Transactions!B1278</f>
        <v/>
      </c>
      <c r="C1278" s="2">
        <f>Raw_Transactions!C1278</f>
        <v/>
      </c>
      <c r="D1278" s="3">
        <f>Raw_Transactions!D1278</f>
        <v/>
      </c>
      <c r="E1278" s="2">
        <f>Raw_Transactions!E1278</f>
        <v/>
      </c>
      <c r="F1278" s="2">
        <f>Raw_Transactions!F1278</f>
        <v/>
      </c>
      <c r="G1278" s="2">
        <f>Raw_Transactions!G1278</f>
        <v/>
      </c>
      <c r="H1278" s="2">
        <f>XLOOKUP(B1278,Raw_Risk_Profiles!$A:$A,Raw_Risk_Profiles!$B:$B,"Not Found")</f>
        <v/>
      </c>
      <c r="I1278" s="2">
        <f>XLOOKUP(B1278,Raw_Risk_Profiles!$A:$A,Raw_Risk_Profiles!$C:$C,"Missing")</f>
        <v/>
      </c>
      <c r="J1278" s="2">
        <f>XLOOKUP(B1278,Raw_Risk_Profiles!$A:$A,Raw_Risk_Profiles!$D:$D,"")</f>
        <v/>
      </c>
      <c r="K1278" s="2">
        <f>IFERROR(INDEX(Raw_Risk_Profiles!$E:$E,MATCH(B1278,Raw_Risk_Profiles!$A:$A,0)),"Unknown")</f>
        <v/>
      </c>
      <c r="L1278" s="2">
        <f>IFERROR(XLOOKUP(A1278,Raw_Alerts!$B:$B,Raw_Alerts!$A:$A),"No Alert")</f>
        <v/>
      </c>
      <c r="M1278" s="2">
        <f>IFERROR(XLOOKUP(A1278,Raw_Alerts!$B:$B,Raw_Alerts!$C:$C),"")</f>
        <v/>
      </c>
      <c r="N1278" s="2">
        <f>IFERROR(XLOOKUP(A1278,Raw_Alerts!$B:$B,Raw_Alerts!$D:$D),"")</f>
        <v/>
      </c>
      <c r="O1278" s="2">
        <f>IFERROR(XLOOKUP(A1278,Raw_Alerts!$B:$B,Raw_Alerts!$F:$F),"")</f>
        <v/>
      </c>
      <c r="P1278" s="2">
        <f>IF(H1278="Not Found","CRITICAL: No Risk Profile",IF(I1278="Missing","WARN: Missing KYC",IF(I1278="Expired","WARN: KYC Expired",IF(I1278="Pending","INFO: KYC Pending","OK"))))</f>
        <v/>
      </c>
    </row>
    <row r="1279">
      <c r="A1279" s="4">
        <f>Raw_Transactions!A1279</f>
        <v/>
      </c>
      <c r="B1279" s="4">
        <f>Raw_Transactions!B1279</f>
        <v/>
      </c>
      <c r="C1279" s="4">
        <f>Raw_Transactions!C1279</f>
        <v/>
      </c>
      <c r="D1279" s="5">
        <f>Raw_Transactions!D1279</f>
        <v/>
      </c>
      <c r="E1279" s="4">
        <f>Raw_Transactions!E1279</f>
        <v/>
      </c>
      <c r="F1279" s="4">
        <f>Raw_Transactions!F1279</f>
        <v/>
      </c>
      <c r="G1279" s="4">
        <f>Raw_Transactions!G1279</f>
        <v/>
      </c>
      <c r="H1279" s="4">
        <f>XLOOKUP(B1279,Raw_Risk_Profiles!$A:$A,Raw_Risk_Profiles!$B:$B,"Not Found")</f>
        <v/>
      </c>
      <c r="I1279" s="4">
        <f>XLOOKUP(B1279,Raw_Risk_Profiles!$A:$A,Raw_Risk_Profiles!$C:$C,"Missing")</f>
        <v/>
      </c>
      <c r="J1279" s="4">
        <f>XLOOKUP(B1279,Raw_Risk_Profiles!$A:$A,Raw_Risk_Profiles!$D:$D,"")</f>
        <v/>
      </c>
      <c r="K1279" s="4">
        <f>IFERROR(INDEX(Raw_Risk_Profiles!$E:$E,MATCH(B1279,Raw_Risk_Profiles!$A:$A,0)),"Unknown")</f>
        <v/>
      </c>
      <c r="L1279" s="4">
        <f>IFERROR(XLOOKUP(A1279,Raw_Alerts!$B:$B,Raw_Alerts!$A:$A),"No Alert")</f>
        <v/>
      </c>
      <c r="M1279" s="4">
        <f>IFERROR(XLOOKUP(A1279,Raw_Alerts!$B:$B,Raw_Alerts!$C:$C),"")</f>
        <v/>
      </c>
      <c r="N1279" s="4">
        <f>IFERROR(XLOOKUP(A1279,Raw_Alerts!$B:$B,Raw_Alerts!$D:$D),"")</f>
        <v/>
      </c>
      <c r="O1279" s="4">
        <f>IFERROR(XLOOKUP(A1279,Raw_Alerts!$B:$B,Raw_Alerts!$F:$F),"")</f>
        <v/>
      </c>
      <c r="P1279" s="4">
        <f>IF(H1279="Not Found","CRITICAL: No Risk Profile",IF(I1279="Missing","WARN: Missing KYC",IF(I1279="Expired","WARN: KYC Expired",IF(I1279="Pending","INFO: KYC Pending","OK"))))</f>
        <v/>
      </c>
    </row>
    <row r="1280">
      <c r="A1280" s="2">
        <f>Raw_Transactions!A1280</f>
        <v/>
      </c>
      <c r="B1280" s="2">
        <f>Raw_Transactions!B1280</f>
        <v/>
      </c>
      <c r="C1280" s="2">
        <f>Raw_Transactions!C1280</f>
        <v/>
      </c>
      <c r="D1280" s="3">
        <f>Raw_Transactions!D1280</f>
        <v/>
      </c>
      <c r="E1280" s="2">
        <f>Raw_Transactions!E1280</f>
        <v/>
      </c>
      <c r="F1280" s="2">
        <f>Raw_Transactions!F1280</f>
        <v/>
      </c>
      <c r="G1280" s="2">
        <f>Raw_Transactions!G1280</f>
        <v/>
      </c>
      <c r="H1280" s="2">
        <f>XLOOKUP(B1280,Raw_Risk_Profiles!$A:$A,Raw_Risk_Profiles!$B:$B,"Not Found")</f>
        <v/>
      </c>
      <c r="I1280" s="2">
        <f>XLOOKUP(B1280,Raw_Risk_Profiles!$A:$A,Raw_Risk_Profiles!$C:$C,"Missing")</f>
        <v/>
      </c>
      <c r="J1280" s="2">
        <f>XLOOKUP(B1280,Raw_Risk_Profiles!$A:$A,Raw_Risk_Profiles!$D:$D,"")</f>
        <v/>
      </c>
      <c r="K1280" s="2">
        <f>IFERROR(INDEX(Raw_Risk_Profiles!$E:$E,MATCH(B1280,Raw_Risk_Profiles!$A:$A,0)),"Unknown")</f>
        <v/>
      </c>
      <c r="L1280" s="2">
        <f>IFERROR(XLOOKUP(A1280,Raw_Alerts!$B:$B,Raw_Alerts!$A:$A),"No Alert")</f>
        <v/>
      </c>
      <c r="M1280" s="2">
        <f>IFERROR(XLOOKUP(A1280,Raw_Alerts!$B:$B,Raw_Alerts!$C:$C),"")</f>
        <v/>
      </c>
      <c r="N1280" s="2">
        <f>IFERROR(XLOOKUP(A1280,Raw_Alerts!$B:$B,Raw_Alerts!$D:$D),"")</f>
        <v/>
      </c>
      <c r="O1280" s="2">
        <f>IFERROR(XLOOKUP(A1280,Raw_Alerts!$B:$B,Raw_Alerts!$F:$F),"")</f>
        <v/>
      </c>
      <c r="P1280" s="2">
        <f>IF(H1280="Not Found","CRITICAL: No Risk Profile",IF(I1280="Missing","WARN: Missing KYC",IF(I1280="Expired","WARN: KYC Expired",IF(I1280="Pending","INFO: KYC Pending","OK"))))</f>
        <v/>
      </c>
    </row>
    <row r="1281">
      <c r="A1281" s="4">
        <f>Raw_Transactions!A1281</f>
        <v/>
      </c>
      <c r="B1281" s="4">
        <f>Raw_Transactions!B1281</f>
        <v/>
      </c>
      <c r="C1281" s="4">
        <f>Raw_Transactions!C1281</f>
        <v/>
      </c>
      <c r="D1281" s="5">
        <f>Raw_Transactions!D1281</f>
        <v/>
      </c>
      <c r="E1281" s="4">
        <f>Raw_Transactions!E1281</f>
        <v/>
      </c>
      <c r="F1281" s="4">
        <f>Raw_Transactions!F1281</f>
        <v/>
      </c>
      <c r="G1281" s="4">
        <f>Raw_Transactions!G1281</f>
        <v/>
      </c>
      <c r="H1281" s="4">
        <f>XLOOKUP(B1281,Raw_Risk_Profiles!$A:$A,Raw_Risk_Profiles!$B:$B,"Not Found")</f>
        <v/>
      </c>
      <c r="I1281" s="4">
        <f>XLOOKUP(B1281,Raw_Risk_Profiles!$A:$A,Raw_Risk_Profiles!$C:$C,"Missing")</f>
        <v/>
      </c>
      <c r="J1281" s="4">
        <f>XLOOKUP(B1281,Raw_Risk_Profiles!$A:$A,Raw_Risk_Profiles!$D:$D,"")</f>
        <v/>
      </c>
      <c r="K1281" s="4">
        <f>IFERROR(INDEX(Raw_Risk_Profiles!$E:$E,MATCH(B1281,Raw_Risk_Profiles!$A:$A,0)),"Unknown")</f>
        <v/>
      </c>
      <c r="L1281" s="4">
        <f>IFERROR(XLOOKUP(A1281,Raw_Alerts!$B:$B,Raw_Alerts!$A:$A),"No Alert")</f>
        <v/>
      </c>
      <c r="M1281" s="4">
        <f>IFERROR(XLOOKUP(A1281,Raw_Alerts!$B:$B,Raw_Alerts!$C:$C),"")</f>
        <v/>
      </c>
      <c r="N1281" s="4">
        <f>IFERROR(XLOOKUP(A1281,Raw_Alerts!$B:$B,Raw_Alerts!$D:$D),"")</f>
        <v/>
      </c>
      <c r="O1281" s="4">
        <f>IFERROR(XLOOKUP(A1281,Raw_Alerts!$B:$B,Raw_Alerts!$F:$F),"")</f>
        <v/>
      </c>
      <c r="P1281" s="4">
        <f>IF(H1281="Not Found","CRITICAL: No Risk Profile",IF(I1281="Missing","WARN: Missing KYC",IF(I1281="Expired","WARN: KYC Expired",IF(I1281="Pending","INFO: KYC Pending","OK"))))</f>
        <v/>
      </c>
    </row>
    <row r="1282">
      <c r="A1282" s="2">
        <f>Raw_Transactions!A1282</f>
        <v/>
      </c>
      <c r="B1282" s="2">
        <f>Raw_Transactions!B1282</f>
        <v/>
      </c>
      <c r="C1282" s="2">
        <f>Raw_Transactions!C1282</f>
        <v/>
      </c>
      <c r="D1282" s="3">
        <f>Raw_Transactions!D1282</f>
        <v/>
      </c>
      <c r="E1282" s="2">
        <f>Raw_Transactions!E1282</f>
        <v/>
      </c>
      <c r="F1282" s="2">
        <f>Raw_Transactions!F1282</f>
        <v/>
      </c>
      <c r="G1282" s="2">
        <f>Raw_Transactions!G1282</f>
        <v/>
      </c>
      <c r="H1282" s="2">
        <f>XLOOKUP(B1282,Raw_Risk_Profiles!$A:$A,Raw_Risk_Profiles!$B:$B,"Not Found")</f>
        <v/>
      </c>
      <c r="I1282" s="2">
        <f>XLOOKUP(B1282,Raw_Risk_Profiles!$A:$A,Raw_Risk_Profiles!$C:$C,"Missing")</f>
        <v/>
      </c>
      <c r="J1282" s="2">
        <f>XLOOKUP(B1282,Raw_Risk_Profiles!$A:$A,Raw_Risk_Profiles!$D:$D,"")</f>
        <v/>
      </c>
      <c r="K1282" s="2">
        <f>IFERROR(INDEX(Raw_Risk_Profiles!$E:$E,MATCH(B1282,Raw_Risk_Profiles!$A:$A,0)),"Unknown")</f>
        <v/>
      </c>
      <c r="L1282" s="2">
        <f>IFERROR(XLOOKUP(A1282,Raw_Alerts!$B:$B,Raw_Alerts!$A:$A),"No Alert")</f>
        <v/>
      </c>
      <c r="M1282" s="2">
        <f>IFERROR(XLOOKUP(A1282,Raw_Alerts!$B:$B,Raw_Alerts!$C:$C),"")</f>
        <v/>
      </c>
      <c r="N1282" s="2">
        <f>IFERROR(XLOOKUP(A1282,Raw_Alerts!$B:$B,Raw_Alerts!$D:$D),"")</f>
        <v/>
      </c>
      <c r="O1282" s="2">
        <f>IFERROR(XLOOKUP(A1282,Raw_Alerts!$B:$B,Raw_Alerts!$F:$F),"")</f>
        <v/>
      </c>
      <c r="P1282" s="2">
        <f>IF(H1282="Not Found","CRITICAL: No Risk Profile",IF(I1282="Missing","WARN: Missing KYC",IF(I1282="Expired","WARN: KYC Expired",IF(I1282="Pending","INFO: KYC Pending","OK"))))</f>
        <v/>
      </c>
    </row>
    <row r="1283">
      <c r="A1283" s="4">
        <f>Raw_Transactions!A1283</f>
        <v/>
      </c>
      <c r="B1283" s="4">
        <f>Raw_Transactions!B1283</f>
        <v/>
      </c>
      <c r="C1283" s="4">
        <f>Raw_Transactions!C1283</f>
        <v/>
      </c>
      <c r="D1283" s="5">
        <f>Raw_Transactions!D1283</f>
        <v/>
      </c>
      <c r="E1283" s="4">
        <f>Raw_Transactions!E1283</f>
        <v/>
      </c>
      <c r="F1283" s="4">
        <f>Raw_Transactions!F1283</f>
        <v/>
      </c>
      <c r="G1283" s="4">
        <f>Raw_Transactions!G1283</f>
        <v/>
      </c>
      <c r="H1283" s="4">
        <f>XLOOKUP(B1283,Raw_Risk_Profiles!$A:$A,Raw_Risk_Profiles!$B:$B,"Not Found")</f>
        <v/>
      </c>
      <c r="I1283" s="4">
        <f>XLOOKUP(B1283,Raw_Risk_Profiles!$A:$A,Raw_Risk_Profiles!$C:$C,"Missing")</f>
        <v/>
      </c>
      <c r="J1283" s="4">
        <f>XLOOKUP(B1283,Raw_Risk_Profiles!$A:$A,Raw_Risk_Profiles!$D:$D,"")</f>
        <v/>
      </c>
      <c r="K1283" s="4">
        <f>IFERROR(INDEX(Raw_Risk_Profiles!$E:$E,MATCH(B1283,Raw_Risk_Profiles!$A:$A,0)),"Unknown")</f>
        <v/>
      </c>
      <c r="L1283" s="4">
        <f>IFERROR(XLOOKUP(A1283,Raw_Alerts!$B:$B,Raw_Alerts!$A:$A),"No Alert")</f>
        <v/>
      </c>
      <c r="M1283" s="4">
        <f>IFERROR(XLOOKUP(A1283,Raw_Alerts!$B:$B,Raw_Alerts!$C:$C),"")</f>
        <v/>
      </c>
      <c r="N1283" s="4">
        <f>IFERROR(XLOOKUP(A1283,Raw_Alerts!$B:$B,Raw_Alerts!$D:$D),"")</f>
        <v/>
      </c>
      <c r="O1283" s="4">
        <f>IFERROR(XLOOKUP(A1283,Raw_Alerts!$B:$B,Raw_Alerts!$F:$F),"")</f>
        <v/>
      </c>
      <c r="P1283" s="4">
        <f>IF(H1283="Not Found","CRITICAL: No Risk Profile",IF(I1283="Missing","WARN: Missing KYC",IF(I1283="Expired","WARN: KYC Expired",IF(I1283="Pending","INFO: KYC Pending","OK"))))</f>
        <v/>
      </c>
    </row>
    <row r="1284">
      <c r="A1284" s="2">
        <f>Raw_Transactions!A1284</f>
        <v/>
      </c>
      <c r="B1284" s="2">
        <f>Raw_Transactions!B1284</f>
        <v/>
      </c>
      <c r="C1284" s="2">
        <f>Raw_Transactions!C1284</f>
        <v/>
      </c>
      <c r="D1284" s="3">
        <f>Raw_Transactions!D1284</f>
        <v/>
      </c>
      <c r="E1284" s="2">
        <f>Raw_Transactions!E1284</f>
        <v/>
      </c>
      <c r="F1284" s="2">
        <f>Raw_Transactions!F1284</f>
        <v/>
      </c>
      <c r="G1284" s="2">
        <f>Raw_Transactions!G1284</f>
        <v/>
      </c>
      <c r="H1284" s="2">
        <f>XLOOKUP(B1284,Raw_Risk_Profiles!$A:$A,Raw_Risk_Profiles!$B:$B,"Not Found")</f>
        <v/>
      </c>
      <c r="I1284" s="2">
        <f>XLOOKUP(B1284,Raw_Risk_Profiles!$A:$A,Raw_Risk_Profiles!$C:$C,"Missing")</f>
        <v/>
      </c>
      <c r="J1284" s="2">
        <f>XLOOKUP(B1284,Raw_Risk_Profiles!$A:$A,Raw_Risk_Profiles!$D:$D,"")</f>
        <v/>
      </c>
      <c r="K1284" s="2">
        <f>IFERROR(INDEX(Raw_Risk_Profiles!$E:$E,MATCH(B1284,Raw_Risk_Profiles!$A:$A,0)),"Unknown")</f>
        <v/>
      </c>
      <c r="L1284" s="2">
        <f>IFERROR(XLOOKUP(A1284,Raw_Alerts!$B:$B,Raw_Alerts!$A:$A),"No Alert")</f>
        <v/>
      </c>
      <c r="M1284" s="2">
        <f>IFERROR(XLOOKUP(A1284,Raw_Alerts!$B:$B,Raw_Alerts!$C:$C),"")</f>
        <v/>
      </c>
      <c r="N1284" s="2">
        <f>IFERROR(XLOOKUP(A1284,Raw_Alerts!$B:$B,Raw_Alerts!$D:$D),"")</f>
        <v/>
      </c>
      <c r="O1284" s="2">
        <f>IFERROR(XLOOKUP(A1284,Raw_Alerts!$B:$B,Raw_Alerts!$F:$F),"")</f>
        <v/>
      </c>
      <c r="P1284" s="2">
        <f>IF(H1284="Not Found","CRITICAL: No Risk Profile",IF(I1284="Missing","WARN: Missing KYC",IF(I1284="Expired","WARN: KYC Expired",IF(I1284="Pending","INFO: KYC Pending","OK"))))</f>
        <v/>
      </c>
    </row>
    <row r="1285">
      <c r="A1285" s="4">
        <f>Raw_Transactions!A1285</f>
        <v/>
      </c>
      <c r="B1285" s="4">
        <f>Raw_Transactions!B1285</f>
        <v/>
      </c>
      <c r="C1285" s="4">
        <f>Raw_Transactions!C1285</f>
        <v/>
      </c>
      <c r="D1285" s="5">
        <f>Raw_Transactions!D1285</f>
        <v/>
      </c>
      <c r="E1285" s="4">
        <f>Raw_Transactions!E1285</f>
        <v/>
      </c>
      <c r="F1285" s="4">
        <f>Raw_Transactions!F1285</f>
        <v/>
      </c>
      <c r="G1285" s="4">
        <f>Raw_Transactions!G1285</f>
        <v/>
      </c>
      <c r="H1285" s="4">
        <f>XLOOKUP(B1285,Raw_Risk_Profiles!$A:$A,Raw_Risk_Profiles!$B:$B,"Not Found")</f>
        <v/>
      </c>
      <c r="I1285" s="4">
        <f>XLOOKUP(B1285,Raw_Risk_Profiles!$A:$A,Raw_Risk_Profiles!$C:$C,"Missing")</f>
        <v/>
      </c>
      <c r="J1285" s="4">
        <f>XLOOKUP(B1285,Raw_Risk_Profiles!$A:$A,Raw_Risk_Profiles!$D:$D,"")</f>
        <v/>
      </c>
      <c r="K1285" s="4">
        <f>IFERROR(INDEX(Raw_Risk_Profiles!$E:$E,MATCH(B1285,Raw_Risk_Profiles!$A:$A,0)),"Unknown")</f>
        <v/>
      </c>
      <c r="L1285" s="4">
        <f>IFERROR(XLOOKUP(A1285,Raw_Alerts!$B:$B,Raw_Alerts!$A:$A),"No Alert")</f>
        <v/>
      </c>
      <c r="M1285" s="4">
        <f>IFERROR(XLOOKUP(A1285,Raw_Alerts!$B:$B,Raw_Alerts!$C:$C),"")</f>
        <v/>
      </c>
      <c r="N1285" s="4">
        <f>IFERROR(XLOOKUP(A1285,Raw_Alerts!$B:$B,Raw_Alerts!$D:$D),"")</f>
        <v/>
      </c>
      <c r="O1285" s="4">
        <f>IFERROR(XLOOKUP(A1285,Raw_Alerts!$B:$B,Raw_Alerts!$F:$F),"")</f>
        <v/>
      </c>
      <c r="P1285" s="4">
        <f>IF(H1285="Not Found","CRITICAL: No Risk Profile",IF(I1285="Missing","WARN: Missing KYC",IF(I1285="Expired","WARN: KYC Expired",IF(I1285="Pending","INFO: KYC Pending","OK"))))</f>
        <v/>
      </c>
    </row>
    <row r="1286">
      <c r="A1286" s="2">
        <f>Raw_Transactions!A1286</f>
        <v/>
      </c>
      <c r="B1286" s="2">
        <f>Raw_Transactions!B1286</f>
        <v/>
      </c>
      <c r="C1286" s="2">
        <f>Raw_Transactions!C1286</f>
        <v/>
      </c>
      <c r="D1286" s="3">
        <f>Raw_Transactions!D1286</f>
        <v/>
      </c>
      <c r="E1286" s="2">
        <f>Raw_Transactions!E1286</f>
        <v/>
      </c>
      <c r="F1286" s="2">
        <f>Raw_Transactions!F1286</f>
        <v/>
      </c>
      <c r="G1286" s="2">
        <f>Raw_Transactions!G1286</f>
        <v/>
      </c>
      <c r="H1286" s="2">
        <f>XLOOKUP(B1286,Raw_Risk_Profiles!$A:$A,Raw_Risk_Profiles!$B:$B,"Not Found")</f>
        <v/>
      </c>
      <c r="I1286" s="2">
        <f>XLOOKUP(B1286,Raw_Risk_Profiles!$A:$A,Raw_Risk_Profiles!$C:$C,"Missing")</f>
        <v/>
      </c>
      <c r="J1286" s="2">
        <f>XLOOKUP(B1286,Raw_Risk_Profiles!$A:$A,Raw_Risk_Profiles!$D:$D,"")</f>
        <v/>
      </c>
      <c r="K1286" s="2">
        <f>IFERROR(INDEX(Raw_Risk_Profiles!$E:$E,MATCH(B1286,Raw_Risk_Profiles!$A:$A,0)),"Unknown")</f>
        <v/>
      </c>
      <c r="L1286" s="2">
        <f>IFERROR(XLOOKUP(A1286,Raw_Alerts!$B:$B,Raw_Alerts!$A:$A),"No Alert")</f>
        <v/>
      </c>
      <c r="M1286" s="2">
        <f>IFERROR(XLOOKUP(A1286,Raw_Alerts!$B:$B,Raw_Alerts!$C:$C),"")</f>
        <v/>
      </c>
      <c r="N1286" s="2">
        <f>IFERROR(XLOOKUP(A1286,Raw_Alerts!$B:$B,Raw_Alerts!$D:$D),"")</f>
        <v/>
      </c>
      <c r="O1286" s="2">
        <f>IFERROR(XLOOKUP(A1286,Raw_Alerts!$B:$B,Raw_Alerts!$F:$F),"")</f>
        <v/>
      </c>
      <c r="P1286" s="2">
        <f>IF(H1286="Not Found","CRITICAL: No Risk Profile",IF(I1286="Missing","WARN: Missing KYC",IF(I1286="Expired","WARN: KYC Expired",IF(I1286="Pending","INFO: KYC Pending","OK"))))</f>
        <v/>
      </c>
    </row>
    <row r="1287">
      <c r="A1287" s="4">
        <f>Raw_Transactions!A1287</f>
        <v/>
      </c>
      <c r="B1287" s="4">
        <f>Raw_Transactions!B1287</f>
        <v/>
      </c>
      <c r="C1287" s="4">
        <f>Raw_Transactions!C1287</f>
        <v/>
      </c>
      <c r="D1287" s="5">
        <f>Raw_Transactions!D1287</f>
        <v/>
      </c>
      <c r="E1287" s="4">
        <f>Raw_Transactions!E1287</f>
        <v/>
      </c>
      <c r="F1287" s="4">
        <f>Raw_Transactions!F1287</f>
        <v/>
      </c>
      <c r="G1287" s="4">
        <f>Raw_Transactions!G1287</f>
        <v/>
      </c>
      <c r="H1287" s="4">
        <f>XLOOKUP(B1287,Raw_Risk_Profiles!$A:$A,Raw_Risk_Profiles!$B:$B,"Not Found")</f>
        <v/>
      </c>
      <c r="I1287" s="4">
        <f>XLOOKUP(B1287,Raw_Risk_Profiles!$A:$A,Raw_Risk_Profiles!$C:$C,"Missing")</f>
        <v/>
      </c>
      <c r="J1287" s="4">
        <f>XLOOKUP(B1287,Raw_Risk_Profiles!$A:$A,Raw_Risk_Profiles!$D:$D,"")</f>
        <v/>
      </c>
      <c r="K1287" s="4">
        <f>IFERROR(INDEX(Raw_Risk_Profiles!$E:$E,MATCH(B1287,Raw_Risk_Profiles!$A:$A,0)),"Unknown")</f>
        <v/>
      </c>
      <c r="L1287" s="4">
        <f>IFERROR(XLOOKUP(A1287,Raw_Alerts!$B:$B,Raw_Alerts!$A:$A),"No Alert")</f>
        <v/>
      </c>
      <c r="M1287" s="4">
        <f>IFERROR(XLOOKUP(A1287,Raw_Alerts!$B:$B,Raw_Alerts!$C:$C),"")</f>
        <v/>
      </c>
      <c r="N1287" s="4">
        <f>IFERROR(XLOOKUP(A1287,Raw_Alerts!$B:$B,Raw_Alerts!$D:$D),"")</f>
        <v/>
      </c>
      <c r="O1287" s="4">
        <f>IFERROR(XLOOKUP(A1287,Raw_Alerts!$B:$B,Raw_Alerts!$F:$F),"")</f>
        <v/>
      </c>
      <c r="P1287" s="4">
        <f>IF(H1287="Not Found","CRITICAL: No Risk Profile",IF(I1287="Missing","WARN: Missing KYC",IF(I1287="Expired","WARN: KYC Expired",IF(I1287="Pending","INFO: KYC Pending","OK"))))</f>
        <v/>
      </c>
    </row>
    <row r="1288">
      <c r="A1288" s="2">
        <f>Raw_Transactions!A1288</f>
        <v/>
      </c>
      <c r="B1288" s="2">
        <f>Raw_Transactions!B1288</f>
        <v/>
      </c>
      <c r="C1288" s="2">
        <f>Raw_Transactions!C1288</f>
        <v/>
      </c>
      <c r="D1288" s="3">
        <f>Raw_Transactions!D1288</f>
        <v/>
      </c>
      <c r="E1288" s="2">
        <f>Raw_Transactions!E1288</f>
        <v/>
      </c>
      <c r="F1288" s="2">
        <f>Raw_Transactions!F1288</f>
        <v/>
      </c>
      <c r="G1288" s="2">
        <f>Raw_Transactions!G1288</f>
        <v/>
      </c>
      <c r="H1288" s="2">
        <f>XLOOKUP(B1288,Raw_Risk_Profiles!$A:$A,Raw_Risk_Profiles!$B:$B,"Not Found")</f>
        <v/>
      </c>
      <c r="I1288" s="2">
        <f>XLOOKUP(B1288,Raw_Risk_Profiles!$A:$A,Raw_Risk_Profiles!$C:$C,"Missing")</f>
        <v/>
      </c>
      <c r="J1288" s="2">
        <f>XLOOKUP(B1288,Raw_Risk_Profiles!$A:$A,Raw_Risk_Profiles!$D:$D,"")</f>
        <v/>
      </c>
      <c r="K1288" s="2">
        <f>IFERROR(INDEX(Raw_Risk_Profiles!$E:$E,MATCH(B1288,Raw_Risk_Profiles!$A:$A,0)),"Unknown")</f>
        <v/>
      </c>
      <c r="L1288" s="2">
        <f>IFERROR(XLOOKUP(A1288,Raw_Alerts!$B:$B,Raw_Alerts!$A:$A),"No Alert")</f>
        <v/>
      </c>
      <c r="M1288" s="2">
        <f>IFERROR(XLOOKUP(A1288,Raw_Alerts!$B:$B,Raw_Alerts!$C:$C),"")</f>
        <v/>
      </c>
      <c r="N1288" s="2">
        <f>IFERROR(XLOOKUP(A1288,Raw_Alerts!$B:$B,Raw_Alerts!$D:$D),"")</f>
        <v/>
      </c>
      <c r="O1288" s="2">
        <f>IFERROR(XLOOKUP(A1288,Raw_Alerts!$B:$B,Raw_Alerts!$F:$F),"")</f>
        <v/>
      </c>
      <c r="P1288" s="2">
        <f>IF(H1288="Not Found","CRITICAL: No Risk Profile",IF(I1288="Missing","WARN: Missing KYC",IF(I1288="Expired","WARN: KYC Expired",IF(I1288="Pending","INFO: KYC Pending","OK"))))</f>
        <v/>
      </c>
    </row>
    <row r="1289">
      <c r="A1289" s="4">
        <f>Raw_Transactions!A1289</f>
        <v/>
      </c>
      <c r="B1289" s="4">
        <f>Raw_Transactions!B1289</f>
        <v/>
      </c>
      <c r="C1289" s="4">
        <f>Raw_Transactions!C1289</f>
        <v/>
      </c>
      <c r="D1289" s="5">
        <f>Raw_Transactions!D1289</f>
        <v/>
      </c>
      <c r="E1289" s="4">
        <f>Raw_Transactions!E1289</f>
        <v/>
      </c>
      <c r="F1289" s="4">
        <f>Raw_Transactions!F1289</f>
        <v/>
      </c>
      <c r="G1289" s="4">
        <f>Raw_Transactions!G1289</f>
        <v/>
      </c>
      <c r="H1289" s="4">
        <f>XLOOKUP(B1289,Raw_Risk_Profiles!$A:$A,Raw_Risk_Profiles!$B:$B,"Not Found")</f>
        <v/>
      </c>
      <c r="I1289" s="4">
        <f>XLOOKUP(B1289,Raw_Risk_Profiles!$A:$A,Raw_Risk_Profiles!$C:$C,"Missing")</f>
        <v/>
      </c>
      <c r="J1289" s="4">
        <f>XLOOKUP(B1289,Raw_Risk_Profiles!$A:$A,Raw_Risk_Profiles!$D:$D,"")</f>
        <v/>
      </c>
      <c r="K1289" s="4">
        <f>IFERROR(INDEX(Raw_Risk_Profiles!$E:$E,MATCH(B1289,Raw_Risk_Profiles!$A:$A,0)),"Unknown")</f>
        <v/>
      </c>
      <c r="L1289" s="4">
        <f>IFERROR(XLOOKUP(A1289,Raw_Alerts!$B:$B,Raw_Alerts!$A:$A),"No Alert")</f>
        <v/>
      </c>
      <c r="M1289" s="4">
        <f>IFERROR(XLOOKUP(A1289,Raw_Alerts!$B:$B,Raw_Alerts!$C:$C),"")</f>
        <v/>
      </c>
      <c r="N1289" s="4">
        <f>IFERROR(XLOOKUP(A1289,Raw_Alerts!$B:$B,Raw_Alerts!$D:$D),"")</f>
        <v/>
      </c>
      <c r="O1289" s="4">
        <f>IFERROR(XLOOKUP(A1289,Raw_Alerts!$B:$B,Raw_Alerts!$F:$F),"")</f>
        <v/>
      </c>
      <c r="P1289" s="4">
        <f>IF(H1289="Not Found","CRITICAL: No Risk Profile",IF(I1289="Missing","WARN: Missing KYC",IF(I1289="Expired","WARN: KYC Expired",IF(I1289="Pending","INFO: KYC Pending","OK"))))</f>
        <v/>
      </c>
    </row>
    <row r="1290">
      <c r="A1290" s="2">
        <f>Raw_Transactions!A1290</f>
        <v/>
      </c>
      <c r="B1290" s="2">
        <f>Raw_Transactions!B1290</f>
        <v/>
      </c>
      <c r="C1290" s="2">
        <f>Raw_Transactions!C1290</f>
        <v/>
      </c>
      <c r="D1290" s="3">
        <f>Raw_Transactions!D1290</f>
        <v/>
      </c>
      <c r="E1290" s="2">
        <f>Raw_Transactions!E1290</f>
        <v/>
      </c>
      <c r="F1290" s="2">
        <f>Raw_Transactions!F1290</f>
        <v/>
      </c>
      <c r="G1290" s="2">
        <f>Raw_Transactions!G1290</f>
        <v/>
      </c>
      <c r="H1290" s="2">
        <f>XLOOKUP(B1290,Raw_Risk_Profiles!$A:$A,Raw_Risk_Profiles!$B:$B,"Not Found")</f>
        <v/>
      </c>
      <c r="I1290" s="2">
        <f>XLOOKUP(B1290,Raw_Risk_Profiles!$A:$A,Raw_Risk_Profiles!$C:$C,"Missing")</f>
        <v/>
      </c>
      <c r="J1290" s="2">
        <f>XLOOKUP(B1290,Raw_Risk_Profiles!$A:$A,Raw_Risk_Profiles!$D:$D,"")</f>
        <v/>
      </c>
      <c r="K1290" s="2">
        <f>IFERROR(INDEX(Raw_Risk_Profiles!$E:$E,MATCH(B1290,Raw_Risk_Profiles!$A:$A,0)),"Unknown")</f>
        <v/>
      </c>
      <c r="L1290" s="2">
        <f>IFERROR(XLOOKUP(A1290,Raw_Alerts!$B:$B,Raw_Alerts!$A:$A),"No Alert")</f>
        <v/>
      </c>
      <c r="M1290" s="2">
        <f>IFERROR(XLOOKUP(A1290,Raw_Alerts!$B:$B,Raw_Alerts!$C:$C),"")</f>
        <v/>
      </c>
      <c r="N1290" s="2">
        <f>IFERROR(XLOOKUP(A1290,Raw_Alerts!$B:$B,Raw_Alerts!$D:$D),"")</f>
        <v/>
      </c>
      <c r="O1290" s="2">
        <f>IFERROR(XLOOKUP(A1290,Raw_Alerts!$B:$B,Raw_Alerts!$F:$F),"")</f>
        <v/>
      </c>
      <c r="P1290" s="2">
        <f>IF(H1290="Not Found","CRITICAL: No Risk Profile",IF(I1290="Missing","WARN: Missing KYC",IF(I1290="Expired","WARN: KYC Expired",IF(I1290="Pending","INFO: KYC Pending","OK"))))</f>
        <v/>
      </c>
    </row>
    <row r="1291">
      <c r="A1291" s="4">
        <f>Raw_Transactions!A1291</f>
        <v/>
      </c>
      <c r="B1291" s="4">
        <f>Raw_Transactions!B1291</f>
        <v/>
      </c>
      <c r="C1291" s="4">
        <f>Raw_Transactions!C1291</f>
        <v/>
      </c>
      <c r="D1291" s="5">
        <f>Raw_Transactions!D1291</f>
        <v/>
      </c>
      <c r="E1291" s="4">
        <f>Raw_Transactions!E1291</f>
        <v/>
      </c>
      <c r="F1291" s="4">
        <f>Raw_Transactions!F1291</f>
        <v/>
      </c>
      <c r="G1291" s="4">
        <f>Raw_Transactions!G1291</f>
        <v/>
      </c>
      <c r="H1291" s="4">
        <f>XLOOKUP(B1291,Raw_Risk_Profiles!$A:$A,Raw_Risk_Profiles!$B:$B,"Not Found")</f>
        <v/>
      </c>
      <c r="I1291" s="4">
        <f>XLOOKUP(B1291,Raw_Risk_Profiles!$A:$A,Raw_Risk_Profiles!$C:$C,"Missing")</f>
        <v/>
      </c>
      <c r="J1291" s="4">
        <f>XLOOKUP(B1291,Raw_Risk_Profiles!$A:$A,Raw_Risk_Profiles!$D:$D,"")</f>
        <v/>
      </c>
      <c r="K1291" s="4">
        <f>IFERROR(INDEX(Raw_Risk_Profiles!$E:$E,MATCH(B1291,Raw_Risk_Profiles!$A:$A,0)),"Unknown")</f>
        <v/>
      </c>
      <c r="L1291" s="4">
        <f>IFERROR(XLOOKUP(A1291,Raw_Alerts!$B:$B,Raw_Alerts!$A:$A),"No Alert")</f>
        <v/>
      </c>
      <c r="M1291" s="4">
        <f>IFERROR(XLOOKUP(A1291,Raw_Alerts!$B:$B,Raw_Alerts!$C:$C),"")</f>
        <v/>
      </c>
      <c r="N1291" s="4">
        <f>IFERROR(XLOOKUP(A1291,Raw_Alerts!$B:$B,Raw_Alerts!$D:$D),"")</f>
        <v/>
      </c>
      <c r="O1291" s="4">
        <f>IFERROR(XLOOKUP(A1291,Raw_Alerts!$B:$B,Raw_Alerts!$F:$F),"")</f>
        <v/>
      </c>
      <c r="P1291" s="4">
        <f>IF(H1291="Not Found","CRITICAL: No Risk Profile",IF(I1291="Missing","WARN: Missing KYC",IF(I1291="Expired","WARN: KYC Expired",IF(I1291="Pending","INFO: KYC Pending","OK"))))</f>
        <v/>
      </c>
    </row>
    <row r="1292">
      <c r="A1292" s="2">
        <f>Raw_Transactions!A1292</f>
        <v/>
      </c>
      <c r="B1292" s="2">
        <f>Raw_Transactions!B1292</f>
        <v/>
      </c>
      <c r="C1292" s="2">
        <f>Raw_Transactions!C1292</f>
        <v/>
      </c>
      <c r="D1292" s="3">
        <f>Raw_Transactions!D1292</f>
        <v/>
      </c>
      <c r="E1292" s="2">
        <f>Raw_Transactions!E1292</f>
        <v/>
      </c>
      <c r="F1292" s="2">
        <f>Raw_Transactions!F1292</f>
        <v/>
      </c>
      <c r="G1292" s="2">
        <f>Raw_Transactions!G1292</f>
        <v/>
      </c>
      <c r="H1292" s="2">
        <f>XLOOKUP(B1292,Raw_Risk_Profiles!$A:$A,Raw_Risk_Profiles!$B:$B,"Not Found")</f>
        <v/>
      </c>
      <c r="I1292" s="2">
        <f>XLOOKUP(B1292,Raw_Risk_Profiles!$A:$A,Raw_Risk_Profiles!$C:$C,"Missing")</f>
        <v/>
      </c>
      <c r="J1292" s="2">
        <f>XLOOKUP(B1292,Raw_Risk_Profiles!$A:$A,Raw_Risk_Profiles!$D:$D,"")</f>
        <v/>
      </c>
      <c r="K1292" s="2">
        <f>IFERROR(INDEX(Raw_Risk_Profiles!$E:$E,MATCH(B1292,Raw_Risk_Profiles!$A:$A,0)),"Unknown")</f>
        <v/>
      </c>
      <c r="L1292" s="2">
        <f>IFERROR(XLOOKUP(A1292,Raw_Alerts!$B:$B,Raw_Alerts!$A:$A),"No Alert")</f>
        <v/>
      </c>
      <c r="M1292" s="2">
        <f>IFERROR(XLOOKUP(A1292,Raw_Alerts!$B:$B,Raw_Alerts!$C:$C),"")</f>
        <v/>
      </c>
      <c r="N1292" s="2">
        <f>IFERROR(XLOOKUP(A1292,Raw_Alerts!$B:$B,Raw_Alerts!$D:$D),"")</f>
        <v/>
      </c>
      <c r="O1292" s="2">
        <f>IFERROR(XLOOKUP(A1292,Raw_Alerts!$B:$B,Raw_Alerts!$F:$F),"")</f>
        <v/>
      </c>
      <c r="P1292" s="2">
        <f>IF(H1292="Not Found","CRITICAL: No Risk Profile",IF(I1292="Missing","WARN: Missing KYC",IF(I1292="Expired","WARN: KYC Expired",IF(I1292="Pending","INFO: KYC Pending","OK"))))</f>
        <v/>
      </c>
    </row>
    <row r="1293">
      <c r="A1293" s="4">
        <f>Raw_Transactions!A1293</f>
        <v/>
      </c>
      <c r="B1293" s="4">
        <f>Raw_Transactions!B1293</f>
        <v/>
      </c>
      <c r="C1293" s="4">
        <f>Raw_Transactions!C1293</f>
        <v/>
      </c>
      <c r="D1293" s="5">
        <f>Raw_Transactions!D1293</f>
        <v/>
      </c>
      <c r="E1293" s="4">
        <f>Raw_Transactions!E1293</f>
        <v/>
      </c>
      <c r="F1293" s="4">
        <f>Raw_Transactions!F1293</f>
        <v/>
      </c>
      <c r="G1293" s="4">
        <f>Raw_Transactions!G1293</f>
        <v/>
      </c>
      <c r="H1293" s="4">
        <f>XLOOKUP(B1293,Raw_Risk_Profiles!$A:$A,Raw_Risk_Profiles!$B:$B,"Not Found")</f>
        <v/>
      </c>
      <c r="I1293" s="4">
        <f>XLOOKUP(B1293,Raw_Risk_Profiles!$A:$A,Raw_Risk_Profiles!$C:$C,"Missing")</f>
        <v/>
      </c>
      <c r="J1293" s="4">
        <f>XLOOKUP(B1293,Raw_Risk_Profiles!$A:$A,Raw_Risk_Profiles!$D:$D,"")</f>
        <v/>
      </c>
      <c r="K1293" s="4">
        <f>IFERROR(INDEX(Raw_Risk_Profiles!$E:$E,MATCH(B1293,Raw_Risk_Profiles!$A:$A,0)),"Unknown")</f>
        <v/>
      </c>
      <c r="L1293" s="4">
        <f>IFERROR(XLOOKUP(A1293,Raw_Alerts!$B:$B,Raw_Alerts!$A:$A),"No Alert")</f>
        <v/>
      </c>
      <c r="M1293" s="4">
        <f>IFERROR(XLOOKUP(A1293,Raw_Alerts!$B:$B,Raw_Alerts!$C:$C),"")</f>
        <v/>
      </c>
      <c r="N1293" s="4">
        <f>IFERROR(XLOOKUP(A1293,Raw_Alerts!$B:$B,Raw_Alerts!$D:$D),"")</f>
        <v/>
      </c>
      <c r="O1293" s="4">
        <f>IFERROR(XLOOKUP(A1293,Raw_Alerts!$B:$B,Raw_Alerts!$F:$F),"")</f>
        <v/>
      </c>
      <c r="P1293" s="4">
        <f>IF(H1293="Not Found","CRITICAL: No Risk Profile",IF(I1293="Missing","WARN: Missing KYC",IF(I1293="Expired","WARN: KYC Expired",IF(I1293="Pending","INFO: KYC Pending","OK"))))</f>
        <v/>
      </c>
    </row>
    <row r="1294">
      <c r="A1294" s="2">
        <f>Raw_Transactions!A1294</f>
        <v/>
      </c>
      <c r="B1294" s="2">
        <f>Raw_Transactions!B1294</f>
        <v/>
      </c>
      <c r="C1294" s="2">
        <f>Raw_Transactions!C1294</f>
        <v/>
      </c>
      <c r="D1294" s="3">
        <f>Raw_Transactions!D1294</f>
        <v/>
      </c>
      <c r="E1294" s="2">
        <f>Raw_Transactions!E1294</f>
        <v/>
      </c>
      <c r="F1294" s="2">
        <f>Raw_Transactions!F1294</f>
        <v/>
      </c>
      <c r="G1294" s="2">
        <f>Raw_Transactions!G1294</f>
        <v/>
      </c>
      <c r="H1294" s="2">
        <f>XLOOKUP(B1294,Raw_Risk_Profiles!$A:$A,Raw_Risk_Profiles!$B:$B,"Not Found")</f>
        <v/>
      </c>
      <c r="I1294" s="2">
        <f>XLOOKUP(B1294,Raw_Risk_Profiles!$A:$A,Raw_Risk_Profiles!$C:$C,"Missing")</f>
        <v/>
      </c>
      <c r="J1294" s="2">
        <f>XLOOKUP(B1294,Raw_Risk_Profiles!$A:$A,Raw_Risk_Profiles!$D:$D,"")</f>
        <v/>
      </c>
      <c r="K1294" s="2">
        <f>IFERROR(INDEX(Raw_Risk_Profiles!$E:$E,MATCH(B1294,Raw_Risk_Profiles!$A:$A,0)),"Unknown")</f>
        <v/>
      </c>
      <c r="L1294" s="2">
        <f>IFERROR(XLOOKUP(A1294,Raw_Alerts!$B:$B,Raw_Alerts!$A:$A),"No Alert")</f>
        <v/>
      </c>
      <c r="M1294" s="2">
        <f>IFERROR(XLOOKUP(A1294,Raw_Alerts!$B:$B,Raw_Alerts!$C:$C),"")</f>
        <v/>
      </c>
      <c r="N1294" s="2">
        <f>IFERROR(XLOOKUP(A1294,Raw_Alerts!$B:$B,Raw_Alerts!$D:$D),"")</f>
        <v/>
      </c>
      <c r="O1294" s="2">
        <f>IFERROR(XLOOKUP(A1294,Raw_Alerts!$B:$B,Raw_Alerts!$F:$F),"")</f>
        <v/>
      </c>
      <c r="P1294" s="2">
        <f>IF(H1294="Not Found","CRITICAL: No Risk Profile",IF(I1294="Missing","WARN: Missing KYC",IF(I1294="Expired","WARN: KYC Expired",IF(I1294="Pending","INFO: KYC Pending","OK"))))</f>
        <v/>
      </c>
    </row>
    <row r="1295">
      <c r="A1295" s="4">
        <f>Raw_Transactions!A1295</f>
        <v/>
      </c>
      <c r="B1295" s="4">
        <f>Raw_Transactions!B1295</f>
        <v/>
      </c>
      <c r="C1295" s="4">
        <f>Raw_Transactions!C1295</f>
        <v/>
      </c>
      <c r="D1295" s="5">
        <f>Raw_Transactions!D1295</f>
        <v/>
      </c>
      <c r="E1295" s="4">
        <f>Raw_Transactions!E1295</f>
        <v/>
      </c>
      <c r="F1295" s="4">
        <f>Raw_Transactions!F1295</f>
        <v/>
      </c>
      <c r="G1295" s="4">
        <f>Raw_Transactions!G1295</f>
        <v/>
      </c>
      <c r="H1295" s="4">
        <f>XLOOKUP(B1295,Raw_Risk_Profiles!$A:$A,Raw_Risk_Profiles!$B:$B,"Not Found")</f>
        <v/>
      </c>
      <c r="I1295" s="4">
        <f>XLOOKUP(B1295,Raw_Risk_Profiles!$A:$A,Raw_Risk_Profiles!$C:$C,"Missing")</f>
        <v/>
      </c>
      <c r="J1295" s="4">
        <f>XLOOKUP(B1295,Raw_Risk_Profiles!$A:$A,Raw_Risk_Profiles!$D:$D,"")</f>
        <v/>
      </c>
      <c r="K1295" s="4">
        <f>IFERROR(INDEX(Raw_Risk_Profiles!$E:$E,MATCH(B1295,Raw_Risk_Profiles!$A:$A,0)),"Unknown")</f>
        <v/>
      </c>
      <c r="L1295" s="4">
        <f>IFERROR(XLOOKUP(A1295,Raw_Alerts!$B:$B,Raw_Alerts!$A:$A),"No Alert")</f>
        <v/>
      </c>
      <c r="M1295" s="4">
        <f>IFERROR(XLOOKUP(A1295,Raw_Alerts!$B:$B,Raw_Alerts!$C:$C),"")</f>
        <v/>
      </c>
      <c r="N1295" s="4">
        <f>IFERROR(XLOOKUP(A1295,Raw_Alerts!$B:$B,Raw_Alerts!$D:$D),"")</f>
        <v/>
      </c>
      <c r="O1295" s="4">
        <f>IFERROR(XLOOKUP(A1295,Raw_Alerts!$B:$B,Raw_Alerts!$F:$F),"")</f>
        <v/>
      </c>
      <c r="P1295" s="4">
        <f>IF(H1295="Not Found","CRITICAL: No Risk Profile",IF(I1295="Missing","WARN: Missing KYC",IF(I1295="Expired","WARN: KYC Expired",IF(I1295="Pending","INFO: KYC Pending","OK"))))</f>
        <v/>
      </c>
    </row>
    <row r="1296">
      <c r="A1296" s="2">
        <f>Raw_Transactions!A1296</f>
        <v/>
      </c>
      <c r="B1296" s="2">
        <f>Raw_Transactions!B1296</f>
        <v/>
      </c>
      <c r="C1296" s="2">
        <f>Raw_Transactions!C1296</f>
        <v/>
      </c>
      <c r="D1296" s="3">
        <f>Raw_Transactions!D1296</f>
        <v/>
      </c>
      <c r="E1296" s="2">
        <f>Raw_Transactions!E1296</f>
        <v/>
      </c>
      <c r="F1296" s="2">
        <f>Raw_Transactions!F1296</f>
        <v/>
      </c>
      <c r="G1296" s="2">
        <f>Raw_Transactions!G1296</f>
        <v/>
      </c>
      <c r="H1296" s="2">
        <f>XLOOKUP(B1296,Raw_Risk_Profiles!$A:$A,Raw_Risk_Profiles!$B:$B,"Not Found")</f>
        <v/>
      </c>
      <c r="I1296" s="2">
        <f>XLOOKUP(B1296,Raw_Risk_Profiles!$A:$A,Raw_Risk_Profiles!$C:$C,"Missing")</f>
        <v/>
      </c>
      <c r="J1296" s="2">
        <f>XLOOKUP(B1296,Raw_Risk_Profiles!$A:$A,Raw_Risk_Profiles!$D:$D,"")</f>
        <v/>
      </c>
      <c r="K1296" s="2">
        <f>IFERROR(INDEX(Raw_Risk_Profiles!$E:$E,MATCH(B1296,Raw_Risk_Profiles!$A:$A,0)),"Unknown")</f>
        <v/>
      </c>
      <c r="L1296" s="2">
        <f>IFERROR(XLOOKUP(A1296,Raw_Alerts!$B:$B,Raw_Alerts!$A:$A),"No Alert")</f>
        <v/>
      </c>
      <c r="M1296" s="2">
        <f>IFERROR(XLOOKUP(A1296,Raw_Alerts!$B:$B,Raw_Alerts!$C:$C),"")</f>
        <v/>
      </c>
      <c r="N1296" s="2">
        <f>IFERROR(XLOOKUP(A1296,Raw_Alerts!$B:$B,Raw_Alerts!$D:$D),"")</f>
        <v/>
      </c>
      <c r="O1296" s="2">
        <f>IFERROR(XLOOKUP(A1296,Raw_Alerts!$B:$B,Raw_Alerts!$F:$F),"")</f>
        <v/>
      </c>
      <c r="P1296" s="2">
        <f>IF(H1296="Not Found","CRITICAL: No Risk Profile",IF(I1296="Missing","WARN: Missing KYC",IF(I1296="Expired","WARN: KYC Expired",IF(I1296="Pending","INFO: KYC Pending","OK"))))</f>
        <v/>
      </c>
    </row>
    <row r="1297">
      <c r="A1297" s="4">
        <f>Raw_Transactions!A1297</f>
        <v/>
      </c>
      <c r="B1297" s="4">
        <f>Raw_Transactions!B1297</f>
        <v/>
      </c>
      <c r="C1297" s="4">
        <f>Raw_Transactions!C1297</f>
        <v/>
      </c>
      <c r="D1297" s="5">
        <f>Raw_Transactions!D1297</f>
        <v/>
      </c>
      <c r="E1297" s="4">
        <f>Raw_Transactions!E1297</f>
        <v/>
      </c>
      <c r="F1297" s="4">
        <f>Raw_Transactions!F1297</f>
        <v/>
      </c>
      <c r="G1297" s="4">
        <f>Raw_Transactions!G1297</f>
        <v/>
      </c>
      <c r="H1297" s="4">
        <f>XLOOKUP(B1297,Raw_Risk_Profiles!$A:$A,Raw_Risk_Profiles!$B:$B,"Not Found")</f>
        <v/>
      </c>
      <c r="I1297" s="4">
        <f>XLOOKUP(B1297,Raw_Risk_Profiles!$A:$A,Raw_Risk_Profiles!$C:$C,"Missing")</f>
        <v/>
      </c>
      <c r="J1297" s="4">
        <f>XLOOKUP(B1297,Raw_Risk_Profiles!$A:$A,Raw_Risk_Profiles!$D:$D,"")</f>
        <v/>
      </c>
      <c r="K1297" s="4">
        <f>IFERROR(INDEX(Raw_Risk_Profiles!$E:$E,MATCH(B1297,Raw_Risk_Profiles!$A:$A,0)),"Unknown")</f>
        <v/>
      </c>
      <c r="L1297" s="4">
        <f>IFERROR(XLOOKUP(A1297,Raw_Alerts!$B:$B,Raw_Alerts!$A:$A),"No Alert")</f>
        <v/>
      </c>
      <c r="M1297" s="4">
        <f>IFERROR(XLOOKUP(A1297,Raw_Alerts!$B:$B,Raw_Alerts!$C:$C),"")</f>
        <v/>
      </c>
      <c r="N1297" s="4">
        <f>IFERROR(XLOOKUP(A1297,Raw_Alerts!$B:$B,Raw_Alerts!$D:$D),"")</f>
        <v/>
      </c>
      <c r="O1297" s="4">
        <f>IFERROR(XLOOKUP(A1297,Raw_Alerts!$B:$B,Raw_Alerts!$F:$F),"")</f>
        <v/>
      </c>
      <c r="P1297" s="4">
        <f>IF(H1297="Not Found","CRITICAL: No Risk Profile",IF(I1297="Missing","WARN: Missing KYC",IF(I1297="Expired","WARN: KYC Expired",IF(I1297="Pending","INFO: KYC Pending","OK"))))</f>
        <v/>
      </c>
    </row>
    <row r="1298">
      <c r="A1298" s="2">
        <f>Raw_Transactions!A1298</f>
        <v/>
      </c>
      <c r="B1298" s="2">
        <f>Raw_Transactions!B1298</f>
        <v/>
      </c>
      <c r="C1298" s="2">
        <f>Raw_Transactions!C1298</f>
        <v/>
      </c>
      <c r="D1298" s="3">
        <f>Raw_Transactions!D1298</f>
        <v/>
      </c>
      <c r="E1298" s="2">
        <f>Raw_Transactions!E1298</f>
        <v/>
      </c>
      <c r="F1298" s="2">
        <f>Raw_Transactions!F1298</f>
        <v/>
      </c>
      <c r="G1298" s="2">
        <f>Raw_Transactions!G1298</f>
        <v/>
      </c>
      <c r="H1298" s="2">
        <f>XLOOKUP(B1298,Raw_Risk_Profiles!$A:$A,Raw_Risk_Profiles!$B:$B,"Not Found")</f>
        <v/>
      </c>
      <c r="I1298" s="2">
        <f>XLOOKUP(B1298,Raw_Risk_Profiles!$A:$A,Raw_Risk_Profiles!$C:$C,"Missing")</f>
        <v/>
      </c>
      <c r="J1298" s="2">
        <f>XLOOKUP(B1298,Raw_Risk_Profiles!$A:$A,Raw_Risk_Profiles!$D:$D,"")</f>
        <v/>
      </c>
      <c r="K1298" s="2">
        <f>IFERROR(INDEX(Raw_Risk_Profiles!$E:$E,MATCH(B1298,Raw_Risk_Profiles!$A:$A,0)),"Unknown")</f>
        <v/>
      </c>
      <c r="L1298" s="2">
        <f>IFERROR(XLOOKUP(A1298,Raw_Alerts!$B:$B,Raw_Alerts!$A:$A),"No Alert")</f>
        <v/>
      </c>
      <c r="M1298" s="2">
        <f>IFERROR(XLOOKUP(A1298,Raw_Alerts!$B:$B,Raw_Alerts!$C:$C),"")</f>
        <v/>
      </c>
      <c r="N1298" s="2">
        <f>IFERROR(XLOOKUP(A1298,Raw_Alerts!$B:$B,Raw_Alerts!$D:$D),"")</f>
        <v/>
      </c>
      <c r="O1298" s="2">
        <f>IFERROR(XLOOKUP(A1298,Raw_Alerts!$B:$B,Raw_Alerts!$F:$F),"")</f>
        <v/>
      </c>
      <c r="P1298" s="2">
        <f>IF(H1298="Not Found","CRITICAL: No Risk Profile",IF(I1298="Missing","WARN: Missing KYC",IF(I1298="Expired","WARN: KYC Expired",IF(I1298="Pending","INFO: KYC Pending","OK"))))</f>
        <v/>
      </c>
    </row>
    <row r="1299">
      <c r="A1299" s="4">
        <f>Raw_Transactions!A1299</f>
        <v/>
      </c>
      <c r="B1299" s="4">
        <f>Raw_Transactions!B1299</f>
        <v/>
      </c>
      <c r="C1299" s="4">
        <f>Raw_Transactions!C1299</f>
        <v/>
      </c>
      <c r="D1299" s="5">
        <f>Raw_Transactions!D1299</f>
        <v/>
      </c>
      <c r="E1299" s="4">
        <f>Raw_Transactions!E1299</f>
        <v/>
      </c>
      <c r="F1299" s="4">
        <f>Raw_Transactions!F1299</f>
        <v/>
      </c>
      <c r="G1299" s="4">
        <f>Raw_Transactions!G1299</f>
        <v/>
      </c>
      <c r="H1299" s="4">
        <f>XLOOKUP(B1299,Raw_Risk_Profiles!$A:$A,Raw_Risk_Profiles!$B:$B,"Not Found")</f>
        <v/>
      </c>
      <c r="I1299" s="4">
        <f>XLOOKUP(B1299,Raw_Risk_Profiles!$A:$A,Raw_Risk_Profiles!$C:$C,"Missing")</f>
        <v/>
      </c>
      <c r="J1299" s="4">
        <f>XLOOKUP(B1299,Raw_Risk_Profiles!$A:$A,Raw_Risk_Profiles!$D:$D,"")</f>
        <v/>
      </c>
      <c r="K1299" s="4">
        <f>IFERROR(INDEX(Raw_Risk_Profiles!$E:$E,MATCH(B1299,Raw_Risk_Profiles!$A:$A,0)),"Unknown")</f>
        <v/>
      </c>
      <c r="L1299" s="4">
        <f>IFERROR(XLOOKUP(A1299,Raw_Alerts!$B:$B,Raw_Alerts!$A:$A),"No Alert")</f>
        <v/>
      </c>
      <c r="M1299" s="4">
        <f>IFERROR(XLOOKUP(A1299,Raw_Alerts!$B:$B,Raw_Alerts!$C:$C),"")</f>
        <v/>
      </c>
      <c r="N1299" s="4">
        <f>IFERROR(XLOOKUP(A1299,Raw_Alerts!$B:$B,Raw_Alerts!$D:$D),"")</f>
        <v/>
      </c>
      <c r="O1299" s="4">
        <f>IFERROR(XLOOKUP(A1299,Raw_Alerts!$B:$B,Raw_Alerts!$F:$F),"")</f>
        <v/>
      </c>
      <c r="P1299" s="4">
        <f>IF(H1299="Not Found","CRITICAL: No Risk Profile",IF(I1299="Missing","WARN: Missing KYC",IF(I1299="Expired","WARN: KYC Expired",IF(I1299="Pending","INFO: KYC Pending","OK"))))</f>
        <v/>
      </c>
    </row>
    <row r="1300">
      <c r="A1300" s="2">
        <f>Raw_Transactions!A1300</f>
        <v/>
      </c>
      <c r="B1300" s="2">
        <f>Raw_Transactions!B1300</f>
        <v/>
      </c>
      <c r="C1300" s="2">
        <f>Raw_Transactions!C1300</f>
        <v/>
      </c>
      <c r="D1300" s="3">
        <f>Raw_Transactions!D1300</f>
        <v/>
      </c>
      <c r="E1300" s="2">
        <f>Raw_Transactions!E1300</f>
        <v/>
      </c>
      <c r="F1300" s="2">
        <f>Raw_Transactions!F1300</f>
        <v/>
      </c>
      <c r="G1300" s="2">
        <f>Raw_Transactions!G1300</f>
        <v/>
      </c>
      <c r="H1300" s="2">
        <f>XLOOKUP(B1300,Raw_Risk_Profiles!$A:$A,Raw_Risk_Profiles!$B:$B,"Not Found")</f>
        <v/>
      </c>
      <c r="I1300" s="2">
        <f>XLOOKUP(B1300,Raw_Risk_Profiles!$A:$A,Raw_Risk_Profiles!$C:$C,"Missing")</f>
        <v/>
      </c>
      <c r="J1300" s="2">
        <f>XLOOKUP(B1300,Raw_Risk_Profiles!$A:$A,Raw_Risk_Profiles!$D:$D,"")</f>
        <v/>
      </c>
      <c r="K1300" s="2">
        <f>IFERROR(INDEX(Raw_Risk_Profiles!$E:$E,MATCH(B1300,Raw_Risk_Profiles!$A:$A,0)),"Unknown")</f>
        <v/>
      </c>
      <c r="L1300" s="2">
        <f>IFERROR(XLOOKUP(A1300,Raw_Alerts!$B:$B,Raw_Alerts!$A:$A),"No Alert")</f>
        <v/>
      </c>
      <c r="M1300" s="2">
        <f>IFERROR(XLOOKUP(A1300,Raw_Alerts!$B:$B,Raw_Alerts!$C:$C),"")</f>
        <v/>
      </c>
      <c r="N1300" s="2">
        <f>IFERROR(XLOOKUP(A1300,Raw_Alerts!$B:$B,Raw_Alerts!$D:$D),"")</f>
        <v/>
      </c>
      <c r="O1300" s="2">
        <f>IFERROR(XLOOKUP(A1300,Raw_Alerts!$B:$B,Raw_Alerts!$F:$F),"")</f>
        <v/>
      </c>
      <c r="P1300" s="2">
        <f>IF(H1300="Not Found","CRITICAL: No Risk Profile",IF(I1300="Missing","WARN: Missing KYC",IF(I1300="Expired","WARN: KYC Expired",IF(I1300="Pending","INFO: KYC Pending","OK"))))</f>
        <v/>
      </c>
    </row>
    <row r="1301">
      <c r="A1301" s="4">
        <f>Raw_Transactions!A1301</f>
        <v/>
      </c>
      <c r="B1301" s="4">
        <f>Raw_Transactions!B1301</f>
        <v/>
      </c>
      <c r="C1301" s="4">
        <f>Raw_Transactions!C1301</f>
        <v/>
      </c>
      <c r="D1301" s="5">
        <f>Raw_Transactions!D1301</f>
        <v/>
      </c>
      <c r="E1301" s="4">
        <f>Raw_Transactions!E1301</f>
        <v/>
      </c>
      <c r="F1301" s="4">
        <f>Raw_Transactions!F1301</f>
        <v/>
      </c>
      <c r="G1301" s="4">
        <f>Raw_Transactions!G1301</f>
        <v/>
      </c>
      <c r="H1301" s="4">
        <f>XLOOKUP(B1301,Raw_Risk_Profiles!$A:$A,Raw_Risk_Profiles!$B:$B,"Not Found")</f>
        <v/>
      </c>
      <c r="I1301" s="4">
        <f>XLOOKUP(B1301,Raw_Risk_Profiles!$A:$A,Raw_Risk_Profiles!$C:$C,"Missing")</f>
        <v/>
      </c>
      <c r="J1301" s="4">
        <f>XLOOKUP(B1301,Raw_Risk_Profiles!$A:$A,Raw_Risk_Profiles!$D:$D,"")</f>
        <v/>
      </c>
      <c r="K1301" s="4">
        <f>IFERROR(INDEX(Raw_Risk_Profiles!$E:$E,MATCH(B1301,Raw_Risk_Profiles!$A:$A,0)),"Unknown")</f>
        <v/>
      </c>
      <c r="L1301" s="4">
        <f>IFERROR(XLOOKUP(A1301,Raw_Alerts!$B:$B,Raw_Alerts!$A:$A),"No Alert")</f>
        <v/>
      </c>
      <c r="M1301" s="4">
        <f>IFERROR(XLOOKUP(A1301,Raw_Alerts!$B:$B,Raw_Alerts!$C:$C),"")</f>
        <v/>
      </c>
      <c r="N1301" s="4">
        <f>IFERROR(XLOOKUP(A1301,Raw_Alerts!$B:$B,Raw_Alerts!$D:$D),"")</f>
        <v/>
      </c>
      <c r="O1301" s="4">
        <f>IFERROR(XLOOKUP(A1301,Raw_Alerts!$B:$B,Raw_Alerts!$F:$F),"")</f>
        <v/>
      </c>
      <c r="P1301" s="4">
        <f>IF(H1301="Not Found","CRITICAL: No Risk Profile",IF(I1301="Missing","WARN: Missing KYC",IF(I1301="Expired","WARN: KYC Expired",IF(I1301="Pending","INFO: KYC Pending","OK"))))</f>
        <v/>
      </c>
    </row>
    <row r="1302">
      <c r="A1302" s="2">
        <f>Raw_Transactions!A1302</f>
        <v/>
      </c>
      <c r="B1302" s="2">
        <f>Raw_Transactions!B1302</f>
        <v/>
      </c>
      <c r="C1302" s="2">
        <f>Raw_Transactions!C1302</f>
        <v/>
      </c>
      <c r="D1302" s="3">
        <f>Raw_Transactions!D1302</f>
        <v/>
      </c>
      <c r="E1302" s="2">
        <f>Raw_Transactions!E1302</f>
        <v/>
      </c>
      <c r="F1302" s="2">
        <f>Raw_Transactions!F1302</f>
        <v/>
      </c>
      <c r="G1302" s="2">
        <f>Raw_Transactions!G1302</f>
        <v/>
      </c>
      <c r="H1302" s="2">
        <f>XLOOKUP(B1302,Raw_Risk_Profiles!$A:$A,Raw_Risk_Profiles!$B:$B,"Not Found")</f>
        <v/>
      </c>
      <c r="I1302" s="2">
        <f>XLOOKUP(B1302,Raw_Risk_Profiles!$A:$A,Raw_Risk_Profiles!$C:$C,"Missing")</f>
        <v/>
      </c>
      <c r="J1302" s="2">
        <f>XLOOKUP(B1302,Raw_Risk_Profiles!$A:$A,Raw_Risk_Profiles!$D:$D,"")</f>
        <v/>
      </c>
      <c r="K1302" s="2">
        <f>IFERROR(INDEX(Raw_Risk_Profiles!$E:$E,MATCH(B1302,Raw_Risk_Profiles!$A:$A,0)),"Unknown")</f>
        <v/>
      </c>
      <c r="L1302" s="2">
        <f>IFERROR(XLOOKUP(A1302,Raw_Alerts!$B:$B,Raw_Alerts!$A:$A),"No Alert")</f>
        <v/>
      </c>
      <c r="M1302" s="2">
        <f>IFERROR(XLOOKUP(A1302,Raw_Alerts!$B:$B,Raw_Alerts!$C:$C),"")</f>
        <v/>
      </c>
      <c r="N1302" s="2">
        <f>IFERROR(XLOOKUP(A1302,Raw_Alerts!$B:$B,Raw_Alerts!$D:$D),"")</f>
        <v/>
      </c>
      <c r="O1302" s="2">
        <f>IFERROR(XLOOKUP(A1302,Raw_Alerts!$B:$B,Raw_Alerts!$F:$F),"")</f>
        <v/>
      </c>
      <c r="P1302" s="2">
        <f>IF(H1302="Not Found","CRITICAL: No Risk Profile",IF(I1302="Missing","WARN: Missing KYC",IF(I1302="Expired","WARN: KYC Expired",IF(I1302="Pending","INFO: KYC Pending","OK"))))</f>
        <v/>
      </c>
    </row>
    <row r="1303">
      <c r="A1303" s="4">
        <f>Raw_Transactions!A1303</f>
        <v/>
      </c>
      <c r="B1303" s="4">
        <f>Raw_Transactions!B1303</f>
        <v/>
      </c>
      <c r="C1303" s="4">
        <f>Raw_Transactions!C1303</f>
        <v/>
      </c>
      <c r="D1303" s="5">
        <f>Raw_Transactions!D1303</f>
        <v/>
      </c>
      <c r="E1303" s="4">
        <f>Raw_Transactions!E1303</f>
        <v/>
      </c>
      <c r="F1303" s="4">
        <f>Raw_Transactions!F1303</f>
        <v/>
      </c>
      <c r="G1303" s="4">
        <f>Raw_Transactions!G1303</f>
        <v/>
      </c>
      <c r="H1303" s="4">
        <f>XLOOKUP(B1303,Raw_Risk_Profiles!$A:$A,Raw_Risk_Profiles!$B:$B,"Not Found")</f>
        <v/>
      </c>
      <c r="I1303" s="4">
        <f>XLOOKUP(B1303,Raw_Risk_Profiles!$A:$A,Raw_Risk_Profiles!$C:$C,"Missing")</f>
        <v/>
      </c>
      <c r="J1303" s="4">
        <f>XLOOKUP(B1303,Raw_Risk_Profiles!$A:$A,Raw_Risk_Profiles!$D:$D,"")</f>
        <v/>
      </c>
      <c r="K1303" s="4">
        <f>IFERROR(INDEX(Raw_Risk_Profiles!$E:$E,MATCH(B1303,Raw_Risk_Profiles!$A:$A,0)),"Unknown")</f>
        <v/>
      </c>
      <c r="L1303" s="4">
        <f>IFERROR(XLOOKUP(A1303,Raw_Alerts!$B:$B,Raw_Alerts!$A:$A),"No Alert")</f>
        <v/>
      </c>
      <c r="M1303" s="4">
        <f>IFERROR(XLOOKUP(A1303,Raw_Alerts!$B:$B,Raw_Alerts!$C:$C),"")</f>
        <v/>
      </c>
      <c r="N1303" s="4">
        <f>IFERROR(XLOOKUP(A1303,Raw_Alerts!$B:$B,Raw_Alerts!$D:$D),"")</f>
        <v/>
      </c>
      <c r="O1303" s="4">
        <f>IFERROR(XLOOKUP(A1303,Raw_Alerts!$B:$B,Raw_Alerts!$F:$F),"")</f>
        <v/>
      </c>
      <c r="P1303" s="4">
        <f>IF(H1303="Not Found","CRITICAL: No Risk Profile",IF(I1303="Missing","WARN: Missing KYC",IF(I1303="Expired","WARN: KYC Expired",IF(I1303="Pending","INFO: KYC Pending","OK"))))</f>
        <v/>
      </c>
    </row>
    <row r="1304">
      <c r="A1304" s="2">
        <f>Raw_Transactions!A1304</f>
        <v/>
      </c>
      <c r="B1304" s="2">
        <f>Raw_Transactions!B1304</f>
        <v/>
      </c>
      <c r="C1304" s="2">
        <f>Raw_Transactions!C1304</f>
        <v/>
      </c>
      <c r="D1304" s="3">
        <f>Raw_Transactions!D1304</f>
        <v/>
      </c>
      <c r="E1304" s="2">
        <f>Raw_Transactions!E1304</f>
        <v/>
      </c>
      <c r="F1304" s="2">
        <f>Raw_Transactions!F1304</f>
        <v/>
      </c>
      <c r="G1304" s="2">
        <f>Raw_Transactions!G1304</f>
        <v/>
      </c>
      <c r="H1304" s="2">
        <f>XLOOKUP(B1304,Raw_Risk_Profiles!$A:$A,Raw_Risk_Profiles!$B:$B,"Not Found")</f>
        <v/>
      </c>
      <c r="I1304" s="2">
        <f>XLOOKUP(B1304,Raw_Risk_Profiles!$A:$A,Raw_Risk_Profiles!$C:$C,"Missing")</f>
        <v/>
      </c>
      <c r="J1304" s="2">
        <f>XLOOKUP(B1304,Raw_Risk_Profiles!$A:$A,Raw_Risk_Profiles!$D:$D,"")</f>
        <v/>
      </c>
      <c r="K1304" s="2">
        <f>IFERROR(INDEX(Raw_Risk_Profiles!$E:$E,MATCH(B1304,Raw_Risk_Profiles!$A:$A,0)),"Unknown")</f>
        <v/>
      </c>
      <c r="L1304" s="2">
        <f>IFERROR(XLOOKUP(A1304,Raw_Alerts!$B:$B,Raw_Alerts!$A:$A),"No Alert")</f>
        <v/>
      </c>
      <c r="M1304" s="2">
        <f>IFERROR(XLOOKUP(A1304,Raw_Alerts!$B:$B,Raw_Alerts!$C:$C),"")</f>
        <v/>
      </c>
      <c r="N1304" s="2">
        <f>IFERROR(XLOOKUP(A1304,Raw_Alerts!$B:$B,Raw_Alerts!$D:$D),"")</f>
        <v/>
      </c>
      <c r="O1304" s="2">
        <f>IFERROR(XLOOKUP(A1304,Raw_Alerts!$B:$B,Raw_Alerts!$F:$F),"")</f>
        <v/>
      </c>
      <c r="P1304" s="2">
        <f>IF(H1304="Not Found","CRITICAL: No Risk Profile",IF(I1304="Missing","WARN: Missing KYC",IF(I1304="Expired","WARN: KYC Expired",IF(I1304="Pending","INFO: KYC Pending","OK"))))</f>
        <v/>
      </c>
    </row>
    <row r="1305">
      <c r="A1305" s="4">
        <f>Raw_Transactions!A1305</f>
        <v/>
      </c>
      <c r="B1305" s="4">
        <f>Raw_Transactions!B1305</f>
        <v/>
      </c>
      <c r="C1305" s="4">
        <f>Raw_Transactions!C1305</f>
        <v/>
      </c>
      <c r="D1305" s="5">
        <f>Raw_Transactions!D1305</f>
        <v/>
      </c>
      <c r="E1305" s="4">
        <f>Raw_Transactions!E1305</f>
        <v/>
      </c>
      <c r="F1305" s="4">
        <f>Raw_Transactions!F1305</f>
        <v/>
      </c>
      <c r="G1305" s="4">
        <f>Raw_Transactions!G1305</f>
        <v/>
      </c>
      <c r="H1305" s="4">
        <f>XLOOKUP(B1305,Raw_Risk_Profiles!$A:$A,Raw_Risk_Profiles!$B:$B,"Not Found")</f>
        <v/>
      </c>
      <c r="I1305" s="4">
        <f>XLOOKUP(B1305,Raw_Risk_Profiles!$A:$A,Raw_Risk_Profiles!$C:$C,"Missing")</f>
        <v/>
      </c>
      <c r="J1305" s="4">
        <f>XLOOKUP(B1305,Raw_Risk_Profiles!$A:$A,Raw_Risk_Profiles!$D:$D,"")</f>
        <v/>
      </c>
      <c r="K1305" s="4">
        <f>IFERROR(INDEX(Raw_Risk_Profiles!$E:$E,MATCH(B1305,Raw_Risk_Profiles!$A:$A,0)),"Unknown")</f>
        <v/>
      </c>
      <c r="L1305" s="4">
        <f>IFERROR(XLOOKUP(A1305,Raw_Alerts!$B:$B,Raw_Alerts!$A:$A),"No Alert")</f>
        <v/>
      </c>
      <c r="M1305" s="4">
        <f>IFERROR(XLOOKUP(A1305,Raw_Alerts!$B:$B,Raw_Alerts!$C:$C),"")</f>
        <v/>
      </c>
      <c r="N1305" s="4">
        <f>IFERROR(XLOOKUP(A1305,Raw_Alerts!$B:$B,Raw_Alerts!$D:$D),"")</f>
        <v/>
      </c>
      <c r="O1305" s="4">
        <f>IFERROR(XLOOKUP(A1305,Raw_Alerts!$B:$B,Raw_Alerts!$F:$F),"")</f>
        <v/>
      </c>
      <c r="P1305" s="4">
        <f>IF(H1305="Not Found","CRITICAL: No Risk Profile",IF(I1305="Missing","WARN: Missing KYC",IF(I1305="Expired","WARN: KYC Expired",IF(I1305="Pending","INFO: KYC Pending","OK"))))</f>
        <v/>
      </c>
    </row>
    <row r="1306">
      <c r="A1306" s="2">
        <f>Raw_Transactions!A1306</f>
        <v/>
      </c>
      <c r="B1306" s="2">
        <f>Raw_Transactions!B1306</f>
        <v/>
      </c>
      <c r="C1306" s="2">
        <f>Raw_Transactions!C1306</f>
        <v/>
      </c>
      <c r="D1306" s="3">
        <f>Raw_Transactions!D1306</f>
        <v/>
      </c>
      <c r="E1306" s="2">
        <f>Raw_Transactions!E1306</f>
        <v/>
      </c>
      <c r="F1306" s="2">
        <f>Raw_Transactions!F1306</f>
        <v/>
      </c>
      <c r="G1306" s="2">
        <f>Raw_Transactions!G1306</f>
        <v/>
      </c>
      <c r="H1306" s="2">
        <f>XLOOKUP(B1306,Raw_Risk_Profiles!$A:$A,Raw_Risk_Profiles!$B:$B,"Not Found")</f>
        <v/>
      </c>
      <c r="I1306" s="2">
        <f>XLOOKUP(B1306,Raw_Risk_Profiles!$A:$A,Raw_Risk_Profiles!$C:$C,"Missing")</f>
        <v/>
      </c>
      <c r="J1306" s="2">
        <f>XLOOKUP(B1306,Raw_Risk_Profiles!$A:$A,Raw_Risk_Profiles!$D:$D,"")</f>
        <v/>
      </c>
      <c r="K1306" s="2">
        <f>IFERROR(INDEX(Raw_Risk_Profiles!$E:$E,MATCH(B1306,Raw_Risk_Profiles!$A:$A,0)),"Unknown")</f>
        <v/>
      </c>
      <c r="L1306" s="2">
        <f>IFERROR(XLOOKUP(A1306,Raw_Alerts!$B:$B,Raw_Alerts!$A:$A),"No Alert")</f>
        <v/>
      </c>
      <c r="M1306" s="2">
        <f>IFERROR(XLOOKUP(A1306,Raw_Alerts!$B:$B,Raw_Alerts!$C:$C),"")</f>
        <v/>
      </c>
      <c r="N1306" s="2">
        <f>IFERROR(XLOOKUP(A1306,Raw_Alerts!$B:$B,Raw_Alerts!$D:$D),"")</f>
        <v/>
      </c>
      <c r="O1306" s="2">
        <f>IFERROR(XLOOKUP(A1306,Raw_Alerts!$B:$B,Raw_Alerts!$F:$F),"")</f>
        <v/>
      </c>
      <c r="P1306" s="2">
        <f>IF(H1306="Not Found","CRITICAL: No Risk Profile",IF(I1306="Missing","WARN: Missing KYC",IF(I1306="Expired","WARN: KYC Expired",IF(I1306="Pending","INFO: KYC Pending","OK"))))</f>
        <v/>
      </c>
    </row>
    <row r="1307">
      <c r="A1307" s="4">
        <f>Raw_Transactions!A1307</f>
        <v/>
      </c>
      <c r="B1307" s="4">
        <f>Raw_Transactions!B1307</f>
        <v/>
      </c>
      <c r="C1307" s="4">
        <f>Raw_Transactions!C1307</f>
        <v/>
      </c>
      <c r="D1307" s="5">
        <f>Raw_Transactions!D1307</f>
        <v/>
      </c>
      <c r="E1307" s="4">
        <f>Raw_Transactions!E1307</f>
        <v/>
      </c>
      <c r="F1307" s="4">
        <f>Raw_Transactions!F1307</f>
        <v/>
      </c>
      <c r="G1307" s="4">
        <f>Raw_Transactions!G1307</f>
        <v/>
      </c>
      <c r="H1307" s="4">
        <f>XLOOKUP(B1307,Raw_Risk_Profiles!$A:$A,Raw_Risk_Profiles!$B:$B,"Not Found")</f>
        <v/>
      </c>
      <c r="I1307" s="4">
        <f>XLOOKUP(B1307,Raw_Risk_Profiles!$A:$A,Raw_Risk_Profiles!$C:$C,"Missing")</f>
        <v/>
      </c>
      <c r="J1307" s="4">
        <f>XLOOKUP(B1307,Raw_Risk_Profiles!$A:$A,Raw_Risk_Profiles!$D:$D,"")</f>
        <v/>
      </c>
      <c r="K1307" s="4">
        <f>IFERROR(INDEX(Raw_Risk_Profiles!$E:$E,MATCH(B1307,Raw_Risk_Profiles!$A:$A,0)),"Unknown")</f>
        <v/>
      </c>
      <c r="L1307" s="4">
        <f>IFERROR(XLOOKUP(A1307,Raw_Alerts!$B:$B,Raw_Alerts!$A:$A),"No Alert")</f>
        <v/>
      </c>
      <c r="M1307" s="4">
        <f>IFERROR(XLOOKUP(A1307,Raw_Alerts!$B:$B,Raw_Alerts!$C:$C),"")</f>
        <v/>
      </c>
      <c r="N1307" s="4">
        <f>IFERROR(XLOOKUP(A1307,Raw_Alerts!$B:$B,Raw_Alerts!$D:$D),"")</f>
        <v/>
      </c>
      <c r="O1307" s="4">
        <f>IFERROR(XLOOKUP(A1307,Raw_Alerts!$B:$B,Raw_Alerts!$F:$F),"")</f>
        <v/>
      </c>
      <c r="P1307" s="4">
        <f>IF(H1307="Not Found","CRITICAL: No Risk Profile",IF(I1307="Missing","WARN: Missing KYC",IF(I1307="Expired","WARN: KYC Expired",IF(I1307="Pending","INFO: KYC Pending","OK"))))</f>
        <v/>
      </c>
    </row>
    <row r="1308">
      <c r="A1308" s="2">
        <f>Raw_Transactions!A1308</f>
        <v/>
      </c>
      <c r="B1308" s="2">
        <f>Raw_Transactions!B1308</f>
        <v/>
      </c>
      <c r="C1308" s="2">
        <f>Raw_Transactions!C1308</f>
        <v/>
      </c>
      <c r="D1308" s="3">
        <f>Raw_Transactions!D1308</f>
        <v/>
      </c>
      <c r="E1308" s="2">
        <f>Raw_Transactions!E1308</f>
        <v/>
      </c>
      <c r="F1308" s="2">
        <f>Raw_Transactions!F1308</f>
        <v/>
      </c>
      <c r="G1308" s="2">
        <f>Raw_Transactions!G1308</f>
        <v/>
      </c>
      <c r="H1308" s="2">
        <f>XLOOKUP(B1308,Raw_Risk_Profiles!$A:$A,Raw_Risk_Profiles!$B:$B,"Not Found")</f>
        <v/>
      </c>
      <c r="I1308" s="2">
        <f>XLOOKUP(B1308,Raw_Risk_Profiles!$A:$A,Raw_Risk_Profiles!$C:$C,"Missing")</f>
        <v/>
      </c>
      <c r="J1308" s="2">
        <f>XLOOKUP(B1308,Raw_Risk_Profiles!$A:$A,Raw_Risk_Profiles!$D:$D,"")</f>
        <v/>
      </c>
      <c r="K1308" s="2">
        <f>IFERROR(INDEX(Raw_Risk_Profiles!$E:$E,MATCH(B1308,Raw_Risk_Profiles!$A:$A,0)),"Unknown")</f>
        <v/>
      </c>
      <c r="L1308" s="2">
        <f>IFERROR(XLOOKUP(A1308,Raw_Alerts!$B:$B,Raw_Alerts!$A:$A),"No Alert")</f>
        <v/>
      </c>
      <c r="M1308" s="2">
        <f>IFERROR(XLOOKUP(A1308,Raw_Alerts!$B:$B,Raw_Alerts!$C:$C),"")</f>
        <v/>
      </c>
      <c r="N1308" s="2">
        <f>IFERROR(XLOOKUP(A1308,Raw_Alerts!$B:$B,Raw_Alerts!$D:$D),"")</f>
        <v/>
      </c>
      <c r="O1308" s="2">
        <f>IFERROR(XLOOKUP(A1308,Raw_Alerts!$B:$B,Raw_Alerts!$F:$F),"")</f>
        <v/>
      </c>
      <c r="P1308" s="2">
        <f>IF(H1308="Not Found","CRITICAL: No Risk Profile",IF(I1308="Missing","WARN: Missing KYC",IF(I1308="Expired","WARN: KYC Expired",IF(I1308="Pending","INFO: KYC Pending","OK"))))</f>
        <v/>
      </c>
    </row>
    <row r="1309">
      <c r="A1309" s="4">
        <f>Raw_Transactions!A1309</f>
        <v/>
      </c>
      <c r="B1309" s="4">
        <f>Raw_Transactions!B1309</f>
        <v/>
      </c>
      <c r="C1309" s="4">
        <f>Raw_Transactions!C1309</f>
        <v/>
      </c>
      <c r="D1309" s="5">
        <f>Raw_Transactions!D1309</f>
        <v/>
      </c>
      <c r="E1309" s="4">
        <f>Raw_Transactions!E1309</f>
        <v/>
      </c>
      <c r="F1309" s="4">
        <f>Raw_Transactions!F1309</f>
        <v/>
      </c>
      <c r="G1309" s="4">
        <f>Raw_Transactions!G1309</f>
        <v/>
      </c>
      <c r="H1309" s="4">
        <f>XLOOKUP(B1309,Raw_Risk_Profiles!$A:$A,Raw_Risk_Profiles!$B:$B,"Not Found")</f>
        <v/>
      </c>
      <c r="I1309" s="4">
        <f>XLOOKUP(B1309,Raw_Risk_Profiles!$A:$A,Raw_Risk_Profiles!$C:$C,"Missing")</f>
        <v/>
      </c>
      <c r="J1309" s="4">
        <f>XLOOKUP(B1309,Raw_Risk_Profiles!$A:$A,Raw_Risk_Profiles!$D:$D,"")</f>
        <v/>
      </c>
      <c r="K1309" s="4">
        <f>IFERROR(INDEX(Raw_Risk_Profiles!$E:$E,MATCH(B1309,Raw_Risk_Profiles!$A:$A,0)),"Unknown")</f>
        <v/>
      </c>
      <c r="L1309" s="4">
        <f>IFERROR(XLOOKUP(A1309,Raw_Alerts!$B:$B,Raw_Alerts!$A:$A),"No Alert")</f>
        <v/>
      </c>
      <c r="M1309" s="4">
        <f>IFERROR(XLOOKUP(A1309,Raw_Alerts!$B:$B,Raw_Alerts!$C:$C),"")</f>
        <v/>
      </c>
      <c r="N1309" s="4">
        <f>IFERROR(XLOOKUP(A1309,Raw_Alerts!$B:$B,Raw_Alerts!$D:$D),"")</f>
        <v/>
      </c>
      <c r="O1309" s="4">
        <f>IFERROR(XLOOKUP(A1309,Raw_Alerts!$B:$B,Raw_Alerts!$F:$F),"")</f>
        <v/>
      </c>
      <c r="P1309" s="4">
        <f>IF(H1309="Not Found","CRITICAL: No Risk Profile",IF(I1309="Missing","WARN: Missing KYC",IF(I1309="Expired","WARN: KYC Expired",IF(I1309="Pending","INFO: KYC Pending","OK"))))</f>
        <v/>
      </c>
    </row>
    <row r="1310">
      <c r="A1310" s="2">
        <f>Raw_Transactions!A1310</f>
        <v/>
      </c>
      <c r="B1310" s="2">
        <f>Raw_Transactions!B1310</f>
        <v/>
      </c>
      <c r="C1310" s="2">
        <f>Raw_Transactions!C1310</f>
        <v/>
      </c>
      <c r="D1310" s="3">
        <f>Raw_Transactions!D1310</f>
        <v/>
      </c>
      <c r="E1310" s="2">
        <f>Raw_Transactions!E1310</f>
        <v/>
      </c>
      <c r="F1310" s="2">
        <f>Raw_Transactions!F1310</f>
        <v/>
      </c>
      <c r="G1310" s="2">
        <f>Raw_Transactions!G1310</f>
        <v/>
      </c>
      <c r="H1310" s="2">
        <f>XLOOKUP(B1310,Raw_Risk_Profiles!$A:$A,Raw_Risk_Profiles!$B:$B,"Not Found")</f>
        <v/>
      </c>
      <c r="I1310" s="2">
        <f>XLOOKUP(B1310,Raw_Risk_Profiles!$A:$A,Raw_Risk_Profiles!$C:$C,"Missing")</f>
        <v/>
      </c>
      <c r="J1310" s="2">
        <f>XLOOKUP(B1310,Raw_Risk_Profiles!$A:$A,Raw_Risk_Profiles!$D:$D,"")</f>
        <v/>
      </c>
      <c r="K1310" s="2">
        <f>IFERROR(INDEX(Raw_Risk_Profiles!$E:$E,MATCH(B1310,Raw_Risk_Profiles!$A:$A,0)),"Unknown")</f>
        <v/>
      </c>
      <c r="L1310" s="2">
        <f>IFERROR(XLOOKUP(A1310,Raw_Alerts!$B:$B,Raw_Alerts!$A:$A),"No Alert")</f>
        <v/>
      </c>
      <c r="M1310" s="2">
        <f>IFERROR(XLOOKUP(A1310,Raw_Alerts!$B:$B,Raw_Alerts!$C:$C),"")</f>
        <v/>
      </c>
      <c r="N1310" s="2">
        <f>IFERROR(XLOOKUP(A1310,Raw_Alerts!$B:$B,Raw_Alerts!$D:$D),"")</f>
        <v/>
      </c>
      <c r="O1310" s="2">
        <f>IFERROR(XLOOKUP(A1310,Raw_Alerts!$B:$B,Raw_Alerts!$F:$F),"")</f>
        <v/>
      </c>
      <c r="P1310" s="2">
        <f>IF(H1310="Not Found","CRITICAL: No Risk Profile",IF(I1310="Missing","WARN: Missing KYC",IF(I1310="Expired","WARN: KYC Expired",IF(I1310="Pending","INFO: KYC Pending","OK"))))</f>
        <v/>
      </c>
    </row>
    <row r="1311">
      <c r="A1311" s="4">
        <f>Raw_Transactions!A1311</f>
        <v/>
      </c>
      <c r="B1311" s="4">
        <f>Raw_Transactions!B1311</f>
        <v/>
      </c>
      <c r="C1311" s="4">
        <f>Raw_Transactions!C1311</f>
        <v/>
      </c>
      <c r="D1311" s="5">
        <f>Raw_Transactions!D1311</f>
        <v/>
      </c>
      <c r="E1311" s="4">
        <f>Raw_Transactions!E1311</f>
        <v/>
      </c>
      <c r="F1311" s="4">
        <f>Raw_Transactions!F1311</f>
        <v/>
      </c>
      <c r="G1311" s="4">
        <f>Raw_Transactions!G1311</f>
        <v/>
      </c>
      <c r="H1311" s="4">
        <f>XLOOKUP(B1311,Raw_Risk_Profiles!$A:$A,Raw_Risk_Profiles!$B:$B,"Not Found")</f>
        <v/>
      </c>
      <c r="I1311" s="4">
        <f>XLOOKUP(B1311,Raw_Risk_Profiles!$A:$A,Raw_Risk_Profiles!$C:$C,"Missing")</f>
        <v/>
      </c>
      <c r="J1311" s="4">
        <f>XLOOKUP(B1311,Raw_Risk_Profiles!$A:$A,Raw_Risk_Profiles!$D:$D,"")</f>
        <v/>
      </c>
      <c r="K1311" s="4">
        <f>IFERROR(INDEX(Raw_Risk_Profiles!$E:$E,MATCH(B1311,Raw_Risk_Profiles!$A:$A,0)),"Unknown")</f>
        <v/>
      </c>
      <c r="L1311" s="4">
        <f>IFERROR(XLOOKUP(A1311,Raw_Alerts!$B:$B,Raw_Alerts!$A:$A),"No Alert")</f>
        <v/>
      </c>
      <c r="M1311" s="4">
        <f>IFERROR(XLOOKUP(A1311,Raw_Alerts!$B:$B,Raw_Alerts!$C:$C),"")</f>
        <v/>
      </c>
      <c r="N1311" s="4">
        <f>IFERROR(XLOOKUP(A1311,Raw_Alerts!$B:$B,Raw_Alerts!$D:$D),"")</f>
        <v/>
      </c>
      <c r="O1311" s="4">
        <f>IFERROR(XLOOKUP(A1311,Raw_Alerts!$B:$B,Raw_Alerts!$F:$F),"")</f>
        <v/>
      </c>
      <c r="P1311" s="4">
        <f>IF(H1311="Not Found","CRITICAL: No Risk Profile",IF(I1311="Missing","WARN: Missing KYC",IF(I1311="Expired","WARN: KYC Expired",IF(I1311="Pending","INFO: KYC Pending","OK"))))</f>
        <v/>
      </c>
    </row>
    <row r="1312">
      <c r="A1312" s="2">
        <f>Raw_Transactions!A1312</f>
        <v/>
      </c>
      <c r="B1312" s="2">
        <f>Raw_Transactions!B1312</f>
        <v/>
      </c>
      <c r="C1312" s="2">
        <f>Raw_Transactions!C1312</f>
        <v/>
      </c>
      <c r="D1312" s="3">
        <f>Raw_Transactions!D1312</f>
        <v/>
      </c>
      <c r="E1312" s="2">
        <f>Raw_Transactions!E1312</f>
        <v/>
      </c>
      <c r="F1312" s="2">
        <f>Raw_Transactions!F1312</f>
        <v/>
      </c>
      <c r="G1312" s="2">
        <f>Raw_Transactions!G1312</f>
        <v/>
      </c>
      <c r="H1312" s="2">
        <f>XLOOKUP(B1312,Raw_Risk_Profiles!$A:$A,Raw_Risk_Profiles!$B:$B,"Not Found")</f>
        <v/>
      </c>
      <c r="I1312" s="2">
        <f>XLOOKUP(B1312,Raw_Risk_Profiles!$A:$A,Raw_Risk_Profiles!$C:$C,"Missing")</f>
        <v/>
      </c>
      <c r="J1312" s="2">
        <f>XLOOKUP(B1312,Raw_Risk_Profiles!$A:$A,Raw_Risk_Profiles!$D:$D,"")</f>
        <v/>
      </c>
      <c r="K1312" s="2">
        <f>IFERROR(INDEX(Raw_Risk_Profiles!$E:$E,MATCH(B1312,Raw_Risk_Profiles!$A:$A,0)),"Unknown")</f>
        <v/>
      </c>
      <c r="L1312" s="2">
        <f>IFERROR(XLOOKUP(A1312,Raw_Alerts!$B:$B,Raw_Alerts!$A:$A),"No Alert")</f>
        <v/>
      </c>
      <c r="M1312" s="2">
        <f>IFERROR(XLOOKUP(A1312,Raw_Alerts!$B:$B,Raw_Alerts!$C:$C),"")</f>
        <v/>
      </c>
      <c r="N1312" s="2">
        <f>IFERROR(XLOOKUP(A1312,Raw_Alerts!$B:$B,Raw_Alerts!$D:$D),"")</f>
        <v/>
      </c>
      <c r="O1312" s="2">
        <f>IFERROR(XLOOKUP(A1312,Raw_Alerts!$B:$B,Raw_Alerts!$F:$F),"")</f>
        <v/>
      </c>
      <c r="P1312" s="2">
        <f>IF(H1312="Not Found","CRITICAL: No Risk Profile",IF(I1312="Missing","WARN: Missing KYC",IF(I1312="Expired","WARN: KYC Expired",IF(I1312="Pending","INFO: KYC Pending","OK"))))</f>
        <v/>
      </c>
    </row>
    <row r="1313">
      <c r="A1313" s="4">
        <f>Raw_Transactions!A1313</f>
        <v/>
      </c>
      <c r="B1313" s="4">
        <f>Raw_Transactions!B1313</f>
        <v/>
      </c>
      <c r="C1313" s="4">
        <f>Raw_Transactions!C1313</f>
        <v/>
      </c>
      <c r="D1313" s="5">
        <f>Raw_Transactions!D1313</f>
        <v/>
      </c>
      <c r="E1313" s="4">
        <f>Raw_Transactions!E1313</f>
        <v/>
      </c>
      <c r="F1313" s="4">
        <f>Raw_Transactions!F1313</f>
        <v/>
      </c>
      <c r="G1313" s="4">
        <f>Raw_Transactions!G1313</f>
        <v/>
      </c>
      <c r="H1313" s="4">
        <f>XLOOKUP(B1313,Raw_Risk_Profiles!$A:$A,Raw_Risk_Profiles!$B:$B,"Not Found")</f>
        <v/>
      </c>
      <c r="I1313" s="4">
        <f>XLOOKUP(B1313,Raw_Risk_Profiles!$A:$A,Raw_Risk_Profiles!$C:$C,"Missing")</f>
        <v/>
      </c>
      <c r="J1313" s="4">
        <f>XLOOKUP(B1313,Raw_Risk_Profiles!$A:$A,Raw_Risk_Profiles!$D:$D,"")</f>
        <v/>
      </c>
      <c r="K1313" s="4">
        <f>IFERROR(INDEX(Raw_Risk_Profiles!$E:$E,MATCH(B1313,Raw_Risk_Profiles!$A:$A,0)),"Unknown")</f>
        <v/>
      </c>
      <c r="L1313" s="4">
        <f>IFERROR(XLOOKUP(A1313,Raw_Alerts!$B:$B,Raw_Alerts!$A:$A),"No Alert")</f>
        <v/>
      </c>
      <c r="M1313" s="4">
        <f>IFERROR(XLOOKUP(A1313,Raw_Alerts!$B:$B,Raw_Alerts!$C:$C),"")</f>
        <v/>
      </c>
      <c r="N1313" s="4">
        <f>IFERROR(XLOOKUP(A1313,Raw_Alerts!$B:$B,Raw_Alerts!$D:$D),"")</f>
        <v/>
      </c>
      <c r="O1313" s="4">
        <f>IFERROR(XLOOKUP(A1313,Raw_Alerts!$B:$B,Raw_Alerts!$F:$F),"")</f>
        <v/>
      </c>
      <c r="P1313" s="4">
        <f>IF(H1313="Not Found","CRITICAL: No Risk Profile",IF(I1313="Missing","WARN: Missing KYC",IF(I1313="Expired","WARN: KYC Expired",IF(I1313="Pending","INFO: KYC Pending","OK"))))</f>
        <v/>
      </c>
    </row>
    <row r="1314">
      <c r="A1314" s="2">
        <f>Raw_Transactions!A1314</f>
        <v/>
      </c>
      <c r="B1314" s="2">
        <f>Raw_Transactions!B1314</f>
        <v/>
      </c>
      <c r="C1314" s="2">
        <f>Raw_Transactions!C1314</f>
        <v/>
      </c>
      <c r="D1314" s="3">
        <f>Raw_Transactions!D1314</f>
        <v/>
      </c>
      <c r="E1314" s="2">
        <f>Raw_Transactions!E1314</f>
        <v/>
      </c>
      <c r="F1314" s="2">
        <f>Raw_Transactions!F1314</f>
        <v/>
      </c>
      <c r="G1314" s="2">
        <f>Raw_Transactions!G1314</f>
        <v/>
      </c>
      <c r="H1314" s="2">
        <f>XLOOKUP(B1314,Raw_Risk_Profiles!$A:$A,Raw_Risk_Profiles!$B:$B,"Not Found")</f>
        <v/>
      </c>
      <c r="I1314" s="2">
        <f>XLOOKUP(B1314,Raw_Risk_Profiles!$A:$A,Raw_Risk_Profiles!$C:$C,"Missing")</f>
        <v/>
      </c>
      <c r="J1314" s="2">
        <f>XLOOKUP(B1314,Raw_Risk_Profiles!$A:$A,Raw_Risk_Profiles!$D:$D,"")</f>
        <v/>
      </c>
      <c r="K1314" s="2">
        <f>IFERROR(INDEX(Raw_Risk_Profiles!$E:$E,MATCH(B1314,Raw_Risk_Profiles!$A:$A,0)),"Unknown")</f>
        <v/>
      </c>
      <c r="L1314" s="2">
        <f>IFERROR(XLOOKUP(A1314,Raw_Alerts!$B:$B,Raw_Alerts!$A:$A),"No Alert")</f>
        <v/>
      </c>
      <c r="M1314" s="2">
        <f>IFERROR(XLOOKUP(A1314,Raw_Alerts!$B:$B,Raw_Alerts!$C:$C),"")</f>
        <v/>
      </c>
      <c r="N1314" s="2">
        <f>IFERROR(XLOOKUP(A1314,Raw_Alerts!$B:$B,Raw_Alerts!$D:$D),"")</f>
        <v/>
      </c>
      <c r="O1314" s="2">
        <f>IFERROR(XLOOKUP(A1314,Raw_Alerts!$B:$B,Raw_Alerts!$F:$F),"")</f>
        <v/>
      </c>
      <c r="P1314" s="2">
        <f>IF(H1314="Not Found","CRITICAL: No Risk Profile",IF(I1314="Missing","WARN: Missing KYC",IF(I1314="Expired","WARN: KYC Expired",IF(I1314="Pending","INFO: KYC Pending","OK"))))</f>
        <v/>
      </c>
    </row>
    <row r="1315">
      <c r="A1315" s="4">
        <f>Raw_Transactions!A1315</f>
        <v/>
      </c>
      <c r="B1315" s="4">
        <f>Raw_Transactions!B1315</f>
        <v/>
      </c>
      <c r="C1315" s="4">
        <f>Raw_Transactions!C1315</f>
        <v/>
      </c>
      <c r="D1315" s="5">
        <f>Raw_Transactions!D1315</f>
        <v/>
      </c>
      <c r="E1315" s="4">
        <f>Raw_Transactions!E1315</f>
        <v/>
      </c>
      <c r="F1315" s="4">
        <f>Raw_Transactions!F1315</f>
        <v/>
      </c>
      <c r="G1315" s="4">
        <f>Raw_Transactions!G1315</f>
        <v/>
      </c>
      <c r="H1315" s="4">
        <f>XLOOKUP(B1315,Raw_Risk_Profiles!$A:$A,Raw_Risk_Profiles!$B:$B,"Not Found")</f>
        <v/>
      </c>
      <c r="I1315" s="4">
        <f>XLOOKUP(B1315,Raw_Risk_Profiles!$A:$A,Raw_Risk_Profiles!$C:$C,"Missing")</f>
        <v/>
      </c>
      <c r="J1315" s="4">
        <f>XLOOKUP(B1315,Raw_Risk_Profiles!$A:$A,Raw_Risk_Profiles!$D:$D,"")</f>
        <v/>
      </c>
      <c r="K1315" s="4">
        <f>IFERROR(INDEX(Raw_Risk_Profiles!$E:$E,MATCH(B1315,Raw_Risk_Profiles!$A:$A,0)),"Unknown")</f>
        <v/>
      </c>
      <c r="L1315" s="4">
        <f>IFERROR(XLOOKUP(A1315,Raw_Alerts!$B:$B,Raw_Alerts!$A:$A),"No Alert")</f>
        <v/>
      </c>
      <c r="M1315" s="4">
        <f>IFERROR(XLOOKUP(A1315,Raw_Alerts!$B:$B,Raw_Alerts!$C:$C),"")</f>
        <v/>
      </c>
      <c r="N1315" s="4">
        <f>IFERROR(XLOOKUP(A1315,Raw_Alerts!$B:$B,Raw_Alerts!$D:$D),"")</f>
        <v/>
      </c>
      <c r="O1315" s="4">
        <f>IFERROR(XLOOKUP(A1315,Raw_Alerts!$B:$B,Raw_Alerts!$F:$F),"")</f>
        <v/>
      </c>
      <c r="P1315" s="4">
        <f>IF(H1315="Not Found","CRITICAL: No Risk Profile",IF(I1315="Missing","WARN: Missing KYC",IF(I1315="Expired","WARN: KYC Expired",IF(I1315="Pending","INFO: KYC Pending","OK"))))</f>
        <v/>
      </c>
    </row>
    <row r="1316">
      <c r="A1316" s="2">
        <f>Raw_Transactions!A1316</f>
        <v/>
      </c>
      <c r="B1316" s="2">
        <f>Raw_Transactions!B1316</f>
        <v/>
      </c>
      <c r="C1316" s="2">
        <f>Raw_Transactions!C1316</f>
        <v/>
      </c>
      <c r="D1316" s="3">
        <f>Raw_Transactions!D1316</f>
        <v/>
      </c>
      <c r="E1316" s="2">
        <f>Raw_Transactions!E1316</f>
        <v/>
      </c>
      <c r="F1316" s="2">
        <f>Raw_Transactions!F1316</f>
        <v/>
      </c>
      <c r="G1316" s="2">
        <f>Raw_Transactions!G1316</f>
        <v/>
      </c>
      <c r="H1316" s="2">
        <f>XLOOKUP(B1316,Raw_Risk_Profiles!$A:$A,Raw_Risk_Profiles!$B:$B,"Not Found")</f>
        <v/>
      </c>
      <c r="I1316" s="2">
        <f>XLOOKUP(B1316,Raw_Risk_Profiles!$A:$A,Raw_Risk_Profiles!$C:$C,"Missing")</f>
        <v/>
      </c>
      <c r="J1316" s="2">
        <f>XLOOKUP(B1316,Raw_Risk_Profiles!$A:$A,Raw_Risk_Profiles!$D:$D,"")</f>
        <v/>
      </c>
      <c r="K1316" s="2">
        <f>IFERROR(INDEX(Raw_Risk_Profiles!$E:$E,MATCH(B1316,Raw_Risk_Profiles!$A:$A,0)),"Unknown")</f>
        <v/>
      </c>
      <c r="L1316" s="2">
        <f>IFERROR(XLOOKUP(A1316,Raw_Alerts!$B:$B,Raw_Alerts!$A:$A),"No Alert")</f>
        <v/>
      </c>
      <c r="M1316" s="2">
        <f>IFERROR(XLOOKUP(A1316,Raw_Alerts!$B:$B,Raw_Alerts!$C:$C),"")</f>
        <v/>
      </c>
      <c r="N1316" s="2">
        <f>IFERROR(XLOOKUP(A1316,Raw_Alerts!$B:$B,Raw_Alerts!$D:$D),"")</f>
        <v/>
      </c>
      <c r="O1316" s="2">
        <f>IFERROR(XLOOKUP(A1316,Raw_Alerts!$B:$B,Raw_Alerts!$F:$F),"")</f>
        <v/>
      </c>
      <c r="P1316" s="2">
        <f>IF(H1316="Not Found","CRITICAL: No Risk Profile",IF(I1316="Missing","WARN: Missing KYC",IF(I1316="Expired","WARN: KYC Expired",IF(I1316="Pending","INFO: KYC Pending","OK"))))</f>
        <v/>
      </c>
    </row>
    <row r="1317">
      <c r="A1317" s="4">
        <f>Raw_Transactions!A1317</f>
        <v/>
      </c>
      <c r="B1317" s="4">
        <f>Raw_Transactions!B1317</f>
        <v/>
      </c>
      <c r="C1317" s="4">
        <f>Raw_Transactions!C1317</f>
        <v/>
      </c>
      <c r="D1317" s="5">
        <f>Raw_Transactions!D1317</f>
        <v/>
      </c>
      <c r="E1317" s="4">
        <f>Raw_Transactions!E1317</f>
        <v/>
      </c>
      <c r="F1317" s="4">
        <f>Raw_Transactions!F1317</f>
        <v/>
      </c>
      <c r="G1317" s="4">
        <f>Raw_Transactions!G1317</f>
        <v/>
      </c>
      <c r="H1317" s="4">
        <f>XLOOKUP(B1317,Raw_Risk_Profiles!$A:$A,Raw_Risk_Profiles!$B:$B,"Not Found")</f>
        <v/>
      </c>
      <c r="I1317" s="4">
        <f>XLOOKUP(B1317,Raw_Risk_Profiles!$A:$A,Raw_Risk_Profiles!$C:$C,"Missing")</f>
        <v/>
      </c>
      <c r="J1317" s="4">
        <f>XLOOKUP(B1317,Raw_Risk_Profiles!$A:$A,Raw_Risk_Profiles!$D:$D,"")</f>
        <v/>
      </c>
      <c r="K1317" s="4">
        <f>IFERROR(INDEX(Raw_Risk_Profiles!$E:$E,MATCH(B1317,Raw_Risk_Profiles!$A:$A,0)),"Unknown")</f>
        <v/>
      </c>
      <c r="L1317" s="4">
        <f>IFERROR(XLOOKUP(A1317,Raw_Alerts!$B:$B,Raw_Alerts!$A:$A),"No Alert")</f>
        <v/>
      </c>
      <c r="M1317" s="4">
        <f>IFERROR(XLOOKUP(A1317,Raw_Alerts!$B:$B,Raw_Alerts!$C:$C),"")</f>
        <v/>
      </c>
      <c r="N1317" s="4">
        <f>IFERROR(XLOOKUP(A1317,Raw_Alerts!$B:$B,Raw_Alerts!$D:$D),"")</f>
        <v/>
      </c>
      <c r="O1317" s="4">
        <f>IFERROR(XLOOKUP(A1317,Raw_Alerts!$B:$B,Raw_Alerts!$F:$F),"")</f>
        <v/>
      </c>
      <c r="P1317" s="4">
        <f>IF(H1317="Not Found","CRITICAL: No Risk Profile",IF(I1317="Missing","WARN: Missing KYC",IF(I1317="Expired","WARN: KYC Expired",IF(I1317="Pending","INFO: KYC Pending","OK"))))</f>
        <v/>
      </c>
    </row>
    <row r="1318">
      <c r="A1318" s="2">
        <f>Raw_Transactions!A1318</f>
        <v/>
      </c>
      <c r="B1318" s="2">
        <f>Raw_Transactions!B1318</f>
        <v/>
      </c>
      <c r="C1318" s="2">
        <f>Raw_Transactions!C1318</f>
        <v/>
      </c>
      <c r="D1318" s="3">
        <f>Raw_Transactions!D1318</f>
        <v/>
      </c>
      <c r="E1318" s="2">
        <f>Raw_Transactions!E1318</f>
        <v/>
      </c>
      <c r="F1318" s="2">
        <f>Raw_Transactions!F1318</f>
        <v/>
      </c>
      <c r="G1318" s="2">
        <f>Raw_Transactions!G1318</f>
        <v/>
      </c>
      <c r="H1318" s="2">
        <f>XLOOKUP(B1318,Raw_Risk_Profiles!$A:$A,Raw_Risk_Profiles!$B:$B,"Not Found")</f>
        <v/>
      </c>
      <c r="I1318" s="2">
        <f>XLOOKUP(B1318,Raw_Risk_Profiles!$A:$A,Raw_Risk_Profiles!$C:$C,"Missing")</f>
        <v/>
      </c>
      <c r="J1318" s="2">
        <f>XLOOKUP(B1318,Raw_Risk_Profiles!$A:$A,Raw_Risk_Profiles!$D:$D,"")</f>
        <v/>
      </c>
      <c r="K1318" s="2">
        <f>IFERROR(INDEX(Raw_Risk_Profiles!$E:$E,MATCH(B1318,Raw_Risk_Profiles!$A:$A,0)),"Unknown")</f>
        <v/>
      </c>
      <c r="L1318" s="2">
        <f>IFERROR(XLOOKUP(A1318,Raw_Alerts!$B:$B,Raw_Alerts!$A:$A),"No Alert")</f>
        <v/>
      </c>
      <c r="M1318" s="2">
        <f>IFERROR(XLOOKUP(A1318,Raw_Alerts!$B:$B,Raw_Alerts!$C:$C),"")</f>
        <v/>
      </c>
      <c r="N1318" s="2">
        <f>IFERROR(XLOOKUP(A1318,Raw_Alerts!$B:$B,Raw_Alerts!$D:$D),"")</f>
        <v/>
      </c>
      <c r="O1318" s="2">
        <f>IFERROR(XLOOKUP(A1318,Raw_Alerts!$B:$B,Raw_Alerts!$F:$F),"")</f>
        <v/>
      </c>
      <c r="P1318" s="2">
        <f>IF(H1318="Not Found","CRITICAL: No Risk Profile",IF(I1318="Missing","WARN: Missing KYC",IF(I1318="Expired","WARN: KYC Expired",IF(I1318="Pending","INFO: KYC Pending","OK"))))</f>
        <v/>
      </c>
    </row>
    <row r="1319">
      <c r="A1319" s="4">
        <f>Raw_Transactions!A1319</f>
        <v/>
      </c>
      <c r="B1319" s="4">
        <f>Raw_Transactions!B1319</f>
        <v/>
      </c>
      <c r="C1319" s="4">
        <f>Raw_Transactions!C1319</f>
        <v/>
      </c>
      <c r="D1319" s="5">
        <f>Raw_Transactions!D1319</f>
        <v/>
      </c>
      <c r="E1319" s="4">
        <f>Raw_Transactions!E1319</f>
        <v/>
      </c>
      <c r="F1319" s="4">
        <f>Raw_Transactions!F1319</f>
        <v/>
      </c>
      <c r="G1319" s="4">
        <f>Raw_Transactions!G1319</f>
        <v/>
      </c>
      <c r="H1319" s="4">
        <f>XLOOKUP(B1319,Raw_Risk_Profiles!$A:$A,Raw_Risk_Profiles!$B:$B,"Not Found")</f>
        <v/>
      </c>
      <c r="I1319" s="4">
        <f>XLOOKUP(B1319,Raw_Risk_Profiles!$A:$A,Raw_Risk_Profiles!$C:$C,"Missing")</f>
        <v/>
      </c>
      <c r="J1319" s="4">
        <f>XLOOKUP(B1319,Raw_Risk_Profiles!$A:$A,Raw_Risk_Profiles!$D:$D,"")</f>
        <v/>
      </c>
      <c r="K1319" s="4">
        <f>IFERROR(INDEX(Raw_Risk_Profiles!$E:$E,MATCH(B1319,Raw_Risk_Profiles!$A:$A,0)),"Unknown")</f>
        <v/>
      </c>
      <c r="L1319" s="4">
        <f>IFERROR(XLOOKUP(A1319,Raw_Alerts!$B:$B,Raw_Alerts!$A:$A),"No Alert")</f>
        <v/>
      </c>
      <c r="M1319" s="4">
        <f>IFERROR(XLOOKUP(A1319,Raw_Alerts!$B:$B,Raw_Alerts!$C:$C),"")</f>
        <v/>
      </c>
      <c r="N1319" s="4">
        <f>IFERROR(XLOOKUP(A1319,Raw_Alerts!$B:$B,Raw_Alerts!$D:$D),"")</f>
        <v/>
      </c>
      <c r="O1319" s="4">
        <f>IFERROR(XLOOKUP(A1319,Raw_Alerts!$B:$B,Raw_Alerts!$F:$F),"")</f>
        <v/>
      </c>
      <c r="P1319" s="4">
        <f>IF(H1319="Not Found","CRITICAL: No Risk Profile",IF(I1319="Missing","WARN: Missing KYC",IF(I1319="Expired","WARN: KYC Expired",IF(I1319="Pending","INFO: KYC Pending","OK"))))</f>
        <v/>
      </c>
    </row>
    <row r="1320">
      <c r="A1320" s="2">
        <f>Raw_Transactions!A1320</f>
        <v/>
      </c>
      <c r="B1320" s="2">
        <f>Raw_Transactions!B1320</f>
        <v/>
      </c>
      <c r="C1320" s="2">
        <f>Raw_Transactions!C1320</f>
        <v/>
      </c>
      <c r="D1320" s="3">
        <f>Raw_Transactions!D1320</f>
        <v/>
      </c>
      <c r="E1320" s="2">
        <f>Raw_Transactions!E1320</f>
        <v/>
      </c>
      <c r="F1320" s="2">
        <f>Raw_Transactions!F1320</f>
        <v/>
      </c>
      <c r="G1320" s="2">
        <f>Raw_Transactions!G1320</f>
        <v/>
      </c>
      <c r="H1320" s="2">
        <f>XLOOKUP(B1320,Raw_Risk_Profiles!$A:$A,Raw_Risk_Profiles!$B:$B,"Not Found")</f>
        <v/>
      </c>
      <c r="I1320" s="2">
        <f>XLOOKUP(B1320,Raw_Risk_Profiles!$A:$A,Raw_Risk_Profiles!$C:$C,"Missing")</f>
        <v/>
      </c>
      <c r="J1320" s="2">
        <f>XLOOKUP(B1320,Raw_Risk_Profiles!$A:$A,Raw_Risk_Profiles!$D:$D,"")</f>
        <v/>
      </c>
      <c r="K1320" s="2">
        <f>IFERROR(INDEX(Raw_Risk_Profiles!$E:$E,MATCH(B1320,Raw_Risk_Profiles!$A:$A,0)),"Unknown")</f>
        <v/>
      </c>
      <c r="L1320" s="2">
        <f>IFERROR(XLOOKUP(A1320,Raw_Alerts!$B:$B,Raw_Alerts!$A:$A),"No Alert")</f>
        <v/>
      </c>
      <c r="M1320" s="2">
        <f>IFERROR(XLOOKUP(A1320,Raw_Alerts!$B:$B,Raw_Alerts!$C:$C),"")</f>
        <v/>
      </c>
      <c r="N1320" s="2">
        <f>IFERROR(XLOOKUP(A1320,Raw_Alerts!$B:$B,Raw_Alerts!$D:$D),"")</f>
        <v/>
      </c>
      <c r="O1320" s="2">
        <f>IFERROR(XLOOKUP(A1320,Raw_Alerts!$B:$B,Raw_Alerts!$F:$F),"")</f>
        <v/>
      </c>
      <c r="P1320" s="2">
        <f>IF(H1320="Not Found","CRITICAL: No Risk Profile",IF(I1320="Missing","WARN: Missing KYC",IF(I1320="Expired","WARN: KYC Expired",IF(I1320="Pending","INFO: KYC Pending","OK"))))</f>
        <v/>
      </c>
    </row>
    <row r="1321">
      <c r="A1321" s="4">
        <f>Raw_Transactions!A1321</f>
        <v/>
      </c>
      <c r="B1321" s="4">
        <f>Raw_Transactions!B1321</f>
        <v/>
      </c>
      <c r="C1321" s="4">
        <f>Raw_Transactions!C1321</f>
        <v/>
      </c>
      <c r="D1321" s="5">
        <f>Raw_Transactions!D1321</f>
        <v/>
      </c>
      <c r="E1321" s="4">
        <f>Raw_Transactions!E1321</f>
        <v/>
      </c>
      <c r="F1321" s="4">
        <f>Raw_Transactions!F1321</f>
        <v/>
      </c>
      <c r="G1321" s="4">
        <f>Raw_Transactions!G1321</f>
        <v/>
      </c>
      <c r="H1321" s="4">
        <f>XLOOKUP(B1321,Raw_Risk_Profiles!$A:$A,Raw_Risk_Profiles!$B:$B,"Not Found")</f>
        <v/>
      </c>
      <c r="I1321" s="4">
        <f>XLOOKUP(B1321,Raw_Risk_Profiles!$A:$A,Raw_Risk_Profiles!$C:$C,"Missing")</f>
        <v/>
      </c>
      <c r="J1321" s="4">
        <f>XLOOKUP(B1321,Raw_Risk_Profiles!$A:$A,Raw_Risk_Profiles!$D:$D,"")</f>
        <v/>
      </c>
      <c r="K1321" s="4">
        <f>IFERROR(INDEX(Raw_Risk_Profiles!$E:$E,MATCH(B1321,Raw_Risk_Profiles!$A:$A,0)),"Unknown")</f>
        <v/>
      </c>
      <c r="L1321" s="4">
        <f>IFERROR(XLOOKUP(A1321,Raw_Alerts!$B:$B,Raw_Alerts!$A:$A),"No Alert")</f>
        <v/>
      </c>
      <c r="M1321" s="4">
        <f>IFERROR(XLOOKUP(A1321,Raw_Alerts!$B:$B,Raw_Alerts!$C:$C),"")</f>
        <v/>
      </c>
      <c r="N1321" s="4">
        <f>IFERROR(XLOOKUP(A1321,Raw_Alerts!$B:$B,Raw_Alerts!$D:$D),"")</f>
        <v/>
      </c>
      <c r="O1321" s="4">
        <f>IFERROR(XLOOKUP(A1321,Raw_Alerts!$B:$B,Raw_Alerts!$F:$F),"")</f>
        <v/>
      </c>
      <c r="P1321" s="4">
        <f>IF(H1321="Not Found","CRITICAL: No Risk Profile",IF(I1321="Missing","WARN: Missing KYC",IF(I1321="Expired","WARN: KYC Expired",IF(I1321="Pending","INFO: KYC Pending","OK"))))</f>
        <v/>
      </c>
    </row>
    <row r="1322">
      <c r="A1322" s="2">
        <f>Raw_Transactions!A1322</f>
        <v/>
      </c>
      <c r="B1322" s="2">
        <f>Raw_Transactions!B1322</f>
        <v/>
      </c>
      <c r="C1322" s="2">
        <f>Raw_Transactions!C1322</f>
        <v/>
      </c>
      <c r="D1322" s="3">
        <f>Raw_Transactions!D1322</f>
        <v/>
      </c>
      <c r="E1322" s="2">
        <f>Raw_Transactions!E1322</f>
        <v/>
      </c>
      <c r="F1322" s="2">
        <f>Raw_Transactions!F1322</f>
        <v/>
      </c>
      <c r="G1322" s="2">
        <f>Raw_Transactions!G1322</f>
        <v/>
      </c>
      <c r="H1322" s="2">
        <f>XLOOKUP(B1322,Raw_Risk_Profiles!$A:$A,Raw_Risk_Profiles!$B:$B,"Not Found")</f>
        <v/>
      </c>
      <c r="I1322" s="2">
        <f>XLOOKUP(B1322,Raw_Risk_Profiles!$A:$A,Raw_Risk_Profiles!$C:$C,"Missing")</f>
        <v/>
      </c>
      <c r="J1322" s="2">
        <f>XLOOKUP(B1322,Raw_Risk_Profiles!$A:$A,Raw_Risk_Profiles!$D:$D,"")</f>
        <v/>
      </c>
      <c r="K1322" s="2">
        <f>IFERROR(INDEX(Raw_Risk_Profiles!$E:$E,MATCH(B1322,Raw_Risk_Profiles!$A:$A,0)),"Unknown")</f>
        <v/>
      </c>
      <c r="L1322" s="2">
        <f>IFERROR(XLOOKUP(A1322,Raw_Alerts!$B:$B,Raw_Alerts!$A:$A),"No Alert")</f>
        <v/>
      </c>
      <c r="M1322" s="2">
        <f>IFERROR(XLOOKUP(A1322,Raw_Alerts!$B:$B,Raw_Alerts!$C:$C),"")</f>
        <v/>
      </c>
      <c r="N1322" s="2">
        <f>IFERROR(XLOOKUP(A1322,Raw_Alerts!$B:$B,Raw_Alerts!$D:$D),"")</f>
        <v/>
      </c>
      <c r="O1322" s="2">
        <f>IFERROR(XLOOKUP(A1322,Raw_Alerts!$B:$B,Raw_Alerts!$F:$F),"")</f>
        <v/>
      </c>
      <c r="P1322" s="2">
        <f>IF(H1322="Not Found","CRITICAL: No Risk Profile",IF(I1322="Missing","WARN: Missing KYC",IF(I1322="Expired","WARN: KYC Expired",IF(I1322="Pending","INFO: KYC Pending","OK"))))</f>
        <v/>
      </c>
    </row>
    <row r="1323">
      <c r="A1323" s="4">
        <f>Raw_Transactions!A1323</f>
        <v/>
      </c>
      <c r="B1323" s="4">
        <f>Raw_Transactions!B1323</f>
        <v/>
      </c>
      <c r="C1323" s="4">
        <f>Raw_Transactions!C1323</f>
        <v/>
      </c>
      <c r="D1323" s="5">
        <f>Raw_Transactions!D1323</f>
        <v/>
      </c>
      <c r="E1323" s="4">
        <f>Raw_Transactions!E1323</f>
        <v/>
      </c>
      <c r="F1323" s="4">
        <f>Raw_Transactions!F1323</f>
        <v/>
      </c>
      <c r="G1323" s="4">
        <f>Raw_Transactions!G1323</f>
        <v/>
      </c>
      <c r="H1323" s="4">
        <f>XLOOKUP(B1323,Raw_Risk_Profiles!$A:$A,Raw_Risk_Profiles!$B:$B,"Not Found")</f>
        <v/>
      </c>
      <c r="I1323" s="4">
        <f>XLOOKUP(B1323,Raw_Risk_Profiles!$A:$A,Raw_Risk_Profiles!$C:$C,"Missing")</f>
        <v/>
      </c>
      <c r="J1323" s="4">
        <f>XLOOKUP(B1323,Raw_Risk_Profiles!$A:$A,Raw_Risk_Profiles!$D:$D,"")</f>
        <v/>
      </c>
      <c r="K1323" s="4">
        <f>IFERROR(INDEX(Raw_Risk_Profiles!$E:$E,MATCH(B1323,Raw_Risk_Profiles!$A:$A,0)),"Unknown")</f>
        <v/>
      </c>
      <c r="L1323" s="4">
        <f>IFERROR(XLOOKUP(A1323,Raw_Alerts!$B:$B,Raw_Alerts!$A:$A),"No Alert")</f>
        <v/>
      </c>
      <c r="M1323" s="4">
        <f>IFERROR(XLOOKUP(A1323,Raw_Alerts!$B:$B,Raw_Alerts!$C:$C),"")</f>
        <v/>
      </c>
      <c r="N1323" s="4">
        <f>IFERROR(XLOOKUP(A1323,Raw_Alerts!$B:$B,Raw_Alerts!$D:$D),"")</f>
        <v/>
      </c>
      <c r="O1323" s="4">
        <f>IFERROR(XLOOKUP(A1323,Raw_Alerts!$B:$B,Raw_Alerts!$F:$F),"")</f>
        <v/>
      </c>
      <c r="P1323" s="4">
        <f>IF(H1323="Not Found","CRITICAL: No Risk Profile",IF(I1323="Missing","WARN: Missing KYC",IF(I1323="Expired","WARN: KYC Expired",IF(I1323="Pending","INFO: KYC Pending","OK"))))</f>
        <v/>
      </c>
    </row>
    <row r="1324">
      <c r="A1324" s="2">
        <f>Raw_Transactions!A1324</f>
        <v/>
      </c>
      <c r="B1324" s="2">
        <f>Raw_Transactions!B1324</f>
        <v/>
      </c>
      <c r="C1324" s="2">
        <f>Raw_Transactions!C1324</f>
        <v/>
      </c>
      <c r="D1324" s="3">
        <f>Raw_Transactions!D1324</f>
        <v/>
      </c>
      <c r="E1324" s="2">
        <f>Raw_Transactions!E1324</f>
        <v/>
      </c>
      <c r="F1324" s="2">
        <f>Raw_Transactions!F1324</f>
        <v/>
      </c>
      <c r="G1324" s="2">
        <f>Raw_Transactions!G1324</f>
        <v/>
      </c>
      <c r="H1324" s="2">
        <f>XLOOKUP(B1324,Raw_Risk_Profiles!$A:$A,Raw_Risk_Profiles!$B:$B,"Not Found")</f>
        <v/>
      </c>
      <c r="I1324" s="2">
        <f>XLOOKUP(B1324,Raw_Risk_Profiles!$A:$A,Raw_Risk_Profiles!$C:$C,"Missing")</f>
        <v/>
      </c>
      <c r="J1324" s="2">
        <f>XLOOKUP(B1324,Raw_Risk_Profiles!$A:$A,Raw_Risk_Profiles!$D:$D,"")</f>
        <v/>
      </c>
      <c r="K1324" s="2">
        <f>IFERROR(INDEX(Raw_Risk_Profiles!$E:$E,MATCH(B1324,Raw_Risk_Profiles!$A:$A,0)),"Unknown")</f>
        <v/>
      </c>
      <c r="L1324" s="2">
        <f>IFERROR(XLOOKUP(A1324,Raw_Alerts!$B:$B,Raw_Alerts!$A:$A),"No Alert")</f>
        <v/>
      </c>
      <c r="M1324" s="2">
        <f>IFERROR(XLOOKUP(A1324,Raw_Alerts!$B:$B,Raw_Alerts!$C:$C),"")</f>
        <v/>
      </c>
      <c r="N1324" s="2">
        <f>IFERROR(XLOOKUP(A1324,Raw_Alerts!$B:$B,Raw_Alerts!$D:$D),"")</f>
        <v/>
      </c>
      <c r="O1324" s="2">
        <f>IFERROR(XLOOKUP(A1324,Raw_Alerts!$B:$B,Raw_Alerts!$F:$F),"")</f>
        <v/>
      </c>
      <c r="P1324" s="2">
        <f>IF(H1324="Not Found","CRITICAL: No Risk Profile",IF(I1324="Missing","WARN: Missing KYC",IF(I1324="Expired","WARN: KYC Expired",IF(I1324="Pending","INFO: KYC Pending","OK"))))</f>
        <v/>
      </c>
    </row>
    <row r="1325">
      <c r="A1325" s="4">
        <f>Raw_Transactions!A1325</f>
        <v/>
      </c>
      <c r="B1325" s="4">
        <f>Raw_Transactions!B1325</f>
        <v/>
      </c>
      <c r="C1325" s="4">
        <f>Raw_Transactions!C1325</f>
        <v/>
      </c>
      <c r="D1325" s="5">
        <f>Raw_Transactions!D1325</f>
        <v/>
      </c>
      <c r="E1325" s="4">
        <f>Raw_Transactions!E1325</f>
        <v/>
      </c>
      <c r="F1325" s="4">
        <f>Raw_Transactions!F1325</f>
        <v/>
      </c>
      <c r="G1325" s="4">
        <f>Raw_Transactions!G1325</f>
        <v/>
      </c>
      <c r="H1325" s="4">
        <f>XLOOKUP(B1325,Raw_Risk_Profiles!$A:$A,Raw_Risk_Profiles!$B:$B,"Not Found")</f>
        <v/>
      </c>
      <c r="I1325" s="4">
        <f>XLOOKUP(B1325,Raw_Risk_Profiles!$A:$A,Raw_Risk_Profiles!$C:$C,"Missing")</f>
        <v/>
      </c>
      <c r="J1325" s="4">
        <f>XLOOKUP(B1325,Raw_Risk_Profiles!$A:$A,Raw_Risk_Profiles!$D:$D,"")</f>
        <v/>
      </c>
      <c r="K1325" s="4">
        <f>IFERROR(INDEX(Raw_Risk_Profiles!$E:$E,MATCH(B1325,Raw_Risk_Profiles!$A:$A,0)),"Unknown")</f>
        <v/>
      </c>
      <c r="L1325" s="4">
        <f>IFERROR(XLOOKUP(A1325,Raw_Alerts!$B:$B,Raw_Alerts!$A:$A),"No Alert")</f>
        <v/>
      </c>
      <c r="M1325" s="4">
        <f>IFERROR(XLOOKUP(A1325,Raw_Alerts!$B:$B,Raw_Alerts!$C:$C),"")</f>
        <v/>
      </c>
      <c r="N1325" s="4">
        <f>IFERROR(XLOOKUP(A1325,Raw_Alerts!$B:$B,Raw_Alerts!$D:$D),"")</f>
        <v/>
      </c>
      <c r="O1325" s="4">
        <f>IFERROR(XLOOKUP(A1325,Raw_Alerts!$B:$B,Raw_Alerts!$F:$F),"")</f>
        <v/>
      </c>
      <c r="P1325" s="4">
        <f>IF(H1325="Not Found","CRITICAL: No Risk Profile",IF(I1325="Missing","WARN: Missing KYC",IF(I1325="Expired","WARN: KYC Expired",IF(I1325="Pending","INFO: KYC Pending","OK"))))</f>
        <v/>
      </c>
    </row>
    <row r="1326">
      <c r="A1326" s="2">
        <f>Raw_Transactions!A1326</f>
        <v/>
      </c>
      <c r="B1326" s="2">
        <f>Raw_Transactions!B1326</f>
        <v/>
      </c>
      <c r="C1326" s="2">
        <f>Raw_Transactions!C1326</f>
        <v/>
      </c>
      <c r="D1326" s="3">
        <f>Raw_Transactions!D1326</f>
        <v/>
      </c>
      <c r="E1326" s="2">
        <f>Raw_Transactions!E1326</f>
        <v/>
      </c>
      <c r="F1326" s="2">
        <f>Raw_Transactions!F1326</f>
        <v/>
      </c>
      <c r="G1326" s="2">
        <f>Raw_Transactions!G1326</f>
        <v/>
      </c>
      <c r="H1326" s="2">
        <f>XLOOKUP(B1326,Raw_Risk_Profiles!$A:$A,Raw_Risk_Profiles!$B:$B,"Not Found")</f>
        <v/>
      </c>
      <c r="I1326" s="2">
        <f>XLOOKUP(B1326,Raw_Risk_Profiles!$A:$A,Raw_Risk_Profiles!$C:$C,"Missing")</f>
        <v/>
      </c>
      <c r="J1326" s="2">
        <f>XLOOKUP(B1326,Raw_Risk_Profiles!$A:$A,Raw_Risk_Profiles!$D:$D,"")</f>
        <v/>
      </c>
      <c r="K1326" s="2">
        <f>IFERROR(INDEX(Raw_Risk_Profiles!$E:$E,MATCH(B1326,Raw_Risk_Profiles!$A:$A,0)),"Unknown")</f>
        <v/>
      </c>
      <c r="L1326" s="2">
        <f>IFERROR(XLOOKUP(A1326,Raw_Alerts!$B:$B,Raw_Alerts!$A:$A),"No Alert")</f>
        <v/>
      </c>
      <c r="M1326" s="2">
        <f>IFERROR(XLOOKUP(A1326,Raw_Alerts!$B:$B,Raw_Alerts!$C:$C),"")</f>
        <v/>
      </c>
      <c r="N1326" s="2">
        <f>IFERROR(XLOOKUP(A1326,Raw_Alerts!$B:$B,Raw_Alerts!$D:$D),"")</f>
        <v/>
      </c>
      <c r="O1326" s="2">
        <f>IFERROR(XLOOKUP(A1326,Raw_Alerts!$B:$B,Raw_Alerts!$F:$F),"")</f>
        <v/>
      </c>
      <c r="P1326" s="2">
        <f>IF(H1326="Not Found","CRITICAL: No Risk Profile",IF(I1326="Missing","WARN: Missing KYC",IF(I1326="Expired","WARN: KYC Expired",IF(I1326="Pending","INFO: KYC Pending","OK"))))</f>
        <v/>
      </c>
    </row>
    <row r="1327">
      <c r="A1327" s="4">
        <f>Raw_Transactions!A1327</f>
        <v/>
      </c>
      <c r="B1327" s="4">
        <f>Raw_Transactions!B1327</f>
        <v/>
      </c>
      <c r="C1327" s="4">
        <f>Raw_Transactions!C1327</f>
        <v/>
      </c>
      <c r="D1327" s="5">
        <f>Raw_Transactions!D1327</f>
        <v/>
      </c>
      <c r="E1327" s="4">
        <f>Raw_Transactions!E1327</f>
        <v/>
      </c>
      <c r="F1327" s="4">
        <f>Raw_Transactions!F1327</f>
        <v/>
      </c>
      <c r="G1327" s="4">
        <f>Raw_Transactions!G1327</f>
        <v/>
      </c>
      <c r="H1327" s="4">
        <f>XLOOKUP(B1327,Raw_Risk_Profiles!$A:$A,Raw_Risk_Profiles!$B:$B,"Not Found")</f>
        <v/>
      </c>
      <c r="I1327" s="4">
        <f>XLOOKUP(B1327,Raw_Risk_Profiles!$A:$A,Raw_Risk_Profiles!$C:$C,"Missing")</f>
        <v/>
      </c>
      <c r="J1327" s="4">
        <f>XLOOKUP(B1327,Raw_Risk_Profiles!$A:$A,Raw_Risk_Profiles!$D:$D,"")</f>
        <v/>
      </c>
      <c r="K1327" s="4">
        <f>IFERROR(INDEX(Raw_Risk_Profiles!$E:$E,MATCH(B1327,Raw_Risk_Profiles!$A:$A,0)),"Unknown")</f>
        <v/>
      </c>
      <c r="L1327" s="4">
        <f>IFERROR(XLOOKUP(A1327,Raw_Alerts!$B:$B,Raw_Alerts!$A:$A),"No Alert")</f>
        <v/>
      </c>
      <c r="M1327" s="4">
        <f>IFERROR(XLOOKUP(A1327,Raw_Alerts!$B:$B,Raw_Alerts!$C:$C),"")</f>
        <v/>
      </c>
      <c r="N1327" s="4">
        <f>IFERROR(XLOOKUP(A1327,Raw_Alerts!$B:$B,Raw_Alerts!$D:$D),"")</f>
        <v/>
      </c>
      <c r="O1327" s="4">
        <f>IFERROR(XLOOKUP(A1327,Raw_Alerts!$B:$B,Raw_Alerts!$F:$F),"")</f>
        <v/>
      </c>
      <c r="P1327" s="4">
        <f>IF(H1327="Not Found","CRITICAL: No Risk Profile",IF(I1327="Missing","WARN: Missing KYC",IF(I1327="Expired","WARN: KYC Expired",IF(I1327="Pending","INFO: KYC Pending","OK"))))</f>
        <v/>
      </c>
    </row>
    <row r="1328">
      <c r="A1328" s="2">
        <f>Raw_Transactions!A1328</f>
        <v/>
      </c>
      <c r="B1328" s="2">
        <f>Raw_Transactions!B1328</f>
        <v/>
      </c>
      <c r="C1328" s="2">
        <f>Raw_Transactions!C1328</f>
        <v/>
      </c>
      <c r="D1328" s="3">
        <f>Raw_Transactions!D1328</f>
        <v/>
      </c>
      <c r="E1328" s="2">
        <f>Raw_Transactions!E1328</f>
        <v/>
      </c>
      <c r="F1328" s="2">
        <f>Raw_Transactions!F1328</f>
        <v/>
      </c>
      <c r="G1328" s="2">
        <f>Raw_Transactions!G1328</f>
        <v/>
      </c>
      <c r="H1328" s="2">
        <f>XLOOKUP(B1328,Raw_Risk_Profiles!$A:$A,Raw_Risk_Profiles!$B:$B,"Not Found")</f>
        <v/>
      </c>
      <c r="I1328" s="2">
        <f>XLOOKUP(B1328,Raw_Risk_Profiles!$A:$A,Raw_Risk_Profiles!$C:$C,"Missing")</f>
        <v/>
      </c>
      <c r="J1328" s="2">
        <f>XLOOKUP(B1328,Raw_Risk_Profiles!$A:$A,Raw_Risk_Profiles!$D:$D,"")</f>
        <v/>
      </c>
      <c r="K1328" s="2">
        <f>IFERROR(INDEX(Raw_Risk_Profiles!$E:$E,MATCH(B1328,Raw_Risk_Profiles!$A:$A,0)),"Unknown")</f>
        <v/>
      </c>
      <c r="L1328" s="2">
        <f>IFERROR(XLOOKUP(A1328,Raw_Alerts!$B:$B,Raw_Alerts!$A:$A),"No Alert")</f>
        <v/>
      </c>
      <c r="M1328" s="2">
        <f>IFERROR(XLOOKUP(A1328,Raw_Alerts!$B:$B,Raw_Alerts!$C:$C),"")</f>
        <v/>
      </c>
      <c r="N1328" s="2">
        <f>IFERROR(XLOOKUP(A1328,Raw_Alerts!$B:$B,Raw_Alerts!$D:$D),"")</f>
        <v/>
      </c>
      <c r="O1328" s="2">
        <f>IFERROR(XLOOKUP(A1328,Raw_Alerts!$B:$B,Raw_Alerts!$F:$F),"")</f>
        <v/>
      </c>
      <c r="P1328" s="2">
        <f>IF(H1328="Not Found","CRITICAL: No Risk Profile",IF(I1328="Missing","WARN: Missing KYC",IF(I1328="Expired","WARN: KYC Expired",IF(I1328="Pending","INFO: KYC Pending","OK"))))</f>
        <v/>
      </c>
    </row>
    <row r="1329">
      <c r="A1329" s="4">
        <f>Raw_Transactions!A1329</f>
        <v/>
      </c>
      <c r="B1329" s="4">
        <f>Raw_Transactions!B1329</f>
        <v/>
      </c>
      <c r="C1329" s="4">
        <f>Raw_Transactions!C1329</f>
        <v/>
      </c>
      <c r="D1329" s="5">
        <f>Raw_Transactions!D1329</f>
        <v/>
      </c>
      <c r="E1329" s="4">
        <f>Raw_Transactions!E1329</f>
        <v/>
      </c>
      <c r="F1329" s="4">
        <f>Raw_Transactions!F1329</f>
        <v/>
      </c>
      <c r="G1329" s="4">
        <f>Raw_Transactions!G1329</f>
        <v/>
      </c>
      <c r="H1329" s="4">
        <f>XLOOKUP(B1329,Raw_Risk_Profiles!$A:$A,Raw_Risk_Profiles!$B:$B,"Not Found")</f>
        <v/>
      </c>
      <c r="I1329" s="4">
        <f>XLOOKUP(B1329,Raw_Risk_Profiles!$A:$A,Raw_Risk_Profiles!$C:$C,"Missing")</f>
        <v/>
      </c>
      <c r="J1329" s="4">
        <f>XLOOKUP(B1329,Raw_Risk_Profiles!$A:$A,Raw_Risk_Profiles!$D:$D,"")</f>
        <v/>
      </c>
      <c r="K1329" s="4">
        <f>IFERROR(INDEX(Raw_Risk_Profiles!$E:$E,MATCH(B1329,Raw_Risk_Profiles!$A:$A,0)),"Unknown")</f>
        <v/>
      </c>
      <c r="L1329" s="4">
        <f>IFERROR(XLOOKUP(A1329,Raw_Alerts!$B:$B,Raw_Alerts!$A:$A),"No Alert")</f>
        <v/>
      </c>
      <c r="M1329" s="4">
        <f>IFERROR(XLOOKUP(A1329,Raw_Alerts!$B:$B,Raw_Alerts!$C:$C),"")</f>
        <v/>
      </c>
      <c r="N1329" s="4">
        <f>IFERROR(XLOOKUP(A1329,Raw_Alerts!$B:$B,Raw_Alerts!$D:$D),"")</f>
        <v/>
      </c>
      <c r="O1329" s="4">
        <f>IFERROR(XLOOKUP(A1329,Raw_Alerts!$B:$B,Raw_Alerts!$F:$F),"")</f>
        <v/>
      </c>
      <c r="P1329" s="4">
        <f>IF(H1329="Not Found","CRITICAL: No Risk Profile",IF(I1329="Missing","WARN: Missing KYC",IF(I1329="Expired","WARN: KYC Expired",IF(I1329="Pending","INFO: KYC Pending","OK"))))</f>
        <v/>
      </c>
    </row>
    <row r="1330">
      <c r="A1330" s="2">
        <f>Raw_Transactions!A1330</f>
        <v/>
      </c>
      <c r="B1330" s="2">
        <f>Raw_Transactions!B1330</f>
        <v/>
      </c>
      <c r="C1330" s="2">
        <f>Raw_Transactions!C1330</f>
        <v/>
      </c>
      <c r="D1330" s="3">
        <f>Raw_Transactions!D1330</f>
        <v/>
      </c>
      <c r="E1330" s="2">
        <f>Raw_Transactions!E1330</f>
        <v/>
      </c>
      <c r="F1330" s="2">
        <f>Raw_Transactions!F1330</f>
        <v/>
      </c>
      <c r="G1330" s="2">
        <f>Raw_Transactions!G1330</f>
        <v/>
      </c>
      <c r="H1330" s="2">
        <f>XLOOKUP(B1330,Raw_Risk_Profiles!$A:$A,Raw_Risk_Profiles!$B:$B,"Not Found")</f>
        <v/>
      </c>
      <c r="I1330" s="2">
        <f>XLOOKUP(B1330,Raw_Risk_Profiles!$A:$A,Raw_Risk_Profiles!$C:$C,"Missing")</f>
        <v/>
      </c>
      <c r="J1330" s="2">
        <f>XLOOKUP(B1330,Raw_Risk_Profiles!$A:$A,Raw_Risk_Profiles!$D:$D,"")</f>
        <v/>
      </c>
      <c r="K1330" s="2">
        <f>IFERROR(INDEX(Raw_Risk_Profiles!$E:$E,MATCH(B1330,Raw_Risk_Profiles!$A:$A,0)),"Unknown")</f>
        <v/>
      </c>
      <c r="L1330" s="2">
        <f>IFERROR(XLOOKUP(A1330,Raw_Alerts!$B:$B,Raw_Alerts!$A:$A),"No Alert")</f>
        <v/>
      </c>
      <c r="M1330" s="2">
        <f>IFERROR(XLOOKUP(A1330,Raw_Alerts!$B:$B,Raw_Alerts!$C:$C),"")</f>
        <v/>
      </c>
      <c r="N1330" s="2">
        <f>IFERROR(XLOOKUP(A1330,Raw_Alerts!$B:$B,Raw_Alerts!$D:$D),"")</f>
        <v/>
      </c>
      <c r="O1330" s="2">
        <f>IFERROR(XLOOKUP(A1330,Raw_Alerts!$B:$B,Raw_Alerts!$F:$F),"")</f>
        <v/>
      </c>
      <c r="P1330" s="2">
        <f>IF(H1330="Not Found","CRITICAL: No Risk Profile",IF(I1330="Missing","WARN: Missing KYC",IF(I1330="Expired","WARN: KYC Expired",IF(I1330="Pending","INFO: KYC Pending","OK"))))</f>
        <v/>
      </c>
    </row>
    <row r="1331">
      <c r="A1331" s="4">
        <f>Raw_Transactions!A1331</f>
        <v/>
      </c>
      <c r="B1331" s="4">
        <f>Raw_Transactions!B1331</f>
        <v/>
      </c>
      <c r="C1331" s="4">
        <f>Raw_Transactions!C1331</f>
        <v/>
      </c>
      <c r="D1331" s="5">
        <f>Raw_Transactions!D1331</f>
        <v/>
      </c>
      <c r="E1331" s="4">
        <f>Raw_Transactions!E1331</f>
        <v/>
      </c>
      <c r="F1331" s="4">
        <f>Raw_Transactions!F1331</f>
        <v/>
      </c>
      <c r="G1331" s="4">
        <f>Raw_Transactions!G1331</f>
        <v/>
      </c>
      <c r="H1331" s="4">
        <f>XLOOKUP(B1331,Raw_Risk_Profiles!$A:$A,Raw_Risk_Profiles!$B:$B,"Not Found")</f>
        <v/>
      </c>
      <c r="I1331" s="4">
        <f>XLOOKUP(B1331,Raw_Risk_Profiles!$A:$A,Raw_Risk_Profiles!$C:$C,"Missing")</f>
        <v/>
      </c>
      <c r="J1331" s="4">
        <f>XLOOKUP(B1331,Raw_Risk_Profiles!$A:$A,Raw_Risk_Profiles!$D:$D,"")</f>
        <v/>
      </c>
      <c r="K1331" s="4">
        <f>IFERROR(INDEX(Raw_Risk_Profiles!$E:$E,MATCH(B1331,Raw_Risk_Profiles!$A:$A,0)),"Unknown")</f>
        <v/>
      </c>
      <c r="L1331" s="4">
        <f>IFERROR(XLOOKUP(A1331,Raw_Alerts!$B:$B,Raw_Alerts!$A:$A),"No Alert")</f>
        <v/>
      </c>
      <c r="M1331" s="4">
        <f>IFERROR(XLOOKUP(A1331,Raw_Alerts!$B:$B,Raw_Alerts!$C:$C),"")</f>
        <v/>
      </c>
      <c r="N1331" s="4">
        <f>IFERROR(XLOOKUP(A1331,Raw_Alerts!$B:$B,Raw_Alerts!$D:$D),"")</f>
        <v/>
      </c>
      <c r="O1331" s="4">
        <f>IFERROR(XLOOKUP(A1331,Raw_Alerts!$B:$B,Raw_Alerts!$F:$F),"")</f>
        <v/>
      </c>
      <c r="P1331" s="4">
        <f>IF(H1331="Not Found","CRITICAL: No Risk Profile",IF(I1331="Missing","WARN: Missing KYC",IF(I1331="Expired","WARN: KYC Expired",IF(I1331="Pending","INFO: KYC Pending","OK"))))</f>
        <v/>
      </c>
    </row>
    <row r="1332">
      <c r="A1332" s="2">
        <f>Raw_Transactions!A1332</f>
        <v/>
      </c>
      <c r="B1332" s="2">
        <f>Raw_Transactions!B1332</f>
        <v/>
      </c>
      <c r="C1332" s="2">
        <f>Raw_Transactions!C1332</f>
        <v/>
      </c>
      <c r="D1332" s="3">
        <f>Raw_Transactions!D1332</f>
        <v/>
      </c>
      <c r="E1332" s="2">
        <f>Raw_Transactions!E1332</f>
        <v/>
      </c>
      <c r="F1332" s="2">
        <f>Raw_Transactions!F1332</f>
        <v/>
      </c>
      <c r="G1332" s="2">
        <f>Raw_Transactions!G1332</f>
        <v/>
      </c>
      <c r="H1332" s="2">
        <f>XLOOKUP(B1332,Raw_Risk_Profiles!$A:$A,Raw_Risk_Profiles!$B:$B,"Not Found")</f>
        <v/>
      </c>
      <c r="I1332" s="2">
        <f>XLOOKUP(B1332,Raw_Risk_Profiles!$A:$A,Raw_Risk_Profiles!$C:$C,"Missing")</f>
        <v/>
      </c>
      <c r="J1332" s="2">
        <f>XLOOKUP(B1332,Raw_Risk_Profiles!$A:$A,Raw_Risk_Profiles!$D:$D,"")</f>
        <v/>
      </c>
      <c r="K1332" s="2">
        <f>IFERROR(INDEX(Raw_Risk_Profiles!$E:$E,MATCH(B1332,Raw_Risk_Profiles!$A:$A,0)),"Unknown")</f>
        <v/>
      </c>
      <c r="L1332" s="2">
        <f>IFERROR(XLOOKUP(A1332,Raw_Alerts!$B:$B,Raw_Alerts!$A:$A),"No Alert")</f>
        <v/>
      </c>
      <c r="M1332" s="2">
        <f>IFERROR(XLOOKUP(A1332,Raw_Alerts!$B:$B,Raw_Alerts!$C:$C),"")</f>
        <v/>
      </c>
      <c r="N1332" s="2">
        <f>IFERROR(XLOOKUP(A1332,Raw_Alerts!$B:$B,Raw_Alerts!$D:$D),"")</f>
        <v/>
      </c>
      <c r="O1332" s="2">
        <f>IFERROR(XLOOKUP(A1332,Raw_Alerts!$B:$B,Raw_Alerts!$F:$F),"")</f>
        <v/>
      </c>
      <c r="P1332" s="2">
        <f>IF(H1332="Not Found","CRITICAL: No Risk Profile",IF(I1332="Missing","WARN: Missing KYC",IF(I1332="Expired","WARN: KYC Expired",IF(I1332="Pending","INFO: KYC Pending","OK"))))</f>
        <v/>
      </c>
    </row>
    <row r="1333">
      <c r="A1333" s="4">
        <f>Raw_Transactions!A1333</f>
        <v/>
      </c>
      <c r="B1333" s="4">
        <f>Raw_Transactions!B1333</f>
        <v/>
      </c>
      <c r="C1333" s="4">
        <f>Raw_Transactions!C1333</f>
        <v/>
      </c>
      <c r="D1333" s="5">
        <f>Raw_Transactions!D1333</f>
        <v/>
      </c>
      <c r="E1333" s="4">
        <f>Raw_Transactions!E1333</f>
        <v/>
      </c>
      <c r="F1333" s="4">
        <f>Raw_Transactions!F1333</f>
        <v/>
      </c>
      <c r="G1333" s="4">
        <f>Raw_Transactions!G1333</f>
        <v/>
      </c>
      <c r="H1333" s="4">
        <f>XLOOKUP(B1333,Raw_Risk_Profiles!$A:$A,Raw_Risk_Profiles!$B:$B,"Not Found")</f>
        <v/>
      </c>
      <c r="I1333" s="4">
        <f>XLOOKUP(B1333,Raw_Risk_Profiles!$A:$A,Raw_Risk_Profiles!$C:$C,"Missing")</f>
        <v/>
      </c>
      <c r="J1333" s="4">
        <f>XLOOKUP(B1333,Raw_Risk_Profiles!$A:$A,Raw_Risk_Profiles!$D:$D,"")</f>
        <v/>
      </c>
      <c r="K1333" s="4">
        <f>IFERROR(INDEX(Raw_Risk_Profiles!$E:$E,MATCH(B1333,Raw_Risk_Profiles!$A:$A,0)),"Unknown")</f>
        <v/>
      </c>
      <c r="L1333" s="4">
        <f>IFERROR(XLOOKUP(A1333,Raw_Alerts!$B:$B,Raw_Alerts!$A:$A),"No Alert")</f>
        <v/>
      </c>
      <c r="M1333" s="4">
        <f>IFERROR(XLOOKUP(A1333,Raw_Alerts!$B:$B,Raw_Alerts!$C:$C),"")</f>
        <v/>
      </c>
      <c r="N1333" s="4">
        <f>IFERROR(XLOOKUP(A1333,Raw_Alerts!$B:$B,Raw_Alerts!$D:$D),"")</f>
        <v/>
      </c>
      <c r="O1333" s="4">
        <f>IFERROR(XLOOKUP(A1333,Raw_Alerts!$B:$B,Raw_Alerts!$F:$F),"")</f>
        <v/>
      </c>
      <c r="P1333" s="4">
        <f>IF(H1333="Not Found","CRITICAL: No Risk Profile",IF(I1333="Missing","WARN: Missing KYC",IF(I1333="Expired","WARN: KYC Expired",IF(I1333="Pending","INFO: KYC Pending","OK"))))</f>
        <v/>
      </c>
    </row>
    <row r="1334">
      <c r="A1334" s="2">
        <f>Raw_Transactions!A1334</f>
        <v/>
      </c>
      <c r="B1334" s="2">
        <f>Raw_Transactions!B1334</f>
        <v/>
      </c>
      <c r="C1334" s="2">
        <f>Raw_Transactions!C1334</f>
        <v/>
      </c>
      <c r="D1334" s="3">
        <f>Raw_Transactions!D1334</f>
        <v/>
      </c>
      <c r="E1334" s="2">
        <f>Raw_Transactions!E1334</f>
        <v/>
      </c>
      <c r="F1334" s="2">
        <f>Raw_Transactions!F1334</f>
        <v/>
      </c>
      <c r="G1334" s="2">
        <f>Raw_Transactions!G1334</f>
        <v/>
      </c>
      <c r="H1334" s="2">
        <f>XLOOKUP(B1334,Raw_Risk_Profiles!$A:$A,Raw_Risk_Profiles!$B:$B,"Not Found")</f>
        <v/>
      </c>
      <c r="I1334" s="2">
        <f>XLOOKUP(B1334,Raw_Risk_Profiles!$A:$A,Raw_Risk_Profiles!$C:$C,"Missing")</f>
        <v/>
      </c>
      <c r="J1334" s="2">
        <f>XLOOKUP(B1334,Raw_Risk_Profiles!$A:$A,Raw_Risk_Profiles!$D:$D,"")</f>
        <v/>
      </c>
      <c r="K1334" s="2">
        <f>IFERROR(INDEX(Raw_Risk_Profiles!$E:$E,MATCH(B1334,Raw_Risk_Profiles!$A:$A,0)),"Unknown")</f>
        <v/>
      </c>
      <c r="L1334" s="2">
        <f>IFERROR(XLOOKUP(A1334,Raw_Alerts!$B:$B,Raw_Alerts!$A:$A),"No Alert")</f>
        <v/>
      </c>
      <c r="M1334" s="2">
        <f>IFERROR(XLOOKUP(A1334,Raw_Alerts!$B:$B,Raw_Alerts!$C:$C),"")</f>
        <v/>
      </c>
      <c r="N1334" s="2">
        <f>IFERROR(XLOOKUP(A1334,Raw_Alerts!$B:$B,Raw_Alerts!$D:$D),"")</f>
        <v/>
      </c>
      <c r="O1334" s="2">
        <f>IFERROR(XLOOKUP(A1334,Raw_Alerts!$B:$B,Raw_Alerts!$F:$F),"")</f>
        <v/>
      </c>
      <c r="P1334" s="2">
        <f>IF(H1334="Not Found","CRITICAL: No Risk Profile",IF(I1334="Missing","WARN: Missing KYC",IF(I1334="Expired","WARN: KYC Expired",IF(I1334="Pending","INFO: KYC Pending","OK"))))</f>
        <v/>
      </c>
    </row>
    <row r="1335">
      <c r="A1335" s="4">
        <f>Raw_Transactions!A1335</f>
        <v/>
      </c>
      <c r="B1335" s="4">
        <f>Raw_Transactions!B1335</f>
        <v/>
      </c>
      <c r="C1335" s="4">
        <f>Raw_Transactions!C1335</f>
        <v/>
      </c>
      <c r="D1335" s="5">
        <f>Raw_Transactions!D1335</f>
        <v/>
      </c>
      <c r="E1335" s="4">
        <f>Raw_Transactions!E1335</f>
        <v/>
      </c>
      <c r="F1335" s="4">
        <f>Raw_Transactions!F1335</f>
        <v/>
      </c>
      <c r="G1335" s="4">
        <f>Raw_Transactions!G1335</f>
        <v/>
      </c>
      <c r="H1335" s="4">
        <f>XLOOKUP(B1335,Raw_Risk_Profiles!$A:$A,Raw_Risk_Profiles!$B:$B,"Not Found")</f>
        <v/>
      </c>
      <c r="I1335" s="4">
        <f>XLOOKUP(B1335,Raw_Risk_Profiles!$A:$A,Raw_Risk_Profiles!$C:$C,"Missing")</f>
        <v/>
      </c>
      <c r="J1335" s="4">
        <f>XLOOKUP(B1335,Raw_Risk_Profiles!$A:$A,Raw_Risk_Profiles!$D:$D,"")</f>
        <v/>
      </c>
      <c r="K1335" s="4">
        <f>IFERROR(INDEX(Raw_Risk_Profiles!$E:$E,MATCH(B1335,Raw_Risk_Profiles!$A:$A,0)),"Unknown")</f>
        <v/>
      </c>
      <c r="L1335" s="4">
        <f>IFERROR(XLOOKUP(A1335,Raw_Alerts!$B:$B,Raw_Alerts!$A:$A),"No Alert")</f>
        <v/>
      </c>
      <c r="M1335" s="4">
        <f>IFERROR(XLOOKUP(A1335,Raw_Alerts!$B:$B,Raw_Alerts!$C:$C),"")</f>
        <v/>
      </c>
      <c r="N1335" s="4">
        <f>IFERROR(XLOOKUP(A1335,Raw_Alerts!$B:$B,Raw_Alerts!$D:$D),"")</f>
        <v/>
      </c>
      <c r="O1335" s="4">
        <f>IFERROR(XLOOKUP(A1335,Raw_Alerts!$B:$B,Raw_Alerts!$F:$F),"")</f>
        <v/>
      </c>
      <c r="P1335" s="4">
        <f>IF(H1335="Not Found","CRITICAL: No Risk Profile",IF(I1335="Missing","WARN: Missing KYC",IF(I1335="Expired","WARN: KYC Expired",IF(I1335="Pending","INFO: KYC Pending","OK"))))</f>
        <v/>
      </c>
    </row>
    <row r="1336">
      <c r="A1336" s="2">
        <f>Raw_Transactions!A1336</f>
        <v/>
      </c>
      <c r="B1336" s="2">
        <f>Raw_Transactions!B1336</f>
        <v/>
      </c>
      <c r="C1336" s="2">
        <f>Raw_Transactions!C1336</f>
        <v/>
      </c>
      <c r="D1336" s="3">
        <f>Raw_Transactions!D1336</f>
        <v/>
      </c>
      <c r="E1336" s="2">
        <f>Raw_Transactions!E1336</f>
        <v/>
      </c>
      <c r="F1336" s="2">
        <f>Raw_Transactions!F1336</f>
        <v/>
      </c>
      <c r="G1336" s="2">
        <f>Raw_Transactions!G1336</f>
        <v/>
      </c>
      <c r="H1336" s="2">
        <f>XLOOKUP(B1336,Raw_Risk_Profiles!$A:$A,Raw_Risk_Profiles!$B:$B,"Not Found")</f>
        <v/>
      </c>
      <c r="I1336" s="2">
        <f>XLOOKUP(B1336,Raw_Risk_Profiles!$A:$A,Raw_Risk_Profiles!$C:$C,"Missing")</f>
        <v/>
      </c>
      <c r="J1336" s="2">
        <f>XLOOKUP(B1336,Raw_Risk_Profiles!$A:$A,Raw_Risk_Profiles!$D:$D,"")</f>
        <v/>
      </c>
      <c r="K1336" s="2">
        <f>IFERROR(INDEX(Raw_Risk_Profiles!$E:$E,MATCH(B1336,Raw_Risk_Profiles!$A:$A,0)),"Unknown")</f>
        <v/>
      </c>
      <c r="L1336" s="2">
        <f>IFERROR(XLOOKUP(A1336,Raw_Alerts!$B:$B,Raw_Alerts!$A:$A),"No Alert")</f>
        <v/>
      </c>
      <c r="M1336" s="2">
        <f>IFERROR(XLOOKUP(A1336,Raw_Alerts!$B:$B,Raw_Alerts!$C:$C),"")</f>
        <v/>
      </c>
      <c r="N1336" s="2">
        <f>IFERROR(XLOOKUP(A1336,Raw_Alerts!$B:$B,Raw_Alerts!$D:$D),"")</f>
        <v/>
      </c>
      <c r="O1336" s="2">
        <f>IFERROR(XLOOKUP(A1336,Raw_Alerts!$B:$B,Raw_Alerts!$F:$F),"")</f>
        <v/>
      </c>
      <c r="P1336" s="2">
        <f>IF(H1336="Not Found","CRITICAL: No Risk Profile",IF(I1336="Missing","WARN: Missing KYC",IF(I1336="Expired","WARN: KYC Expired",IF(I1336="Pending","INFO: KYC Pending","OK"))))</f>
        <v/>
      </c>
    </row>
    <row r="1337">
      <c r="A1337" s="4">
        <f>Raw_Transactions!A1337</f>
        <v/>
      </c>
      <c r="B1337" s="4">
        <f>Raw_Transactions!B1337</f>
        <v/>
      </c>
      <c r="C1337" s="4">
        <f>Raw_Transactions!C1337</f>
        <v/>
      </c>
      <c r="D1337" s="5">
        <f>Raw_Transactions!D1337</f>
        <v/>
      </c>
      <c r="E1337" s="4">
        <f>Raw_Transactions!E1337</f>
        <v/>
      </c>
      <c r="F1337" s="4">
        <f>Raw_Transactions!F1337</f>
        <v/>
      </c>
      <c r="G1337" s="4">
        <f>Raw_Transactions!G1337</f>
        <v/>
      </c>
      <c r="H1337" s="4">
        <f>XLOOKUP(B1337,Raw_Risk_Profiles!$A:$A,Raw_Risk_Profiles!$B:$B,"Not Found")</f>
        <v/>
      </c>
      <c r="I1337" s="4">
        <f>XLOOKUP(B1337,Raw_Risk_Profiles!$A:$A,Raw_Risk_Profiles!$C:$C,"Missing")</f>
        <v/>
      </c>
      <c r="J1337" s="4">
        <f>XLOOKUP(B1337,Raw_Risk_Profiles!$A:$A,Raw_Risk_Profiles!$D:$D,"")</f>
        <v/>
      </c>
      <c r="K1337" s="4">
        <f>IFERROR(INDEX(Raw_Risk_Profiles!$E:$E,MATCH(B1337,Raw_Risk_Profiles!$A:$A,0)),"Unknown")</f>
        <v/>
      </c>
      <c r="L1337" s="4">
        <f>IFERROR(XLOOKUP(A1337,Raw_Alerts!$B:$B,Raw_Alerts!$A:$A),"No Alert")</f>
        <v/>
      </c>
      <c r="M1337" s="4">
        <f>IFERROR(XLOOKUP(A1337,Raw_Alerts!$B:$B,Raw_Alerts!$C:$C),"")</f>
        <v/>
      </c>
      <c r="N1337" s="4">
        <f>IFERROR(XLOOKUP(A1337,Raw_Alerts!$B:$B,Raw_Alerts!$D:$D),"")</f>
        <v/>
      </c>
      <c r="O1337" s="4">
        <f>IFERROR(XLOOKUP(A1337,Raw_Alerts!$B:$B,Raw_Alerts!$F:$F),"")</f>
        <v/>
      </c>
      <c r="P1337" s="4">
        <f>IF(H1337="Not Found","CRITICAL: No Risk Profile",IF(I1337="Missing","WARN: Missing KYC",IF(I1337="Expired","WARN: KYC Expired",IF(I1337="Pending","INFO: KYC Pending","OK"))))</f>
        <v/>
      </c>
    </row>
    <row r="1338">
      <c r="A1338" s="2">
        <f>Raw_Transactions!A1338</f>
        <v/>
      </c>
      <c r="B1338" s="2">
        <f>Raw_Transactions!B1338</f>
        <v/>
      </c>
      <c r="C1338" s="2">
        <f>Raw_Transactions!C1338</f>
        <v/>
      </c>
      <c r="D1338" s="3">
        <f>Raw_Transactions!D1338</f>
        <v/>
      </c>
      <c r="E1338" s="2">
        <f>Raw_Transactions!E1338</f>
        <v/>
      </c>
      <c r="F1338" s="2">
        <f>Raw_Transactions!F1338</f>
        <v/>
      </c>
      <c r="G1338" s="2">
        <f>Raw_Transactions!G1338</f>
        <v/>
      </c>
      <c r="H1338" s="2">
        <f>XLOOKUP(B1338,Raw_Risk_Profiles!$A:$A,Raw_Risk_Profiles!$B:$B,"Not Found")</f>
        <v/>
      </c>
      <c r="I1338" s="2">
        <f>XLOOKUP(B1338,Raw_Risk_Profiles!$A:$A,Raw_Risk_Profiles!$C:$C,"Missing")</f>
        <v/>
      </c>
      <c r="J1338" s="2">
        <f>XLOOKUP(B1338,Raw_Risk_Profiles!$A:$A,Raw_Risk_Profiles!$D:$D,"")</f>
        <v/>
      </c>
      <c r="K1338" s="2">
        <f>IFERROR(INDEX(Raw_Risk_Profiles!$E:$E,MATCH(B1338,Raw_Risk_Profiles!$A:$A,0)),"Unknown")</f>
        <v/>
      </c>
      <c r="L1338" s="2">
        <f>IFERROR(XLOOKUP(A1338,Raw_Alerts!$B:$B,Raw_Alerts!$A:$A),"No Alert")</f>
        <v/>
      </c>
      <c r="M1338" s="2">
        <f>IFERROR(XLOOKUP(A1338,Raw_Alerts!$B:$B,Raw_Alerts!$C:$C),"")</f>
        <v/>
      </c>
      <c r="N1338" s="2">
        <f>IFERROR(XLOOKUP(A1338,Raw_Alerts!$B:$B,Raw_Alerts!$D:$D),"")</f>
        <v/>
      </c>
      <c r="O1338" s="2">
        <f>IFERROR(XLOOKUP(A1338,Raw_Alerts!$B:$B,Raw_Alerts!$F:$F),"")</f>
        <v/>
      </c>
      <c r="P1338" s="2">
        <f>IF(H1338="Not Found","CRITICAL: No Risk Profile",IF(I1338="Missing","WARN: Missing KYC",IF(I1338="Expired","WARN: KYC Expired",IF(I1338="Pending","INFO: KYC Pending","OK"))))</f>
        <v/>
      </c>
    </row>
    <row r="1339">
      <c r="A1339" s="4">
        <f>Raw_Transactions!A1339</f>
        <v/>
      </c>
      <c r="B1339" s="4">
        <f>Raw_Transactions!B1339</f>
        <v/>
      </c>
      <c r="C1339" s="4">
        <f>Raw_Transactions!C1339</f>
        <v/>
      </c>
      <c r="D1339" s="5">
        <f>Raw_Transactions!D1339</f>
        <v/>
      </c>
      <c r="E1339" s="4">
        <f>Raw_Transactions!E1339</f>
        <v/>
      </c>
      <c r="F1339" s="4">
        <f>Raw_Transactions!F1339</f>
        <v/>
      </c>
      <c r="G1339" s="4">
        <f>Raw_Transactions!G1339</f>
        <v/>
      </c>
      <c r="H1339" s="4">
        <f>XLOOKUP(B1339,Raw_Risk_Profiles!$A:$A,Raw_Risk_Profiles!$B:$B,"Not Found")</f>
        <v/>
      </c>
      <c r="I1339" s="4">
        <f>XLOOKUP(B1339,Raw_Risk_Profiles!$A:$A,Raw_Risk_Profiles!$C:$C,"Missing")</f>
        <v/>
      </c>
      <c r="J1339" s="4">
        <f>XLOOKUP(B1339,Raw_Risk_Profiles!$A:$A,Raw_Risk_Profiles!$D:$D,"")</f>
        <v/>
      </c>
      <c r="K1339" s="4">
        <f>IFERROR(INDEX(Raw_Risk_Profiles!$E:$E,MATCH(B1339,Raw_Risk_Profiles!$A:$A,0)),"Unknown")</f>
        <v/>
      </c>
      <c r="L1339" s="4">
        <f>IFERROR(XLOOKUP(A1339,Raw_Alerts!$B:$B,Raw_Alerts!$A:$A),"No Alert")</f>
        <v/>
      </c>
      <c r="M1339" s="4">
        <f>IFERROR(XLOOKUP(A1339,Raw_Alerts!$B:$B,Raw_Alerts!$C:$C),"")</f>
        <v/>
      </c>
      <c r="N1339" s="4">
        <f>IFERROR(XLOOKUP(A1339,Raw_Alerts!$B:$B,Raw_Alerts!$D:$D),"")</f>
        <v/>
      </c>
      <c r="O1339" s="4">
        <f>IFERROR(XLOOKUP(A1339,Raw_Alerts!$B:$B,Raw_Alerts!$F:$F),"")</f>
        <v/>
      </c>
      <c r="P1339" s="4">
        <f>IF(H1339="Not Found","CRITICAL: No Risk Profile",IF(I1339="Missing","WARN: Missing KYC",IF(I1339="Expired","WARN: KYC Expired",IF(I1339="Pending","INFO: KYC Pending","OK"))))</f>
        <v/>
      </c>
    </row>
    <row r="1340">
      <c r="A1340" s="2">
        <f>Raw_Transactions!A1340</f>
        <v/>
      </c>
      <c r="B1340" s="2">
        <f>Raw_Transactions!B1340</f>
        <v/>
      </c>
      <c r="C1340" s="2">
        <f>Raw_Transactions!C1340</f>
        <v/>
      </c>
      <c r="D1340" s="3">
        <f>Raw_Transactions!D1340</f>
        <v/>
      </c>
      <c r="E1340" s="2">
        <f>Raw_Transactions!E1340</f>
        <v/>
      </c>
      <c r="F1340" s="2">
        <f>Raw_Transactions!F1340</f>
        <v/>
      </c>
      <c r="G1340" s="2">
        <f>Raw_Transactions!G1340</f>
        <v/>
      </c>
      <c r="H1340" s="2">
        <f>XLOOKUP(B1340,Raw_Risk_Profiles!$A:$A,Raw_Risk_Profiles!$B:$B,"Not Found")</f>
        <v/>
      </c>
      <c r="I1340" s="2">
        <f>XLOOKUP(B1340,Raw_Risk_Profiles!$A:$A,Raw_Risk_Profiles!$C:$C,"Missing")</f>
        <v/>
      </c>
      <c r="J1340" s="2">
        <f>XLOOKUP(B1340,Raw_Risk_Profiles!$A:$A,Raw_Risk_Profiles!$D:$D,"")</f>
        <v/>
      </c>
      <c r="K1340" s="2">
        <f>IFERROR(INDEX(Raw_Risk_Profiles!$E:$E,MATCH(B1340,Raw_Risk_Profiles!$A:$A,0)),"Unknown")</f>
        <v/>
      </c>
      <c r="L1340" s="2">
        <f>IFERROR(XLOOKUP(A1340,Raw_Alerts!$B:$B,Raw_Alerts!$A:$A),"No Alert")</f>
        <v/>
      </c>
      <c r="M1340" s="2">
        <f>IFERROR(XLOOKUP(A1340,Raw_Alerts!$B:$B,Raw_Alerts!$C:$C),"")</f>
        <v/>
      </c>
      <c r="N1340" s="2">
        <f>IFERROR(XLOOKUP(A1340,Raw_Alerts!$B:$B,Raw_Alerts!$D:$D),"")</f>
        <v/>
      </c>
      <c r="O1340" s="2">
        <f>IFERROR(XLOOKUP(A1340,Raw_Alerts!$B:$B,Raw_Alerts!$F:$F),"")</f>
        <v/>
      </c>
      <c r="P1340" s="2">
        <f>IF(H1340="Not Found","CRITICAL: No Risk Profile",IF(I1340="Missing","WARN: Missing KYC",IF(I1340="Expired","WARN: KYC Expired",IF(I1340="Pending","INFO: KYC Pending","OK"))))</f>
        <v/>
      </c>
    </row>
    <row r="1341">
      <c r="A1341" s="4">
        <f>Raw_Transactions!A1341</f>
        <v/>
      </c>
      <c r="B1341" s="4">
        <f>Raw_Transactions!B1341</f>
        <v/>
      </c>
      <c r="C1341" s="4">
        <f>Raw_Transactions!C1341</f>
        <v/>
      </c>
      <c r="D1341" s="5">
        <f>Raw_Transactions!D1341</f>
        <v/>
      </c>
      <c r="E1341" s="4">
        <f>Raw_Transactions!E1341</f>
        <v/>
      </c>
      <c r="F1341" s="4">
        <f>Raw_Transactions!F1341</f>
        <v/>
      </c>
      <c r="G1341" s="4">
        <f>Raw_Transactions!G1341</f>
        <v/>
      </c>
      <c r="H1341" s="4">
        <f>XLOOKUP(B1341,Raw_Risk_Profiles!$A:$A,Raw_Risk_Profiles!$B:$B,"Not Found")</f>
        <v/>
      </c>
      <c r="I1341" s="4">
        <f>XLOOKUP(B1341,Raw_Risk_Profiles!$A:$A,Raw_Risk_Profiles!$C:$C,"Missing")</f>
        <v/>
      </c>
      <c r="J1341" s="4">
        <f>XLOOKUP(B1341,Raw_Risk_Profiles!$A:$A,Raw_Risk_Profiles!$D:$D,"")</f>
        <v/>
      </c>
      <c r="K1341" s="4">
        <f>IFERROR(INDEX(Raw_Risk_Profiles!$E:$E,MATCH(B1341,Raw_Risk_Profiles!$A:$A,0)),"Unknown")</f>
        <v/>
      </c>
      <c r="L1341" s="4">
        <f>IFERROR(XLOOKUP(A1341,Raw_Alerts!$B:$B,Raw_Alerts!$A:$A),"No Alert")</f>
        <v/>
      </c>
      <c r="M1341" s="4">
        <f>IFERROR(XLOOKUP(A1341,Raw_Alerts!$B:$B,Raw_Alerts!$C:$C),"")</f>
        <v/>
      </c>
      <c r="N1341" s="4">
        <f>IFERROR(XLOOKUP(A1341,Raw_Alerts!$B:$B,Raw_Alerts!$D:$D),"")</f>
        <v/>
      </c>
      <c r="O1341" s="4">
        <f>IFERROR(XLOOKUP(A1341,Raw_Alerts!$B:$B,Raw_Alerts!$F:$F),"")</f>
        <v/>
      </c>
      <c r="P1341" s="4">
        <f>IF(H1341="Not Found","CRITICAL: No Risk Profile",IF(I1341="Missing","WARN: Missing KYC",IF(I1341="Expired","WARN: KYC Expired",IF(I1341="Pending","INFO: KYC Pending","OK"))))</f>
        <v/>
      </c>
    </row>
    <row r="1342">
      <c r="A1342" s="2">
        <f>Raw_Transactions!A1342</f>
        <v/>
      </c>
      <c r="B1342" s="2">
        <f>Raw_Transactions!B1342</f>
        <v/>
      </c>
      <c r="C1342" s="2">
        <f>Raw_Transactions!C1342</f>
        <v/>
      </c>
      <c r="D1342" s="3">
        <f>Raw_Transactions!D1342</f>
        <v/>
      </c>
      <c r="E1342" s="2">
        <f>Raw_Transactions!E1342</f>
        <v/>
      </c>
      <c r="F1342" s="2">
        <f>Raw_Transactions!F1342</f>
        <v/>
      </c>
      <c r="G1342" s="2">
        <f>Raw_Transactions!G1342</f>
        <v/>
      </c>
      <c r="H1342" s="2">
        <f>XLOOKUP(B1342,Raw_Risk_Profiles!$A:$A,Raw_Risk_Profiles!$B:$B,"Not Found")</f>
        <v/>
      </c>
      <c r="I1342" s="2">
        <f>XLOOKUP(B1342,Raw_Risk_Profiles!$A:$A,Raw_Risk_Profiles!$C:$C,"Missing")</f>
        <v/>
      </c>
      <c r="J1342" s="2">
        <f>XLOOKUP(B1342,Raw_Risk_Profiles!$A:$A,Raw_Risk_Profiles!$D:$D,"")</f>
        <v/>
      </c>
      <c r="K1342" s="2">
        <f>IFERROR(INDEX(Raw_Risk_Profiles!$E:$E,MATCH(B1342,Raw_Risk_Profiles!$A:$A,0)),"Unknown")</f>
        <v/>
      </c>
      <c r="L1342" s="2">
        <f>IFERROR(XLOOKUP(A1342,Raw_Alerts!$B:$B,Raw_Alerts!$A:$A),"No Alert")</f>
        <v/>
      </c>
      <c r="M1342" s="2">
        <f>IFERROR(XLOOKUP(A1342,Raw_Alerts!$B:$B,Raw_Alerts!$C:$C),"")</f>
        <v/>
      </c>
      <c r="N1342" s="2">
        <f>IFERROR(XLOOKUP(A1342,Raw_Alerts!$B:$B,Raw_Alerts!$D:$D),"")</f>
        <v/>
      </c>
      <c r="O1342" s="2">
        <f>IFERROR(XLOOKUP(A1342,Raw_Alerts!$B:$B,Raw_Alerts!$F:$F),"")</f>
        <v/>
      </c>
      <c r="P1342" s="2">
        <f>IF(H1342="Not Found","CRITICAL: No Risk Profile",IF(I1342="Missing","WARN: Missing KYC",IF(I1342="Expired","WARN: KYC Expired",IF(I1342="Pending","INFO: KYC Pending","OK"))))</f>
        <v/>
      </c>
    </row>
    <row r="1343">
      <c r="A1343" s="4">
        <f>Raw_Transactions!A1343</f>
        <v/>
      </c>
      <c r="B1343" s="4">
        <f>Raw_Transactions!B1343</f>
        <v/>
      </c>
      <c r="C1343" s="4">
        <f>Raw_Transactions!C1343</f>
        <v/>
      </c>
      <c r="D1343" s="5">
        <f>Raw_Transactions!D1343</f>
        <v/>
      </c>
      <c r="E1343" s="4">
        <f>Raw_Transactions!E1343</f>
        <v/>
      </c>
      <c r="F1343" s="4">
        <f>Raw_Transactions!F1343</f>
        <v/>
      </c>
      <c r="G1343" s="4">
        <f>Raw_Transactions!G1343</f>
        <v/>
      </c>
      <c r="H1343" s="4">
        <f>XLOOKUP(B1343,Raw_Risk_Profiles!$A:$A,Raw_Risk_Profiles!$B:$B,"Not Found")</f>
        <v/>
      </c>
      <c r="I1343" s="4">
        <f>XLOOKUP(B1343,Raw_Risk_Profiles!$A:$A,Raw_Risk_Profiles!$C:$C,"Missing")</f>
        <v/>
      </c>
      <c r="J1343" s="4">
        <f>XLOOKUP(B1343,Raw_Risk_Profiles!$A:$A,Raw_Risk_Profiles!$D:$D,"")</f>
        <v/>
      </c>
      <c r="K1343" s="4">
        <f>IFERROR(INDEX(Raw_Risk_Profiles!$E:$E,MATCH(B1343,Raw_Risk_Profiles!$A:$A,0)),"Unknown")</f>
        <v/>
      </c>
      <c r="L1343" s="4">
        <f>IFERROR(XLOOKUP(A1343,Raw_Alerts!$B:$B,Raw_Alerts!$A:$A),"No Alert")</f>
        <v/>
      </c>
      <c r="M1343" s="4">
        <f>IFERROR(XLOOKUP(A1343,Raw_Alerts!$B:$B,Raw_Alerts!$C:$C),"")</f>
        <v/>
      </c>
      <c r="N1343" s="4">
        <f>IFERROR(XLOOKUP(A1343,Raw_Alerts!$B:$B,Raw_Alerts!$D:$D),"")</f>
        <v/>
      </c>
      <c r="O1343" s="4">
        <f>IFERROR(XLOOKUP(A1343,Raw_Alerts!$B:$B,Raw_Alerts!$F:$F),"")</f>
        <v/>
      </c>
      <c r="P1343" s="4">
        <f>IF(H1343="Not Found","CRITICAL: No Risk Profile",IF(I1343="Missing","WARN: Missing KYC",IF(I1343="Expired","WARN: KYC Expired",IF(I1343="Pending","INFO: KYC Pending","OK"))))</f>
        <v/>
      </c>
    </row>
    <row r="1344">
      <c r="A1344" s="2">
        <f>Raw_Transactions!A1344</f>
        <v/>
      </c>
      <c r="B1344" s="2">
        <f>Raw_Transactions!B1344</f>
        <v/>
      </c>
      <c r="C1344" s="2">
        <f>Raw_Transactions!C1344</f>
        <v/>
      </c>
      <c r="D1344" s="3">
        <f>Raw_Transactions!D1344</f>
        <v/>
      </c>
      <c r="E1344" s="2">
        <f>Raw_Transactions!E1344</f>
        <v/>
      </c>
      <c r="F1344" s="2">
        <f>Raw_Transactions!F1344</f>
        <v/>
      </c>
      <c r="G1344" s="2">
        <f>Raw_Transactions!G1344</f>
        <v/>
      </c>
      <c r="H1344" s="2">
        <f>XLOOKUP(B1344,Raw_Risk_Profiles!$A:$A,Raw_Risk_Profiles!$B:$B,"Not Found")</f>
        <v/>
      </c>
      <c r="I1344" s="2">
        <f>XLOOKUP(B1344,Raw_Risk_Profiles!$A:$A,Raw_Risk_Profiles!$C:$C,"Missing")</f>
        <v/>
      </c>
      <c r="J1344" s="2">
        <f>XLOOKUP(B1344,Raw_Risk_Profiles!$A:$A,Raw_Risk_Profiles!$D:$D,"")</f>
        <v/>
      </c>
      <c r="K1344" s="2">
        <f>IFERROR(INDEX(Raw_Risk_Profiles!$E:$E,MATCH(B1344,Raw_Risk_Profiles!$A:$A,0)),"Unknown")</f>
        <v/>
      </c>
      <c r="L1344" s="2">
        <f>IFERROR(XLOOKUP(A1344,Raw_Alerts!$B:$B,Raw_Alerts!$A:$A),"No Alert")</f>
        <v/>
      </c>
      <c r="M1344" s="2">
        <f>IFERROR(XLOOKUP(A1344,Raw_Alerts!$B:$B,Raw_Alerts!$C:$C),"")</f>
        <v/>
      </c>
      <c r="N1344" s="2">
        <f>IFERROR(XLOOKUP(A1344,Raw_Alerts!$B:$B,Raw_Alerts!$D:$D),"")</f>
        <v/>
      </c>
      <c r="O1344" s="2">
        <f>IFERROR(XLOOKUP(A1344,Raw_Alerts!$B:$B,Raw_Alerts!$F:$F),"")</f>
        <v/>
      </c>
      <c r="P1344" s="2">
        <f>IF(H1344="Not Found","CRITICAL: No Risk Profile",IF(I1344="Missing","WARN: Missing KYC",IF(I1344="Expired","WARN: KYC Expired",IF(I1344="Pending","INFO: KYC Pending","OK"))))</f>
        <v/>
      </c>
    </row>
    <row r="1345">
      <c r="A1345" s="4">
        <f>Raw_Transactions!A1345</f>
        <v/>
      </c>
      <c r="B1345" s="4">
        <f>Raw_Transactions!B1345</f>
        <v/>
      </c>
      <c r="C1345" s="4">
        <f>Raw_Transactions!C1345</f>
        <v/>
      </c>
      <c r="D1345" s="5">
        <f>Raw_Transactions!D1345</f>
        <v/>
      </c>
      <c r="E1345" s="4">
        <f>Raw_Transactions!E1345</f>
        <v/>
      </c>
      <c r="F1345" s="4">
        <f>Raw_Transactions!F1345</f>
        <v/>
      </c>
      <c r="G1345" s="4">
        <f>Raw_Transactions!G1345</f>
        <v/>
      </c>
      <c r="H1345" s="4">
        <f>XLOOKUP(B1345,Raw_Risk_Profiles!$A:$A,Raw_Risk_Profiles!$B:$B,"Not Found")</f>
        <v/>
      </c>
      <c r="I1345" s="4">
        <f>XLOOKUP(B1345,Raw_Risk_Profiles!$A:$A,Raw_Risk_Profiles!$C:$C,"Missing")</f>
        <v/>
      </c>
      <c r="J1345" s="4">
        <f>XLOOKUP(B1345,Raw_Risk_Profiles!$A:$A,Raw_Risk_Profiles!$D:$D,"")</f>
        <v/>
      </c>
      <c r="K1345" s="4">
        <f>IFERROR(INDEX(Raw_Risk_Profiles!$E:$E,MATCH(B1345,Raw_Risk_Profiles!$A:$A,0)),"Unknown")</f>
        <v/>
      </c>
      <c r="L1345" s="4">
        <f>IFERROR(XLOOKUP(A1345,Raw_Alerts!$B:$B,Raw_Alerts!$A:$A),"No Alert")</f>
        <v/>
      </c>
      <c r="M1345" s="4">
        <f>IFERROR(XLOOKUP(A1345,Raw_Alerts!$B:$B,Raw_Alerts!$C:$C),"")</f>
        <v/>
      </c>
      <c r="N1345" s="4">
        <f>IFERROR(XLOOKUP(A1345,Raw_Alerts!$B:$B,Raw_Alerts!$D:$D),"")</f>
        <v/>
      </c>
      <c r="O1345" s="4">
        <f>IFERROR(XLOOKUP(A1345,Raw_Alerts!$B:$B,Raw_Alerts!$F:$F),"")</f>
        <v/>
      </c>
      <c r="P1345" s="4">
        <f>IF(H1345="Not Found","CRITICAL: No Risk Profile",IF(I1345="Missing","WARN: Missing KYC",IF(I1345="Expired","WARN: KYC Expired",IF(I1345="Pending","INFO: KYC Pending","OK"))))</f>
        <v/>
      </c>
    </row>
    <row r="1346">
      <c r="A1346" s="2">
        <f>Raw_Transactions!A1346</f>
        <v/>
      </c>
      <c r="B1346" s="2">
        <f>Raw_Transactions!B1346</f>
        <v/>
      </c>
      <c r="C1346" s="2">
        <f>Raw_Transactions!C1346</f>
        <v/>
      </c>
      <c r="D1346" s="3">
        <f>Raw_Transactions!D1346</f>
        <v/>
      </c>
      <c r="E1346" s="2">
        <f>Raw_Transactions!E1346</f>
        <v/>
      </c>
      <c r="F1346" s="2">
        <f>Raw_Transactions!F1346</f>
        <v/>
      </c>
      <c r="G1346" s="2">
        <f>Raw_Transactions!G1346</f>
        <v/>
      </c>
      <c r="H1346" s="2">
        <f>XLOOKUP(B1346,Raw_Risk_Profiles!$A:$A,Raw_Risk_Profiles!$B:$B,"Not Found")</f>
        <v/>
      </c>
      <c r="I1346" s="2">
        <f>XLOOKUP(B1346,Raw_Risk_Profiles!$A:$A,Raw_Risk_Profiles!$C:$C,"Missing")</f>
        <v/>
      </c>
      <c r="J1346" s="2">
        <f>XLOOKUP(B1346,Raw_Risk_Profiles!$A:$A,Raw_Risk_Profiles!$D:$D,"")</f>
        <v/>
      </c>
      <c r="K1346" s="2">
        <f>IFERROR(INDEX(Raw_Risk_Profiles!$E:$E,MATCH(B1346,Raw_Risk_Profiles!$A:$A,0)),"Unknown")</f>
        <v/>
      </c>
      <c r="L1346" s="2">
        <f>IFERROR(XLOOKUP(A1346,Raw_Alerts!$B:$B,Raw_Alerts!$A:$A),"No Alert")</f>
        <v/>
      </c>
      <c r="M1346" s="2">
        <f>IFERROR(XLOOKUP(A1346,Raw_Alerts!$B:$B,Raw_Alerts!$C:$C),"")</f>
        <v/>
      </c>
      <c r="N1346" s="2">
        <f>IFERROR(XLOOKUP(A1346,Raw_Alerts!$B:$B,Raw_Alerts!$D:$D),"")</f>
        <v/>
      </c>
      <c r="O1346" s="2">
        <f>IFERROR(XLOOKUP(A1346,Raw_Alerts!$B:$B,Raw_Alerts!$F:$F),"")</f>
        <v/>
      </c>
      <c r="P1346" s="2">
        <f>IF(H1346="Not Found","CRITICAL: No Risk Profile",IF(I1346="Missing","WARN: Missing KYC",IF(I1346="Expired","WARN: KYC Expired",IF(I1346="Pending","INFO: KYC Pending","OK"))))</f>
        <v/>
      </c>
    </row>
    <row r="1347">
      <c r="A1347" s="4">
        <f>Raw_Transactions!A1347</f>
        <v/>
      </c>
      <c r="B1347" s="4">
        <f>Raw_Transactions!B1347</f>
        <v/>
      </c>
      <c r="C1347" s="4">
        <f>Raw_Transactions!C1347</f>
        <v/>
      </c>
      <c r="D1347" s="5">
        <f>Raw_Transactions!D1347</f>
        <v/>
      </c>
      <c r="E1347" s="4">
        <f>Raw_Transactions!E1347</f>
        <v/>
      </c>
      <c r="F1347" s="4">
        <f>Raw_Transactions!F1347</f>
        <v/>
      </c>
      <c r="G1347" s="4">
        <f>Raw_Transactions!G1347</f>
        <v/>
      </c>
      <c r="H1347" s="4">
        <f>XLOOKUP(B1347,Raw_Risk_Profiles!$A:$A,Raw_Risk_Profiles!$B:$B,"Not Found")</f>
        <v/>
      </c>
      <c r="I1347" s="4">
        <f>XLOOKUP(B1347,Raw_Risk_Profiles!$A:$A,Raw_Risk_Profiles!$C:$C,"Missing")</f>
        <v/>
      </c>
      <c r="J1347" s="4">
        <f>XLOOKUP(B1347,Raw_Risk_Profiles!$A:$A,Raw_Risk_Profiles!$D:$D,"")</f>
        <v/>
      </c>
      <c r="K1347" s="4">
        <f>IFERROR(INDEX(Raw_Risk_Profiles!$E:$E,MATCH(B1347,Raw_Risk_Profiles!$A:$A,0)),"Unknown")</f>
        <v/>
      </c>
      <c r="L1347" s="4">
        <f>IFERROR(XLOOKUP(A1347,Raw_Alerts!$B:$B,Raw_Alerts!$A:$A),"No Alert")</f>
        <v/>
      </c>
      <c r="M1347" s="4">
        <f>IFERROR(XLOOKUP(A1347,Raw_Alerts!$B:$B,Raw_Alerts!$C:$C),"")</f>
        <v/>
      </c>
      <c r="N1347" s="4">
        <f>IFERROR(XLOOKUP(A1347,Raw_Alerts!$B:$B,Raw_Alerts!$D:$D),"")</f>
        <v/>
      </c>
      <c r="O1347" s="4">
        <f>IFERROR(XLOOKUP(A1347,Raw_Alerts!$B:$B,Raw_Alerts!$F:$F),"")</f>
        <v/>
      </c>
      <c r="P1347" s="4">
        <f>IF(H1347="Not Found","CRITICAL: No Risk Profile",IF(I1347="Missing","WARN: Missing KYC",IF(I1347="Expired","WARN: KYC Expired",IF(I1347="Pending","INFO: KYC Pending","OK"))))</f>
        <v/>
      </c>
    </row>
    <row r="1348">
      <c r="A1348" s="2">
        <f>Raw_Transactions!A1348</f>
        <v/>
      </c>
      <c r="B1348" s="2">
        <f>Raw_Transactions!B1348</f>
        <v/>
      </c>
      <c r="C1348" s="2">
        <f>Raw_Transactions!C1348</f>
        <v/>
      </c>
      <c r="D1348" s="3">
        <f>Raw_Transactions!D1348</f>
        <v/>
      </c>
      <c r="E1348" s="2">
        <f>Raw_Transactions!E1348</f>
        <v/>
      </c>
      <c r="F1348" s="2">
        <f>Raw_Transactions!F1348</f>
        <v/>
      </c>
      <c r="G1348" s="2">
        <f>Raw_Transactions!G1348</f>
        <v/>
      </c>
      <c r="H1348" s="2">
        <f>XLOOKUP(B1348,Raw_Risk_Profiles!$A:$A,Raw_Risk_Profiles!$B:$B,"Not Found")</f>
        <v/>
      </c>
      <c r="I1348" s="2">
        <f>XLOOKUP(B1348,Raw_Risk_Profiles!$A:$A,Raw_Risk_Profiles!$C:$C,"Missing")</f>
        <v/>
      </c>
      <c r="J1348" s="2">
        <f>XLOOKUP(B1348,Raw_Risk_Profiles!$A:$A,Raw_Risk_Profiles!$D:$D,"")</f>
        <v/>
      </c>
      <c r="K1348" s="2">
        <f>IFERROR(INDEX(Raw_Risk_Profiles!$E:$E,MATCH(B1348,Raw_Risk_Profiles!$A:$A,0)),"Unknown")</f>
        <v/>
      </c>
      <c r="L1348" s="2">
        <f>IFERROR(XLOOKUP(A1348,Raw_Alerts!$B:$B,Raw_Alerts!$A:$A),"No Alert")</f>
        <v/>
      </c>
      <c r="M1348" s="2">
        <f>IFERROR(XLOOKUP(A1348,Raw_Alerts!$B:$B,Raw_Alerts!$C:$C),"")</f>
        <v/>
      </c>
      <c r="N1348" s="2">
        <f>IFERROR(XLOOKUP(A1348,Raw_Alerts!$B:$B,Raw_Alerts!$D:$D),"")</f>
        <v/>
      </c>
      <c r="O1348" s="2">
        <f>IFERROR(XLOOKUP(A1348,Raw_Alerts!$B:$B,Raw_Alerts!$F:$F),"")</f>
        <v/>
      </c>
      <c r="P1348" s="2">
        <f>IF(H1348="Not Found","CRITICAL: No Risk Profile",IF(I1348="Missing","WARN: Missing KYC",IF(I1348="Expired","WARN: KYC Expired",IF(I1348="Pending","INFO: KYC Pending","OK"))))</f>
        <v/>
      </c>
    </row>
    <row r="1349">
      <c r="A1349" s="4">
        <f>Raw_Transactions!A1349</f>
        <v/>
      </c>
      <c r="B1349" s="4">
        <f>Raw_Transactions!B1349</f>
        <v/>
      </c>
      <c r="C1349" s="4">
        <f>Raw_Transactions!C1349</f>
        <v/>
      </c>
      <c r="D1349" s="5">
        <f>Raw_Transactions!D1349</f>
        <v/>
      </c>
      <c r="E1349" s="4">
        <f>Raw_Transactions!E1349</f>
        <v/>
      </c>
      <c r="F1349" s="4">
        <f>Raw_Transactions!F1349</f>
        <v/>
      </c>
      <c r="G1349" s="4">
        <f>Raw_Transactions!G1349</f>
        <v/>
      </c>
      <c r="H1349" s="4">
        <f>XLOOKUP(B1349,Raw_Risk_Profiles!$A:$A,Raw_Risk_Profiles!$B:$B,"Not Found")</f>
        <v/>
      </c>
      <c r="I1349" s="4">
        <f>XLOOKUP(B1349,Raw_Risk_Profiles!$A:$A,Raw_Risk_Profiles!$C:$C,"Missing")</f>
        <v/>
      </c>
      <c r="J1349" s="4">
        <f>XLOOKUP(B1349,Raw_Risk_Profiles!$A:$A,Raw_Risk_Profiles!$D:$D,"")</f>
        <v/>
      </c>
      <c r="K1349" s="4">
        <f>IFERROR(INDEX(Raw_Risk_Profiles!$E:$E,MATCH(B1349,Raw_Risk_Profiles!$A:$A,0)),"Unknown")</f>
        <v/>
      </c>
      <c r="L1349" s="4">
        <f>IFERROR(XLOOKUP(A1349,Raw_Alerts!$B:$B,Raw_Alerts!$A:$A),"No Alert")</f>
        <v/>
      </c>
      <c r="M1349" s="4">
        <f>IFERROR(XLOOKUP(A1349,Raw_Alerts!$B:$B,Raw_Alerts!$C:$C),"")</f>
        <v/>
      </c>
      <c r="N1349" s="4">
        <f>IFERROR(XLOOKUP(A1349,Raw_Alerts!$B:$B,Raw_Alerts!$D:$D),"")</f>
        <v/>
      </c>
      <c r="O1349" s="4">
        <f>IFERROR(XLOOKUP(A1349,Raw_Alerts!$B:$B,Raw_Alerts!$F:$F),"")</f>
        <v/>
      </c>
      <c r="P1349" s="4">
        <f>IF(H1349="Not Found","CRITICAL: No Risk Profile",IF(I1349="Missing","WARN: Missing KYC",IF(I1349="Expired","WARN: KYC Expired",IF(I1349="Pending","INFO: KYC Pending","OK"))))</f>
        <v/>
      </c>
    </row>
    <row r="1350">
      <c r="A1350" s="2">
        <f>Raw_Transactions!A1350</f>
        <v/>
      </c>
      <c r="B1350" s="2">
        <f>Raw_Transactions!B1350</f>
        <v/>
      </c>
      <c r="C1350" s="2">
        <f>Raw_Transactions!C1350</f>
        <v/>
      </c>
      <c r="D1350" s="3">
        <f>Raw_Transactions!D1350</f>
        <v/>
      </c>
      <c r="E1350" s="2">
        <f>Raw_Transactions!E1350</f>
        <v/>
      </c>
      <c r="F1350" s="2">
        <f>Raw_Transactions!F1350</f>
        <v/>
      </c>
      <c r="G1350" s="2">
        <f>Raw_Transactions!G1350</f>
        <v/>
      </c>
      <c r="H1350" s="2">
        <f>XLOOKUP(B1350,Raw_Risk_Profiles!$A:$A,Raw_Risk_Profiles!$B:$B,"Not Found")</f>
        <v/>
      </c>
      <c r="I1350" s="2">
        <f>XLOOKUP(B1350,Raw_Risk_Profiles!$A:$A,Raw_Risk_Profiles!$C:$C,"Missing")</f>
        <v/>
      </c>
      <c r="J1350" s="2">
        <f>XLOOKUP(B1350,Raw_Risk_Profiles!$A:$A,Raw_Risk_Profiles!$D:$D,"")</f>
        <v/>
      </c>
      <c r="K1350" s="2">
        <f>IFERROR(INDEX(Raw_Risk_Profiles!$E:$E,MATCH(B1350,Raw_Risk_Profiles!$A:$A,0)),"Unknown")</f>
        <v/>
      </c>
      <c r="L1350" s="2">
        <f>IFERROR(XLOOKUP(A1350,Raw_Alerts!$B:$B,Raw_Alerts!$A:$A),"No Alert")</f>
        <v/>
      </c>
      <c r="M1350" s="2">
        <f>IFERROR(XLOOKUP(A1350,Raw_Alerts!$B:$B,Raw_Alerts!$C:$C),"")</f>
        <v/>
      </c>
      <c r="N1350" s="2">
        <f>IFERROR(XLOOKUP(A1350,Raw_Alerts!$B:$B,Raw_Alerts!$D:$D),"")</f>
        <v/>
      </c>
      <c r="O1350" s="2">
        <f>IFERROR(XLOOKUP(A1350,Raw_Alerts!$B:$B,Raw_Alerts!$F:$F),"")</f>
        <v/>
      </c>
      <c r="P1350" s="2">
        <f>IF(H1350="Not Found","CRITICAL: No Risk Profile",IF(I1350="Missing","WARN: Missing KYC",IF(I1350="Expired","WARN: KYC Expired",IF(I1350="Pending","INFO: KYC Pending","OK"))))</f>
        <v/>
      </c>
    </row>
    <row r="1351">
      <c r="A1351" s="4">
        <f>Raw_Transactions!A1351</f>
        <v/>
      </c>
      <c r="B1351" s="4">
        <f>Raw_Transactions!B1351</f>
        <v/>
      </c>
      <c r="C1351" s="4">
        <f>Raw_Transactions!C1351</f>
        <v/>
      </c>
      <c r="D1351" s="5">
        <f>Raw_Transactions!D1351</f>
        <v/>
      </c>
      <c r="E1351" s="4">
        <f>Raw_Transactions!E1351</f>
        <v/>
      </c>
      <c r="F1351" s="4">
        <f>Raw_Transactions!F1351</f>
        <v/>
      </c>
      <c r="G1351" s="4">
        <f>Raw_Transactions!G1351</f>
        <v/>
      </c>
      <c r="H1351" s="4">
        <f>XLOOKUP(B1351,Raw_Risk_Profiles!$A:$A,Raw_Risk_Profiles!$B:$B,"Not Found")</f>
        <v/>
      </c>
      <c r="I1351" s="4">
        <f>XLOOKUP(B1351,Raw_Risk_Profiles!$A:$A,Raw_Risk_Profiles!$C:$C,"Missing")</f>
        <v/>
      </c>
      <c r="J1351" s="4">
        <f>XLOOKUP(B1351,Raw_Risk_Profiles!$A:$A,Raw_Risk_Profiles!$D:$D,"")</f>
        <v/>
      </c>
      <c r="K1351" s="4">
        <f>IFERROR(INDEX(Raw_Risk_Profiles!$E:$E,MATCH(B1351,Raw_Risk_Profiles!$A:$A,0)),"Unknown")</f>
        <v/>
      </c>
      <c r="L1351" s="4">
        <f>IFERROR(XLOOKUP(A1351,Raw_Alerts!$B:$B,Raw_Alerts!$A:$A),"No Alert")</f>
        <v/>
      </c>
      <c r="M1351" s="4">
        <f>IFERROR(XLOOKUP(A1351,Raw_Alerts!$B:$B,Raw_Alerts!$C:$C),"")</f>
        <v/>
      </c>
      <c r="N1351" s="4">
        <f>IFERROR(XLOOKUP(A1351,Raw_Alerts!$B:$B,Raw_Alerts!$D:$D),"")</f>
        <v/>
      </c>
      <c r="O1351" s="4">
        <f>IFERROR(XLOOKUP(A1351,Raw_Alerts!$B:$B,Raw_Alerts!$F:$F),"")</f>
        <v/>
      </c>
      <c r="P1351" s="4">
        <f>IF(H1351="Not Found","CRITICAL: No Risk Profile",IF(I1351="Missing","WARN: Missing KYC",IF(I1351="Expired","WARN: KYC Expired",IF(I1351="Pending","INFO: KYC Pending","OK"))))</f>
        <v/>
      </c>
    </row>
    <row r="1352">
      <c r="A1352" s="2">
        <f>Raw_Transactions!A1352</f>
        <v/>
      </c>
      <c r="B1352" s="2">
        <f>Raw_Transactions!B1352</f>
        <v/>
      </c>
      <c r="C1352" s="2">
        <f>Raw_Transactions!C1352</f>
        <v/>
      </c>
      <c r="D1352" s="3">
        <f>Raw_Transactions!D1352</f>
        <v/>
      </c>
      <c r="E1352" s="2">
        <f>Raw_Transactions!E1352</f>
        <v/>
      </c>
      <c r="F1352" s="2">
        <f>Raw_Transactions!F1352</f>
        <v/>
      </c>
      <c r="G1352" s="2">
        <f>Raw_Transactions!G1352</f>
        <v/>
      </c>
      <c r="H1352" s="2">
        <f>XLOOKUP(B1352,Raw_Risk_Profiles!$A:$A,Raw_Risk_Profiles!$B:$B,"Not Found")</f>
        <v/>
      </c>
      <c r="I1352" s="2">
        <f>XLOOKUP(B1352,Raw_Risk_Profiles!$A:$A,Raw_Risk_Profiles!$C:$C,"Missing")</f>
        <v/>
      </c>
      <c r="J1352" s="2">
        <f>XLOOKUP(B1352,Raw_Risk_Profiles!$A:$A,Raw_Risk_Profiles!$D:$D,"")</f>
        <v/>
      </c>
      <c r="K1352" s="2">
        <f>IFERROR(INDEX(Raw_Risk_Profiles!$E:$E,MATCH(B1352,Raw_Risk_Profiles!$A:$A,0)),"Unknown")</f>
        <v/>
      </c>
      <c r="L1352" s="2">
        <f>IFERROR(XLOOKUP(A1352,Raw_Alerts!$B:$B,Raw_Alerts!$A:$A),"No Alert")</f>
        <v/>
      </c>
      <c r="M1352" s="2">
        <f>IFERROR(XLOOKUP(A1352,Raw_Alerts!$B:$B,Raw_Alerts!$C:$C),"")</f>
        <v/>
      </c>
      <c r="N1352" s="2">
        <f>IFERROR(XLOOKUP(A1352,Raw_Alerts!$B:$B,Raw_Alerts!$D:$D),"")</f>
        <v/>
      </c>
      <c r="O1352" s="2">
        <f>IFERROR(XLOOKUP(A1352,Raw_Alerts!$B:$B,Raw_Alerts!$F:$F),"")</f>
        <v/>
      </c>
      <c r="P1352" s="2">
        <f>IF(H1352="Not Found","CRITICAL: No Risk Profile",IF(I1352="Missing","WARN: Missing KYC",IF(I1352="Expired","WARN: KYC Expired",IF(I1352="Pending","INFO: KYC Pending","OK"))))</f>
        <v/>
      </c>
    </row>
    <row r="1353">
      <c r="A1353" s="4">
        <f>Raw_Transactions!A1353</f>
        <v/>
      </c>
      <c r="B1353" s="4">
        <f>Raw_Transactions!B1353</f>
        <v/>
      </c>
      <c r="C1353" s="4">
        <f>Raw_Transactions!C1353</f>
        <v/>
      </c>
      <c r="D1353" s="5">
        <f>Raw_Transactions!D1353</f>
        <v/>
      </c>
      <c r="E1353" s="4">
        <f>Raw_Transactions!E1353</f>
        <v/>
      </c>
      <c r="F1353" s="4">
        <f>Raw_Transactions!F1353</f>
        <v/>
      </c>
      <c r="G1353" s="4">
        <f>Raw_Transactions!G1353</f>
        <v/>
      </c>
      <c r="H1353" s="4">
        <f>XLOOKUP(B1353,Raw_Risk_Profiles!$A:$A,Raw_Risk_Profiles!$B:$B,"Not Found")</f>
        <v/>
      </c>
      <c r="I1353" s="4">
        <f>XLOOKUP(B1353,Raw_Risk_Profiles!$A:$A,Raw_Risk_Profiles!$C:$C,"Missing")</f>
        <v/>
      </c>
      <c r="J1353" s="4">
        <f>XLOOKUP(B1353,Raw_Risk_Profiles!$A:$A,Raw_Risk_Profiles!$D:$D,"")</f>
        <v/>
      </c>
      <c r="K1353" s="4">
        <f>IFERROR(INDEX(Raw_Risk_Profiles!$E:$E,MATCH(B1353,Raw_Risk_Profiles!$A:$A,0)),"Unknown")</f>
        <v/>
      </c>
      <c r="L1353" s="4">
        <f>IFERROR(XLOOKUP(A1353,Raw_Alerts!$B:$B,Raw_Alerts!$A:$A),"No Alert")</f>
        <v/>
      </c>
      <c r="M1353" s="4">
        <f>IFERROR(XLOOKUP(A1353,Raw_Alerts!$B:$B,Raw_Alerts!$C:$C),"")</f>
        <v/>
      </c>
      <c r="N1353" s="4">
        <f>IFERROR(XLOOKUP(A1353,Raw_Alerts!$B:$B,Raw_Alerts!$D:$D),"")</f>
        <v/>
      </c>
      <c r="O1353" s="4">
        <f>IFERROR(XLOOKUP(A1353,Raw_Alerts!$B:$B,Raw_Alerts!$F:$F),"")</f>
        <v/>
      </c>
      <c r="P1353" s="4">
        <f>IF(H1353="Not Found","CRITICAL: No Risk Profile",IF(I1353="Missing","WARN: Missing KYC",IF(I1353="Expired","WARN: KYC Expired",IF(I1353="Pending","INFO: KYC Pending","OK"))))</f>
        <v/>
      </c>
    </row>
    <row r="1354">
      <c r="A1354" s="2">
        <f>Raw_Transactions!A1354</f>
        <v/>
      </c>
      <c r="B1354" s="2">
        <f>Raw_Transactions!B1354</f>
        <v/>
      </c>
      <c r="C1354" s="2">
        <f>Raw_Transactions!C1354</f>
        <v/>
      </c>
      <c r="D1354" s="3">
        <f>Raw_Transactions!D1354</f>
        <v/>
      </c>
      <c r="E1354" s="2">
        <f>Raw_Transactions!E1354</f>
        <v/>
      </c>
      <c r="F1354" s="2">
        <f>Raw_Transactions!F1354</f>
        <v/>
      </c>
      <c r="G1354" s="2">
        <f>Raw_Transactions!G1354</f>
        <v/>
      </c>
      <c r="H1354" s="2">
        <f>XLOOKUP(B1354,Raw_Risk_Profiles!$A:$A,Raw_Risk_Profiles!$B:$B,"Not Found")</f>
        <v/>
      </c>
      <c r="I1354" s="2">
        <f>XLOOKUP(B1354,Raw_Risk_Profiles!$A:$A,Raw_Risk_Profiles!$C:$C,"Missing")</f>
        <v/>
      </c>
      <c r="J1354" s="2">
        <f>XLOOKUP(B1354,Raw_Risk_Profiles!$A:$A,Raw_Risk_Profiles!$D:$D,"")</f>
        <v/>
      </c>
      <c r="K1354" s="2">
        <f>IFERROR(INDEX(Raw_Risk_Profiles!$E:$E,MATCH(B1354,Raw_Risk_Profiles!$A:$A,0)),"Unknown")</f>
        <v/>
      </c>
      <c r="L1354" s="2">
        <f>IFERROR(XLOOKUP(A1354,Raw_Alerts!$B:$B,Raw_Alerts!$A:$A),"No Alert")</f>
        <v/>
      </c>
      <c r="M1354" s="2">
        <f>IFERROR(XLOOKUP(A1354,Raw_Alerts!$B:$B,Raw_Alerts!$C:$C),"")</f>
        <v/>
      </c>
      <c r="N1354" s="2">
        <f>IFERROR(XLOOKUP(A1354,Raw_Alerts!$B:$B,Raw_Alerts!$D:$D),"")</f>
        <v/>
      </c>
      <c r="O1354" s="2">
        <f>IFERROR(XLOOKUP(A1354,Raw_Alerts!$B:$B,Raw_Alerts!$F:$F),"")</f>
        <v/>
      </c>
      <c r="P1354" s="2">
        <f>IF(H1354="Not Found","CRITICAL: No Risk Profile",IF(I1354="Missing","WARN: Missing KYC",IF(I1354="Expired","WARN: KYC Expired",IF(I1354="Pending","INFO: KYC Pending","OK"))))</f>
        <v/>
      </c>
    </row>
    <row r="1355">
      <c r="A1355" s="4">
        <f>Raw_Transactions!A1355</f>
        <v/>
      </c>
      <c r="B1355" s="4">
        <f>Raw_Transactions!B1355</f>
        <v/>
      </c>
      <c r="C1355" s="4">
        <f>Raw_Transactions!C1355</f>
        <v/>
      </c>
      <c r="D1355" s="5">
        <f>Raw_Transactions!D1355</f>
        <v/>
      </c>
      <c r="E1355" s="4">
        <f>Raw_Transactions!E1355</f>
        <v/>
      </c>
      <c r="F1355" s="4">
        <f>Raw_Transactions!F1355</f>
        <v/>
      </c>
      <c r="G1355" s="4">
        <f>Raw_Transactions!G1355</f>
        <v/>
      </c>
      <c r="H1355" s="4">
        <f>XLOOKUP(B1355,Raw_Risk_Profiles!$A:$A,Raw_Risk_Profiles!$B:$B,"Not Found")</f>
        <v/>
      </c>
      <c r="I1355" s="4">
        <f>XLOOKUP(B1355,Raw_Risk_Profiles!$A:$A,Raw_Risk_Profiles!$C:$C,"Missing")</f>
        <v/>
      </c>
      <c r="J1355" s="4">
        <f>XLOOKUP(B1355,Raw_Risk_Profiles!$A:$A,Raw_Risk_Profiles!$D:$D,"")</f>
        <v/>
      </c>
      <c r="K1355" s="4">
        <f>IFERROR(INDEX(Raw_Risk_Profiles!$E:$E,MATCH(B1355,Raw_Risk_Profiles!$A:$A,0)),"Unknown")</f>
        <v/>
      </c>
      <c r="L1355" s="4">
        <f>IFERROR(XLOOKUP(A1355,Raw_Alerts!$B:$B,Raw_Alerts!$A:$A),"No Alert")</f>
        <v/>
      </c>
      <c r="M1355" s="4">
        <f>IFERROR(XLOOKUP(A1355,Raw_Alerts!$B:$B,Raw_Alerts!$C:$C),"")</f>
        <v/>
      </c>
      <c r="N1355" s="4">
        <f>IFERROR(XLOOKUP(A1355,Raw_Alerts!$B:$B,Raw_Alerts!$D:$D),"")</f>
        <v/>
      </c>
      <c r="O1355" s="4">
        <f>IFERROR(XLOOKUP(A1355,Raw_Alerts!$B:$B,Raw_Alerts!$F:$F),"")</f>
        <v/>
      </c>
      <c r="P1355" s="4">
        <f>IF(H1355="Not Found","CRITICAL: No Risk Profile",IF(I1355="Missing","WARN: Missing KYC",IF(I1355="Expired","WARN: KYC Expired",IF(I1355="Pending","INFO: KYC Pending","OK"))))</f>
        <v/>
      </c>
    </row>
    <row r="1356">
      <c r="A1356" s="2">
        <f>Raw_Transactions!A1356</f>
        <v/>
      </c>
      <c r="B1356" s="2">
        <f>Raw_Transactions!B1356</f>
        <v/>
      </c>
      <c r="C1356" s="2">
        <f>Raw_Transactions!C1356</f>
        <v/>
      </c>
      <c r="D1356" s="3">
        <f>Raw_Transactions!D1356</f>
        <v/>
      </c>
      <c r="E1356" s="2">
        <f>Raw_Transactions!E1356</f>
        <v/>
      </c>
      <c r="F1356" s="2">
        <f>Raw_Transactions!F1356</f>
        <v/>
      </c>
      <c r="G1356" s="2">
        <f>Raw_Transactions!G1356</f>
        <v/>
      </c>
      <c r="H1356" s="2">
        <f>XLOOKUP(B1356,Raw_Risk_Profiles!$A:$A,Raw_Risk_Profiles!$B:$B,"Not Found")</f>
        <v/>
      </c>
      <c r="I1356" s="2">
        <f>XLOOKUP(B1356,Raw_Risk_Profiles!$A:$A,Raw_Risk_Profiles!$C:$C,"Missing")</f>
        <v/>
      </c>
      <c r="J1356" s="2">
        <f>XLOOKUP(B1356,Raw_Risk_Profiles!$A:$A,Raw_Risk_Profiles!$D:$D,"")</f>
        <v/>
      </c>
      <c r="K1356" s="2">
        <f>IFERROR(INDEX(Raw_Risk_Profiles!$E:$E,MATCH(B1356,Raw_Risk_Profiles!$A:$A,0)),"Unknown")</f>
        <v/>
      </c>
      <c r="L1356" s="2">
        <f>IFERROR(XLOOKUP(A1356,Raw_Alerts!$B:$B,Raw_Alerts!$A:$A),"No Alert")</f>
        <v/>
      </c>
      <c r="M1356" s="2">
        <f>IFERROR(XLOOKUP(A1356,Raw_Alerts!$B:$B,Raw_Alerts!$C:$C),"")</f>
        <v/>
      </c>
      <c r="N1356" s="2">
        <f>IFERROR(XLOOKUP(A1356,Raw_Alerts!$B:$B,Raw_Alerts!$D:$D),"")</f>
        <v/>
      </c>
      <c r="O1356" s="2">
        <f>IFERROR(XLOOKUP(A1356,Raw_Alerts!$B:$B,Raw_Alerts!$F:$F),"")</f>
        <v/>
      </c>
      <c r="P1356" s="2">
        <f>IF(H1356="Not Found","CRITICAL: No Risk Profile",IF(I1356="Missing","WARN: Missing KYC",IF(I1356="Expired","WARN: KYC Expired",IF(I1356="Pending","INFO: KYC Pending","OK"))))</f>
        <v/>
      </c>
    </row>
    <row r="1357">
      <c r="A1357" s="4">
        <f>Raw_Transactions!A1357</f>
        <v/>
      </c>
      <c r="B1357" s="4">
        <f>Raw_Transactions!B1357</f>
        <v/>
      </c>
      <c r="C1357" s="4">
        <f>Raw_Transactions!C1357</f>
        <v/>
      </c>
      <c r="D1357" s="5">
        <f>Raw_Transactions!D1357</f>
        <v/>
      </c>
      <c r="E1357" s="4">
        <f>Raw_Transactions!E1357</f>
        <v/>
      </c>
      <c r="F1357" s="4">
        <f>Raw_Transactions!F1357</f>
        <v/>
      </c>
      <c r="G1357" s="4">
        <f>Raw_Transactions!G1357</f>
        <v/>
      </c>
      <c r="H1357" s="4">
        <f>XLOOKUP(B1357,Raw_Risk_Profiles!$A:$A,Raw_Risk_Profiles!$B:$B,"Not Found")</f>
        <v/>
      </c>
      <c r="I1357" s="4">
        <f>XLOOKUP(B1357,Raw_Risk_Profiles!$A:$A,Raw_Risk_Profiles!$C:$C,"Missing")</f>
        <v/>
      </c>
      <c r="J1357" s="4">
        <f>XLOOKUP(B1357,Raw_Risk_Profiles!$A:$A,Raw_Risk_Profiles!$D:$D,"")</f>
        <v/>
      </c>
      <c r="K1357" s="4">
        <f>IFERROR(INDEX(Raw_Risk_Profiles!$E:$E,MATCH(B1357,Raw_Risk_Profiles!$A:$A,0)),"Unknown")</f>
        <v/>
      </c>
      <c r="L1357" s="4">
        <f>IFERROR(XLOOKUP(A1357,Raw_Alerts!$B:$B,Raw_Alerts!$A:$A),"No Alert")</f>
        <v/>
      </c>
      <c r="M1357" s="4">
        <f>IFERROR(XLOOKUP(A1357,Raw_Alerts!$B:$B,Raw_Alerts!$C:$C),"")</f>
        <v/>
      </c>
      <c r="N1357" s="4">
        <f>IFERROR(XLOOKUP(A1357,Raw_Alerts!$B:$B,Raw_Alerts!$D:$D),"")</f>
        <v/>
      </c>
      <c r="O1357" s="4">
        <f>IFERROR(XLOOKUP(A1357,Raw_Alerts!$B:$B,Raw_Alerts!$F:$F),"")</f>
        <v/>
      </c>
      <c r="P1357" s="4">
        <f>IF(H1357="Not Found","CRITICAL: No Risk Profile",IF(I1357="Missing","WARN: Missing KYC",IF(I1357="Expired","WARN: KYC Expired",IF(I1357="Pending","INFO: KYC Pending","OK"))))</f>
        <v/>
      </c>
    </row>
    <row r="1358">
      <c r="A1358" s="2">
        <f>Raw_Transactions!A1358</f>
        <v/>
      </c>
      <c r="B1358" s="2">
        <f>Raw_Transactions!B1358</f>
        <v/>
      </c>
      <c r="C1358" s="2">
        <f>Raw_Transactions!C1358</f>
        <v/>
      </c>
      <c r="D1358" s="3">
        <f>Raw_Transactions!D1358</f>
        <v/>
      </c>
      <c r="E1358" s="2">
        <f>Raw_Transactions!E1358</f>
        <v/>
      </c>
      <c r="F1358" s="2">
        <f>Raw_Transactions!F1358</f>
        <v/>
      </c>
      <c r="G1358" s="2">
        <f>Raw_Transactions!G1358</f>
        <v/>
      </c>
      <c r="H1358" s="2">
        <f>XLOOKUP(B1358,Raw_Risk_Profiles!$A:$A,Raw_Risk_Profiles!$B:$B,"Not Found")</f>
        <v/>
      </c>
      <c r="I1358" s="2">
        <f>XLOOKUP(B1358,Raw_Risk_Profiles!$A:$A,Raw_Risk_Profiles!$C:$C,"Missing")</f>
        <v/>
      </c>
      <c r="J1358" s="2">
        <f>XLOOKUP(B1358,Raw_Risk_Profiles!$A:$A,Raw_Risk_Profiles!$D:$D,"")</f>
        <v/>
      </c>
      <c r="K1358" s="2">
        <f>IFERROR(INDEX(Raw_Risk_Profiles!$E:$E,MATCH(B1358,Raw_Risk_Profiles!$A:$A,0)),"Unknown")</f>
        <v/>
      </c>
      <c r="L1358" s="2">
        <f>IFERROR(XLOOKUP(A1358,Raw_Alerts!$B:$B,Raw_Alerts!$A:$A),"No Alert")</f>
        <v/>
      </c>
      <c r="M1358" s="2">
        <f>IFERROR(XLOOKUP(A1358,Raw_Alerts!$B:$B,Raw_Alerts!$C:$C),"")</f>
        <v/>
      </c>
      <c r="N1358" s="2">
        <f>IFERROR(XLOOKUP(A1358,Raw_Alerts!$B:$B,Raw_Alerts!$D:$D),"")</f>
        <v/>
      </c>
      <c r="O1358" s="2">
        <f>IFERROR(XLOOKUP(A1358,Raw_Alerts!$B:$B,Raw_Alerts!$F:$F),"")</f>
        <v/>
      </c>
      <c r="P1358" s="2">
        <f>IF(H1358="Not Found","CRITICAL: No Risk Profile",IF(I1358="Missing","WARN: Missing KYC",IF(I1358="Expired","WARN: KYC Expired",IF(I1358="Pending","INFO: KYC Pending","OK"))))</f>
        <v/>
      </c>
    </row>
    <row r="1359">
      <c r="A1359" s="4">
        <f>Raw_Transactions!A1359</f>
        <v/>
      </c>
      <c r="B1359" s="4">
        <f>Raw_Transactions!B1359</f>
        <v/>
      </c>
      <c r="C1359" s="4">
        <f>Raw_Transactions!C1359</f>
        <v/>
      </c>
      <c r="D1359" s="5">
        <f>Raw_Transactions!D1359</f>
        <v/>
      </c>
      <c r="E1359" s="4">
        <f>Raw_Transactions!E1359</f>
        <v/>
      </c>
      <c r="F1359" s="4">
        <f>Raw_Transactions!F1359</f>
        <v/>
      </c>
      <c r="G1359" s="4">
        <f>Raw_Transactions!G1359</f>
        <v/>
      </c>
      <c r="H1359" s="4">
        <f>XLOOKUP(B1359,Raw_Risk_Profiles!$A:$A,Raw_Risk_Profiles!$B:$B,"Not Found")</f>
        <v/>
      </c>
      <c r="I1359" s="4">
        <f>XLOOKUP(B1359,Raw_Risk_Profiles!$A:$A,Raw_Risk_Profiles!$C:$C,"Missing")</f>
        <v/>
      </c>
      <c r="J1359" s="4">
        <f>XLOOKUP(B1359,Raw_Risk_Profiles!$A:$A,Raw_Risk_Profiles!$D:$D,"")</f>
        <v/>
      </c>
      <c r="K1359" s="4">
        <f>IFERROR(INDEX(Raw_Risk_Profiles!$E:$E,MATCH(B1359,Raw_Risk_Profiles!$A:$A,0)),"Unknown")</f>
        <v/>
      </c>
      <c r="L1359" s="4">
        <f>IFERROR(XLOOKUP(A1359,Raw_Alerts!$B:$B,Raw_Alerts!$A:$A),"No Alert")</f>
        <v/>
      </c>
      <c r="M1359" s="4">
        <f>IFERROR(XLOOKUP(A1359,Raw_Alerts!$B:$B,Raw_Alerts!$C:$C),"")</f>
        <v/>
      </c>
      <c r="N1359" s="4">
        <f>IFERROR(XLOOKUP(A1359,Raw_Alerts!$B:$B,Raw_Alerts!$D:$D),"")</f>
        <v/>
      </c>
      <c r="O1359" s="4">
        <f>IFERROR(XLOOKUP(A1359,Raw_Alerts!$B:$B,Raw_Alerts!$F:$F),"")</f>
        <v/>
      </c>
      <c r="P1359" s="4">
        <f>IF(H1359="Not Found","CRITICAL: No Risk Profile",IF(I1359="Missing","WARN: Missing KYC",IF(I1359="Expired","WARN: KYC Expired",IF(I1359="Pending","INFO: KYC Pending","OK"))))</f>
        <v/>
      </c>
    </row>
    <row r="1360">
      <c r="A1360" s="2">
        <f>Raw_Transactions!A1360</f>
        <v/>
      </c>
      <c r="B1360" s="2">
        <f>Raw_Transactions!B1360</f>
        <v/>
      </c>
      <c r="C1360" s="2">
        <f>Raw_Transactions!C1360</f>
        <v/>
      </c>
      <c r="D1360" s="3">
        <f>Raw_Transactions!D1360</f>
        <v/>
      </c>
      <c r="E1360" s="2">
        <f>Raw_Transactions!E1360</f>
        <v/>
      </c>
      <c r="F1360" s="2">
        <f>Raw_Transactions!F1360</f>
        <v/>
      </c>
      <c r="G1360" s="2">
        <f>Raw_Transactions!G1360</f>
        <v/>
      </c>
      <c r="H1360" s="2">
        <f>XLOOKUP(B1360,Raw_Risk_Profiles!$A:$A,Raw_Risk_Profiles!$B:$B,"Not Found")</f>
        <v/>
      </c>
      <c r="I1360" s="2">
        <f>XLOOKUP(B1360,Raw_Risk_Profiles!$A:$A,Raw_Risk_Profiles!$C:$C,"Missing")</f>
        <v/>
      </c>
      <c r="J1360" s="2">
        <f>XLOOKUP(B1360,Raw_Risk_Profiles!$A:$A,Raw_Risk_Profiles!$D:$D,"")</f>
        <v/>
      </c>
      <c r="K1360" s="2">
        <f>IFERROR(INDEX(Raw_Risk_Profiles!$E:$E,MATCH(B1360,Raw_Risk_Profiles!$A:$A,0)),"Unknown")</f>
        <v/>
      </c>
      <c r="L1360" s="2">
        <f>IFERROR(XLOOKUP(A1360,Raw_Alerts!$B:$B,Raw_Alerts!$A:$A),"No Alert")</f>
        <v/>
      </c>
      <c r="M1360" s="2">
        <f>IFERROR(XLOOKUP(A1360,Raw_Alerts!$B:$B,Raw_Alerts!$C:$C),"")</f>
        <v/>
      </c>
      <c r="N1360" s="2">
        <f>IFERROR(XLOOKUP(A1360,Raw_Alerts!$B:$B,Raw_Alerts!$D:$D),"")</f>
        <v/>
      </c>
      <c r="O1360" s="2">
        <f>IFERROR(XLOOKUP(A1360,Raw_Alerts!$B:$B,Raw_Alerts!$F:$F),"")</f>
        <v/>
      </c>
      <c r="P1360" s="2">
        <f>IF(H1360="Not Found","CRITICAL: No Risk Profile",IF(I1360="Missing","WARN: Missing KYC",IF(I1360="Expired","WARN: KYC Expired",IF(I1360="Pending","INFO: KYC Pending","OK"))))</f>
        <v/>
      </c>
    </row>
    <row r="1361">
      <c r="A1361" s="4">
        <f>Raw_Transactions!A1361</f>
        <v/>
      </c>
      <c r="B1361" s="4">
        <f>Raw_Transactions!B1361</f>
        <v/>
      </c>
      <c r="C1361" s="4">
        <f>Raw_Transactions!C1361</f>
        <v/>
      </c>
      <c r="D1361" s="5">
        <f>Raw_Transactions!D1361</f>
        <v/>
      </c>
      <c r="E1361" s="4">
        <f>Raw_Transactions!E1361</f>
        <v/>
      </c>
      <c r="F1361" s="4">
        <f>Raw_Transactions!F1361</f>
        <v/>
      </c>
      <c r="G1361" s="4">
        <f>Raw_Transactions!G1361</f>
        <v/>
      </c>
      <c r="H1361" s="4">
        <f>XLOOKUP(B1361,Raw_Risk_Profiles!$A:$A,Raw_Risk_Profiles!$B:$B,"Not Found")</f>
        <v/>
      </c>
      <c r="I1361" s="4">
        <f>XLOOKUP(B1361,Raw_Risk_Profiles!$A:$A,Raw_Risk_Profiles!$C:$C,"Missing")</f>
        <v/>
      </c>
      <c r="J1361" s="4">
        <f>XLOOKUP(B1361,Raw_Risk_Profiles!$A:$A,Raw_Risk_Profiles!$D:$D,"")</f>
        <v/>
      </c>
      <c r="K1361" s="4">
        <f>IFERROR(INDEX(Raw_Risk_Profiles!$E:$E,MATCH(B1361,Raw_Risk_Profiles!$A:$A,0)),"Unknown")</f>
        <v/>
      </c>
      <c r="L1361" s="4">
        <f>IFERROR(XLOOKUP(A1361,Raw_Alerts!$B:$B,Raw_Alerts!$A:$A),"No Alert")</f>
        <v/>
      </c>
      <c r="M1361" s="4">
        <f>IFERROR(XLOOKUP(A1361,Raw_Alerts!$B:$B,Raw_Alerts!$C:$C),"")</f>
        <v/>
      </c>
      <c r="N1361" s="4">
        <f>IFERROR(XLOOKUP(A1361,Raw_Alerts!$B:$B,Raw_Alerts!$D:$D),"")</f>
        <v/>
      </c>
      <c r="O1361" s="4">
        <f>IFERROR(XLOOKUP(A1361,Raw_Alerts!$B:$B,Raw_Alerts!$F:$F),"")</f>
        <v/>
      </c>
      <c r="P1361" s="4">
        <f>IF(H1361="Not Found","CRITICAL: No Risk Profile",IF(I1361="Missing","WARN: Missing KYC",IF(I1361="Expired","WARN: KYC Expired",IF(I1361="Pending","INFO: KYC Pending","OK"))))</f>
        <v/>
      </c>
    </row>
    <row r="1362">
      <c r="A1362" s="2">
        <f>Raw_Transactions!A1362</f>
        <v/>
      </c>
      <c r="B1362" s="2">
        <f>Raw_Transactions!B1362</f>
        <v/>
      </c>
      <c r="C1362" s="2">
        <f>Raw_Transactions!C1362</f>
        <v/>
      </c>
      <c r="D1362" s="3">
        <f>Raw_Transactions!D1362</f>
        <v/>
      </c>
      <c r="E1362" s="2">
        <f>Raw_Transactions!E1362</f>
        <v/>
      </c>
      <c r="F1362" s="2">
        <f>Raw_Transactions!F1362</f>
        <v/>
      </c>
      <c r="G1362" s="2">
        <f>Raw_Transactions!G1362</f>
        <v/>
      </c>
      <c r="H1362" s="2">
        <f>XLOOKUP(B1362,Raw_Risk_Profiles!$A:$A,Raw_Risk_Profiles!$B:$B,"Not Found")</f>
        <v/>
      </c>
      <c r="I1362" s="2">
        <f>XLOOKUP(B1362,Raw_Risk_Profiles!$A:$A,Raw_Risk_Profiles!$C:$C,"Missing")</f>
        <v/>
      </c>
      <c r="J1362" s="2">
        <f>XLOOKUP(B1362,Raw_Risk_Profiles!$A:$A,Raw_Risk_Profiles!$D:$D,"")</f>
        <v/>
      </c>
      <c r="K1362" s="2">
        <f>IFERROR(INDEX(Raw_Risk_Profiles!$E:$E,MATCH(B1362,Raw_Risk_Profiles!$A:$A,0)),"Unknown")</f>
        <v/>
      </c>
      <c r="L1362" s="2">
        <f>IFERROR(XLOOKUP(A1362,Raw_Alerts!$B:$B,Raw_Alerts!$A:$A),"No Alert")</f>
        <v/>
      </c>
      <c r="M1362" s="2">
        <f>IFERROR(XLOOKUP(A1362,Raw_Alerts!$B:$B,Raw_Alerts!$C:$C),"")</f>
        <v/>
      </c>
      <c r="N1362" s="2">
        <f>IFERROR(XLOOKUP(A1362,Raw_Alerts!$B:$B,Raw_Alerts!$D:$D),"")</f>
        <v/>
      </c>
      <c r="O1362" s="2">
        <f>IFERROR(XLOOKUP(A1362,Raw_Alerts!$B:$B,Raw_Alerts!$F:$F),"")</f>
        <v/>
      </c>
      <c r="P1362" s="2">
        <f>IF(H1362="Not Found","CRITICAL: No Risk Profile",IF(I1362="Missing","WARN: Missing KYC",IF(I1362="Expired","WARN: KYC Expired",IF(I1362="Pending","INFO: KYC Pending","OK"))))</f>
        <v/>
      </c>
    </row>
    <row r="1363">
      <c r="A1363" s="4">
        <f>Raw_Transactions!A1363</f>
        <v/>
      </c>
      <c r="B1363" s="4">
        <f>Raw_Transactions!B1363</f>
        <v/>
      </c>
      <c r="C1363" s="4">
        <f>Raw_Transactions!C1363</f>
        <v/>
      </c>
      <c r="D1363" s="5">
        <f>Raw_Transactions!D1363</f>
        <v/>
      </c>
      <c r="E1363" s="4">
        <f>Raw_Transactions!E1363</f>
        <v/>
      </c>
      <c r="F1363" s="4">
        <f>Raw_Transactions!F1363</f>
        <v/>
      </c>
      <c r="G1363" s="4">
        <f>Raw_Transactions!G1363</f>
        <v/>
      </c>
      <c r="H1363" s="4">
        <f>XLOOKUP(B1363,Raw_Risk_Profiles!$A:$A,Raw_Risk_Profiles!$B:$B,"Not Found")</f>
        <v/>
      </c>
      <c r="I1363" s="4">
        <f>XLOOKUP(B1363,Raw_Risk_Profiles!$A:$A,Raw_Risk_Profiles!$C:$C,"Missing")</f>
        <v/>
      </c>
      <c r="J1363" s="4">
        <f>XLOOKUP(B1363,Raw_Risk_Profiles!$A:$A,Raw_Risk_Profiles!$D:$D,"")</f>
        <v/>
      </c>
      <c r="K1363" s="4">
        <f>IFERROR(INDEX(Raw_Risk_Profiles!$E:$E,MATCH(B1363,Raw_Risk_Profiles!$A:$A,0)),"Unknown")</f>
        <v/>
      </c>
      <c r="L1363" s="4">
        <f>IFERROR(XLOOKUP(A1363,Raw_Alerts!$B:$B,Raw_Alerts!$A:$A),"No Alert")</f>
        <v/>
      </c>
      <c r="M1363" s="4">
        <f>IFERROR(XLOOKUP(A1363,Raw_Alerts!$B:$B,Raw_Alerts!$C:$C),"")</f>
        <v/>
      </c>
      <c r="N1363" s="4">
        <f>IFERROR(XLOOKUP(A1363,Raw_Alerts!$B:$B,Raw_Alerts!$D:$D),"")</f>
        <v/>
      </c>
      <c r="O1363" s="4">
        <f>IFERROR(XLOOKUP(A1363,Raw_Alerts!$B:$B,Raw_Alerts!$F:$F),"")</f>
        <v/>
      </c>
      <c r="P1363" s="4">
        <f>IF(H1363="Not Found","CRITICAL: No Risk Profile",IF(I1363="Missing","WARN: Missing KYC",IF(I1363="Expired","WARN: KYC Expired",IF(I1363="Pending","INFO: KYC Pending","OK"))))</f>
        <v/>
      </c>
    </row>
    <row r="1364">
      <c r="A1364" s="2">
        <f>Raw_Transactions!A1364</f>
        <v/>
      </c>
      <c r="B1364" s="2">
        <f>Raw_Transactions!B1364</f>
        <v/>
      </c>
      <c r="C1364" s="2">
        <f>Raw_Transactions!C1364</f>
        <v/>
      </c>
      <c r="D1364" s="3">
        <f>Raw_Transactions!D1364</f>
        <v/>
      </c>
      <c r="E1364" s="2">
        <f>Raw_Transactions!E1364</f>
        <v/>
      </c>
      <c r="F1364" s="2">
        <f>Raw_Transactions!F1364</f>
        <v/>
      </c>
      <c r="G1364" s="2">
        <f>Raw_Transactions!G1364</f>
        <v/>
      </c>
      <c r="H1364" s="2">
        <f>XLOOKUP(B1364,Raw_Risk_Profiles!$A:$A,Raw_Risk_Profiles!$B:$B,"Not Found")</f>
        <v/>
      </c>
      <c r="I1364" s="2">
        <f>XLOOKUP(B1364,Raw_Risk_Profiles!$A:$A,Raw_Risk_Profiles!$C:$C,"Missing")</f>
        <v/>
      </c>
      <c r="J1364" s="2">
        <f>XLOOKUP(B1364,Raw_Risk_Profiles!$A:$A,Raw_Risk_Profiles!$D:$D,"")</f>
        <v/>
      </c>
      <c r="K1364" s="2">
        <f>IFERROR(INDEX(Raw_Risk_Profiles!$E:$E,MATCH(B1364,Raw_Risk_Profiles!$A:$A,0)),"Unknown")</f>
        <v/>
      </c>
      <c r="L1364" s="2">
        <f>IFERROR(XLOOKUP(A1364,Raw_Alerts!$B:$B,Raw_Alerts!$A:$A),"No Alert")</f>
        <v/>
      </c>
      <c r="M1364" s="2">
        <f>IFERROR(XLOOKUP(A1364,Raw_Alerts!$B:$B,Raw_Alerts!$C:$C),"")</f>
        <v/>
      </c>
      <c r="N1364" s="2">
        <f>IFERROR(XLOOKUP(A1364,Raw_Alerts!$B:$B,Raw_Alerts!$D:$D),"")</f>
        <v/>
      </c>
      <c r="O1364" s="2">
        <f>IFERROR(XLOOKUP(A1364,Raw_Alerts!$B:$B,Raw_Alerts!$F:$F),"")</f>
        <v/>
      </c>
      <c r="P1364" s="2">
        <f>IF(H1364="Not Found","CRITICAL: No Risk Profile",IF(I1364="Missing","WARN: Missing KYC",IF(I1364="Expired","WARN: KYC Expired",IF(I1364="Pending","INFO: KYC Pending","OK"))))</f>
        <v/>
      </c>
    </row>
    <row r="1365">
      <c r="A1365" s="4">
        <f>Raw_Transactions!A1365</f>
        <v/>
      </c>
      <c r="B1365" s="4">
        <f>Raw_Transactions!B1365</f>
        <v/>
      </c>
      <c r="C1365" s="4">
        <f>Raw_Transactions!C1365</f>
        <v/>
      </c>
      <c r="D1365" s="5">
        <f>Raw_Transactions!D1365</f>
        <v/>
      </c>
      <c r="E1365" s="4">
        <f>Raw_Transactions!E1365</f>
        <v/>
      </c>
      <c r="F1365" s="4">
        <f>Raw_Transactions!F1365</f>
        <v/>
      </c>
      <c r="G1365" s="4">
        <f>Raw_Transactions!G1365</f>
        <v/>
      </c>
      <c r="H1365" s="4">
        <f>XLOOKUP(B1365,Raw_Risk_Profiles!$A:$A,Raw_Risk_Profiles!$B:$B,"Not Found")</f>
        <v/>
      </c>
      <c r="I1365" s="4">
        <f>XLOOKUP(B1365,Raw_Risk_Profiles!$A:$A,Raw_Risk_Profiles!$C:$C,"Missing")</f>
        <v/>
      </c>
      <c r="J1365" s="4">
        <f>XLOOKUP(B1365,Raw_Risk_Profiles!$A:$A,Raw_Risk_Profiles!$D:$D,"")</f>
        <v/>
      </c>
      <c r="K1365" s="4">
        <f>IFERROR(INDEX(Raw_Risk_Profiles!$E:$E,MATCH(B1365,Raw_Risk_Profiles!$A:$A,0)),"Unknown")</f>
        <v/>
      </c>
      <c r="L1365" s="4">
        <f>IFERROR(XLOOKUP(A1365,Raw_Alerts!$B:$B,Raw_Alerts!$A:$A),"No Alert")</f>
        <v/>
      </c>
      <c r="M1365" s="4">
        <f>IFERROR(XLOOKUP(A1365,Raw_Alerts!$B:$B,Raw_Alerts!$C:$C),"")</f>
        <v/>
      </c>
      <c r="N1365" s="4">
        <f>IFERROR(XLOOKUP(A1365,Raw_Alerts!$B:$B,Raw_Alerts!$D:$D),"")</f>
        <v/>
      </c>
      <c r="O1365" s="4">
        <f>IFERROR(XLOOKUP(A1365,Raw_Alerts!$B:$B,Raw_Alerts!$F:$F),"")</f>
        <v/>
      </c>
      <c r="P1365" s="4">
        <f>IF(H1365="Not Found","CRITICAL: No Risk Profile",IF(I1365="Missing","WARN: Missing KYC",IF(I1365="Expired","WARN: KYC Expired",IF(I1365="Pending","INFO: KYC Pending","OK"))))</f>
        <v/>
      </c>
    </row>
    <row r="1366">
      <c r="A1366" s="2">
        <f>Raw_Transactions!A1366</f>
        <v/>
      </c>
      <c r="B1366" s="2">
        <f>Raw_Transactions!B1366</f>
        <v/>
      </c>
      <c r="C1366" s="2">
        <f>Raw_Transactions!C1366</f>
        <v/>
      </c>
      <c r="D1366" s="3">
        <f>Raw_Transactions!D1366</f>
        <v/>
      </c>
      <c r="E1366" s="2">
        <f>Raw_Transactions!E1366</f>
        <v/>
      </c>
      <c r="F1366" s="2">
        <f>Raw_Transactions!F1366</f>
        <v/>
      </c>
      <c r="G1366" s="2">
        <f>Raw_Transactions!G1366</f>
        <v/>
      </c>
      <c r="H1366" s="2">
        <f>XLOOKUP(B1366,Raw_Risk_Profiles!$A:$A,Raw_Risk_Profiles!$B:$B,"Not Found")</f>
        <v/>
      </c>
      <c r="I1366" s="2">
        <f>XLOOKUP(B1366,Raw_Risk_Profiles!$A:$A,Raw_Risk_Profiles!$C:$C,"Missing")</f>
        <v/>
      </c>
      <c r="J1366" s="2">
        <f>XLOOKUP(B1366,Raw_Risk_Profiles!$A:$A,Raw_Risk_Profiles!$D:$D,"")</f>
        <v/>
      </c>
      <c r="K1366" s="2">
        <f>IFERROR(INDEX(Raw_Risk_Profiles!$E:$E,MATCH(B1366,Raw_Risk_Profiles!$A:$A,0)),"Unknown")</f>
        <v/>
      </c>
      <c r="L1366" s="2">
        <f>IFERROR(XLOOKUP(A1366,Raw_Alerts!$B:$B,Raw_Alerts!$A:$A),"No Alert")</f>
        <v/>
      </c>
      <c r="M1366" s="2">
        <f>IFERROR(XLOOKUP(A1366,Raw_Alerts!$B:$B,Raw_Alerts!$C:$C),"")</f>
        <v/>
      </c>
      <c r="N1366" s="2">
        <f>IFERROR(XLOOKUP(A1366,Raw_Alerts!$B:$B,Raw_Alerts!$D:$D),"")</f>
        <v/>
      </c>
      <c r="O1366" s="2">
        <f>IFERROR(XLOOKUP(A1366,Raw_Alerts!$B:$B,Raw_Alerts!$F:$F),"")</f>
        <v/>
      </c>
      <c r="P1366" s="2">
        <f>IF(H1366="Not Found","CRITICAL: No Risk Profile",IF(I1366="Missing","WARN: Missing KYC",IF(I1366="Expired","WARN: KYC Expired",IF(I1366="Pending","INFO: KYC Pending","OK"))))</f>
        <v/>
      </c>
    </row>
    <row r="1367">
      <c r="A1367" s="4">
        <f>Raw_Transactions!A1367</f>
        <v/>
      </c>
      <c r="B1367" s="4">
        <f>Raw_Transactions!B1367</f>
        <v/>
      </c>
      <c r="C1367" s="4">
        <f>Raw_Transactions!C1367</f>
        <v/>
      </c>
      <c r="D1367" s="5">
        <f>Raw_Transactions!D1367</f>
        <v/>
      </c>
      <c r="E1367" s="4">
        <f>Raw_Transactions!E1367</f>
        <v/>
      </c>
      <c r="F1367" s="4">
        <f>Raw_Transactions!F1367</f>
        <v/>
      </c>
      <c r="G1367" s="4">
        <f>Raw_Transactions!G1367</f>
        <v/>
      </c>
      <c r="H1367" s="4">
        <f>XLOOKUP(B1367,Raw_Risk_Profiles!$A:$A,Raw_Risk_Profiles!$B:$B,"Not Found")</f>
        <v/>
      </c>
      <c r="I1367" s="4">
        <f>XLOOKUP(B1367,Raw_Risk_Profiles!$A:$A,Raw_Risk_Profiles!$C:$C,"Missing")</f>
        <v/>
      </c>
      <c r="J1367" s="4">
        <f>XLOOKUP(B1367,Raw_Risk_Profiles!$A:$A,Raw_Risk_Profiles!$D:$D,"")</f>
        <v/>
      </c>
      <c r="K1367" s="4">
        <f>IFERROR(INDEX(Raw_Risk_Profiles!$E:$E,MATCH(B1367,Raw_Risk_Profiles!$A:$A,0)),"Unknown")</f>
        <v/>
      </c>
      <c r="L1367" s="4">
        <f>IFERROR(XLOOKUP(A1367,Raw_Alerts!$B:$B,Raw_Alerts!$A:$A),"No Alert")</f>
        <v/>
      </c>
      <c r="M1367" s="4">
        <f>IFERROR(XLOOKUP(A1367,Raw_Alerts!$B:$B,Raw_Alerts!$C:$C),"")</f>
        <v/>
      </c>
      <c r="N1367" s="4">
        <f>IFERROR(XLOOKUP(A1367,Raw_Alerts!$B:$B,Raw_Alerts!$D:$D),"")</f>
        <v/>
      </c>
      <c r="O1367" s="4">
        <f>IFERROR(XLOOKUP(A1367,Raw_Alerts!$B:$B,Raw_Alerts!$F:$F),"")</f>
        <v/>
      </c>
      <c r="P1367" s="4">
        <f>IF(H1367="Not Found","CRITICAL: No Risk Profile",IF(I1367="Missing","WARN: Missing KYC",IF(I1367="Expired","WARN: KYC Expired",IF(I1367="Pending","INFO: KYC Pending","OK"))))</f>
        <v/>
      </c>
    </row>
    <row r="1368">
      <c r="A1368" s="2">
        <f>Raw_Transactions!A1368</f>
        <v/>
      </c>
      <c r="B1368" s="2">
        <f>Raw_Transactions!B1368</f>
        <v/>
      </c>
      <c r="C1368" s="2">
        <f>Raw_Transactions!C1368</f>
        <v/>
      </c>
      <c r="D1368" s="3">
        <f>Raw_Transactions!D1368</f>
        <v/>
      </c>
      <c r="E1368" s="2">
        <f>Raw_Transactions!E1368</f>
        <v/>
      </c>
      <c r="F1368" s="2">
        <f>Raw_Transactions!F1368</f>
        <v/>
      </c>
      <c r="G1368" s="2">
        <f>Raw_Transactions!G1368</f>
        <v/>
      </c>
      <c r="H1368" s="2">
        <f>XLOOKUP(B1368,Raw_Risk_Profiles!$A:$A,Raw_Risk_Profiles!$B:$B,"Not Found")</f>
        <v/>
      </c>
      <c r="I1368" s="2">
        <f>XLOOKUP(B1368,Raw_Risk_Profiles!$A:$A,Raw_Risk_Profiles!$C:$C,"Missing")</f>
        <v/>
      </c>
      <c r="J1368" s="2">
        <f>XLOOKUP(B1368,Raw_Risk_Profiles!$A:$A,Raw_Risk_Profiles!$D:$D,"")</f>
        <v/>
      </c>
      <c r="K1368" s="2">
        <f>IFERROR(INDEX(Raw_Risk_Profiles!$E:$E,MATCH(B1368,Raw_Risk_Profiles!$A:$A,0)),"Unknown")</f>
        <v/>
      </c>
      <c r="L1368" s="2">
        <f>IFERROR(XLOOKUP(A1368,Raw_Alerts!$B:$B,Raw_Alerts!$A:$A),"No Alert")</f>
        <v/>
      </c>
      <c r="M1368" s="2">
        <f>IFERROR(XLOOKUP(A1368,Raw_Alerts!$B:$B,Raw_Alerts!$C:$C),"")</f>
        <v/>
      </c>
      <c r="N1368" s="2">
        <f>IFERROR(XLOOKUP(A1368,Raw_Alerts!$B:$B,Raw_Alerts!$D:$D),"")</f>
        <v/>
      </c>
      <c r="O1368" s="2">
        <f>IFERROR(XLOOKUP(A1368,Raw_Alerts!$B:$B,Raw_Alerts!$F:$F),"")</f>
        <v/>
      </c>
      <c r="P1368" s="2">
        <f>IF(H1368="Not Found","CRITICAL: No Risk Profile",IF(I1368="Missing","WARN: Missing KYC",IF(I1368="Expired","WARN: KYC Expired",IF(I1368="Pending","INFO: KYC Pending","OK"))))</f>
        <v/>
      </c>
    </row>
    <row r="1369">
      <c r="A1369" s="4">
        <f>Raw_Transactions!A1369</f>
        <v/>
      </c>
      <c r="B1369" s="4">
        <f>Raw_Transactions!B1369</f>
        <v/>
      </c>
      <c r="C1369" s="4">
        <f>Raw_Transactions!C1369</f>
        <v/>
      </c>
      <c r="D1369" s="5">
        <f>Raw_Transactions!D1369</f>
        <v/>
      </c>
      <c r="E1369" s="4">
        <f>Raw_Transactions!E1369</f>
        <v/>
      </c>
      <c r="F1369" s="4">
        <f>Raw_Transactions!F1369</f>
        <v/>
      </c>
      <c r="G1369" s="4">
        <f>Raw_Transactions!G1369</f>
        <v/>
      </c>
      <c r="H1369" s="4">
        <f>XLOOKUP(B1369,Raw_Risk_Profiles!$A:$A,Raw_Risk_Profiles!$B:$B,"Not Found")</f>
        <v/>
      </c>
      <c r="I1369" s="4">
        <f>XLOOKUP(B1369,Raw_Risk_Profiles!$A:$A,Raw_Risk_Profiles!$C:$C,"Missing")</f>
        <v/>
      </c>
      <c r="J1369" s="4">
        <f>XLOOKUP(B1369,Raw_Risk_Profiles!$A:$A,Raw_Risk_Profiles!$D:$D,"")</f>
        <v/>
      </c>
      <c r="K1369" s="4">
        <f>IFERROR(INDEX(Raw_Risk_Profiles!$E:$E,MATCH(B1369,Raw_Risk_Profiles!$A:$A,0)),"Unknown")</f>
        <v/>
      </c>
      <c r="L1369" s="4">
        <f>IFERROR(XLOOKUP(A1369,Raw_Alerts!$B:$B,Raw_Alerts!$A:$A),"No Alert")</f>
        <v/>
      </c>
      <c r="M1369" s="4">
        <f>IFERROR(XLOOKUP(A1369,Raw_Alerts!$B:$B,Raw_Alerts!$C:$C),"")</f>
        <v/>
      </c>
      <c r="N1369" s="4">
        <f>IFERROR(XLOOKUP(A1369,Raw_Alerts!$B:$B,Raw_Alerts!$D:$D),"")</f>
        <v/>
      </c>
      <c r="O1369" s="4">
        <f>IFERROR(XLOOKUP(A1369,Raw_Alerts!$B:$B,Raw_Alerts!$F:$F),"")</f>
        <v/>
      </c>
      <c r="P1369" s="4">
        <f>IF(H1369="Not Found","CRITICAL: No Risk Profile",IF(I1369="Missing","WARN: Missing KYC",IF(I1369="Expired","WARN: KYC Expired",IF(I1369="Pending","INFO: KYC Pending","OK"))))</f>
        <v/>
      </c>
    </row>
    <row r="1370">
      <c r="A1370" s="2">
        <f>Raw_Transactions!A1370</f>
        <v/>
      </c>
      <c r="B1370" s="2">
        <f>Raw_Transactions!B1370</f>
        <v/>
      </c>
      <c r="C1370" s="2">
        <f>Raw_Transactions!C1370</f>
        <v/>
      </c>
      <c r="D1370" s="3">
        <f>Raw_Transactions!D1370</f>
        <v/>
      </c>
      <c r="E1370" s="2">
        <f>Raw_Transactions!E1370</f>
        <v/>
      </c>
      <c r="F1370" s="2">
        <f>Raw_Transactions!F1370</f>
        <v/>
      </c>
      <c r="G1370" s="2">
        <f>Raw_Transactions!G1370</f>
        <v/>
      </c>
      <c r="H1370" s="2">
        <f>XLOOKUP(B1370,Raw_Risk_Profiles!$A:$A,Raw_Risk_Profiles!$B:$B,"Not Found")</f>
        <v/>
      </c>
      <c r="I1370" s="2">
        <f>XLOOKUP(B1370,Raw_Risk_Profiles!$A:$A,Raw_Risk_Profiles!$C:$C,"Missing")</f>
        <v/>
      </c>
      <c r="J1370" s="2">
        <f>XLOOKUP(B1370,Raw_Risk_Profiles!$A:$A,Raw_Risk_Profiles!$D:$D,"")</f>
        <v/>
      </c>
      <c r="K1370" s="2">
        <f>IFERROR(INDEX(Raw_Risk_Profiles!$E:$E,MATCH(B1370,Raw_Risk_Profiles!$A:$A,0)),"Unknown")</f>
        <v/>
      </c>
      <c r="L1370" s="2">
        <f>IFERROR(XLOOKUP(A1370,Raw_Alerts!$B:$B,Raw_Alerts!$A:$A),"No Alert")</f>
        <v/>
      </c>
      <c r="M1370" s="2">
        <f>IFERROR(XLOOKUP(A1370,Raw_Alerts!$B:$B,Raw_Alerts!$C:$C),"")</f>
        <v/>
      </c>
      <c r="N1370" s="2">
        <f>IFERROR(XLOOKUP(A1370,Raw_Alerts!$B:$B,Raw_Alerts!$D:$D),"")</f>
        <v/>
      </c>
      <c r="O1370" s="2">
        <f>IFERROR(XLOOKUP(A1370,Raw_Alerts!$B:$B,Raw_Alerts!$F:$F),"")</f>
        <v/>
      </c>
      <c r="P1370" s="2">
        <f>IF(H1370="Not Found","CRITICAL: No Risk Profile",IF(I1370="Missing","WARN: Missing KYC",IF(I1370="Expired","WARN: KYC Expired",IF(I1370="Pending","INFO: KYC Pending","OK"))))</f>
        <v/>
      </c>
    </row>
    <row r="1371">
      <c r="A1371" s="4">
        <f>Raw_Transactions!A1371</f>
        <v/>
      </c>
      <c r="B1371" s="4">
        <f>Raw_Transactions!B1371</f>
        <v/>
      </c>
      <c r="C1371" s="4">
        <f>Raw_Transactions!C1371</f>
        <v/>
      </c>
      <c r="D1371" s="5">
        <f>Raw_Transactions!D1371</f>
        <v/>
      </c>
      <c r="E1371" s="4">
        <f>Raw_Transactions!E1371</f>
        <v/>
      </c>
      <c r="F1371" s="4">
        <f>Raw_Transactions!F1371</f>
        <v/>
      </c>
      <c r="G1371" s="4">
        <f>Raw_Transactions!G1371</f>
        <v/>
      </c>
      <c r="H1371" s="4">
        <f>XLOOKUP(B1371,Raw_Risk_Profiles!$A:$A,Raw_Risk_Profiles!$B:$B,"Not Found")</f>
        <v/>
      </c>
      <c r="I1371" s="4">
        <f>XLOOKUP(B1371,Raw_Risk_Profiles!$A:$A,Raw_Risk_Profiles!$C:$C,"Missing")</f>
        <v/>
      </c>
      <c r="J1371" s="4">
        <f>XLOOKUP(B1371,Raw_Risk_Profiles!$A:$A,Raw_Risk_Profiles!$D:$D,"")</f>
        <v/>
      </c>
      <c r="K1371" s="4">
        <f>IFERROR(INDEX(Raw_Risk_Profiles!$E:$E,MATCH(B1371,Raw_Risk_Profiles!$A:$A,0)),"Unknown")</f>
        <v/>
      </c>
      <c r="L1371" s="4">
        <f>IFERROR(XLOOKUP(A1371,Raw_Alerts!$B:$B,Raw_Alerts!$A:$A),"No Alert")</f>
        <v/>
      </c>
      <c r="M1371" s="4">
        <f>IFERROR(XLOOKUP(A1371,Raw_Alerts!$B:$B,Raw_Alerts!$C:$C),"")</f>
        <v/>
      </c>
      <c r="N1371" s="4">
        <f>IFERROR(XLOOKUP(A1371,Raw_Alerts!$B:$B,Raw_Alerts!$D:$D),"")</f>
        <v/>
      </c>
      <c r="O1371" s="4">
        <f>IFERROR(XLOOKUP(A1371,Raw_Alerts!$B:$B,Raw_Alerts!$F:$F),"")</f>
        <v/>
      </c>
      <c r="P1371" s="4">
        <f>IF(H1371="Not Found","CRITICAL: No Risk Profile",IF(I1371="Missing","WARN: Missing KYC",IF(I1371="Expired","WARN: KYC Expired",IF(I1371="Pending","INFO: KYC Pending","OK"))))</f>
        <v/>
      </c>
    </row>
    <row r="1372">
      <c r="A1372" s="2">
        <f>Raw_Transactions!A1372</f>
        <v/>
      </c>
      <c r="B1372" s="2">
        <f>Raw_Transactions!B1372</f>
        <v/>
      </c>
      <c r="C1372" s="2">
        <f>Raw_Transactions!C1372</f>
        <v/>
      </c>
      <c r="D1372" s="3">
        <f>Raw_Transactions!D1372</f>
        <v/>
      </c>
      <c r="E1372" s="2">
        <f>Raw_Transactions!E1372</f>
        <v/>
      </c>
      <c r="F1372" s="2">
        <f>Raw_Transactions!F1372</f>
        <v/>
      </c>
      <c r="G1372" s="2">
        <f>Raw_Transactions!G1372</f>
        <v/>
      </c>
      <c r="H1372" s="2">
        <f>XLOOKUP(B1372,Raw_Risk_Profiles!$A:$A,Raw_Risk_Profiles!$B:$B,"Not Found")</f>
        <v/>
      </c>
      <c r="I1372" s="2">
        <f>XLOOKUP(B1372,Raw_Risk_Profiles!$A:$A,Raw_Risk_Profiles!$C:$C,"Missing")</f>
        <v/>
      </c>
      <c r="J1372" s="2">
        <f>XLOOKUP(B1372,Raw_Risk_Profiles!$A:$A,Raw_Risk_Profiles!$D:$D,"")</f>
        <v/>
      </c>
      <c r="K1372" s="2">
        <f>IFERROR(INDEX(Raw_Risk_Profiles!$E:$E,MATCH(B1372,Raw_Risk_Profiles!$A:$A,0)),"Unknown")</f>
        <v/>
      </c>
      <c r="L1372" s="2">
        <f>IFERROR(XLOOKUP(A1372,Raw_Alerts!$B:$B,Raw_Alerts!$A:$A),"No Alert")</f>
        <v/>
      </c>
      <c r="M1372" s="2">
        <f>IFERROR(XLOOKUP(A1372,Raw_Alerts!$B:$B,Raw_Alerts!$C:$C),"")</f>
        <v/>
      </c>
      <c r="N1372" s="2">
        <f>IFERROR(XLOOKUP(A1372,Raw_Alerts!$B:$B,Raw_Alerts!$D:$D),"")</f>
        <v/>
      </c>
      <c r="O1372" s="2">
        <f>IFERROR(XLOOKUP(A1372,Raw_Alerts!$B:$B,Raw_Alerts!$F:$F),"")</f>
        <v/>
      </c>
      <c r="P1372" s="2">
        <f>IF(H1372="Not Found","CRITICAL: No Risk Profile",IF(I1372="Missing","WARN: Missing KYC",IF(I1372="Expired","WARN: KYC Expired",IF(I1372="Pending","INFO: KYC Pending","OK"))))</f>
        <v/>
      </c>
    </row>
    <row r="1373">
      <c r="A1373" s="4">
        <f>Raw_Transactions!A1373</f>
        <v/>
      </c>
      <c r="B1373" s="4">
        <f>Raw_Transactions!B1373</f>
        <v/>
      </c>
      <c r="C1373" s="4">
        <f>Raw_Transactions!C1373</f>
        <v/>
      </c>
      <c r="D1373" s="5">
        <f>Raw_Transactions!D1373</f>
        <v/>
      </c>
      <c r="E1373" s="4">
        <f>Raw_Transactions!E1373</f>
        <v/>
      </c>
      <c r="F1373" s="4">
        <f>Raw_Transactions!F1373</f>
        <v/>
      </c>
      <c r="G1373" s="4">
        <f>Raw_Transactions!G1373</f>
        <v/>
      </c>
      <c r="H1373" s="4">
        <f>XLOOKUP(B1373,Raw_Risk_Profiles!$A:$A,Raw_Risk_Profiles!$B:$B,"Not Found")</f>
        <v/>
      </c>
      <c r="I1373" s="4">
        <f>XLOOKUP(B1373,Raw_Risk_Profiles!$A:$A,Raw_Risk_Profiles!$C:$C,"Missing")</f>
        <v/>
      </c>
      <c r="J1373" s="4">
        <f>XLOOKUP(B1373,Raw_Risk_Profiles!$A:$A,Raw_Risk_Profiles!$D:$D,"")</f>
        <v/>
      </c>
      <c r="K1373" s="4">
        <f>IFERROR(INDEX(Raw_Risk_Profiles!$E:$E,MATCH(B1373,Raw_Risk_Profiles!$A:$A,0)),"Unknown")</f>
        <v/>
      </c>
      <c r="L1373" s="4">
        <f>IFERROR(XLOOKUP(A1373,Raw_Alerts!$B:$B,Raw_Alerts!$A:$A),"No Alert")</f>
        <v/>
      </c>
      <c r="M1373" s="4">
        <f>IFERROR(XLOOKUP(A1373,Raw_Alerts!$B:$B,Raw_Alerts!$C:$C),"")</f>
        <v/>
      </c>
      <c r="N1373" s="4">
        <f>IFERROR(XLOOKUP(A1373,Raw_Alerts!$B:$B,Raw_Alerts!$D:$D),"")</f>
        <v/>
      </c>
      <c r="O1373" s="4">
        <f>IFERROR(XLOOKUP(A1373,Raw_Alerts!$B:$B,Raw_Alerts!$F:$F),"")</f>
        <v/>
      </c>
      <c r="P1373" s="4">
        <f>IF(H1373="Not Found","CRITICAL: No Risk Profile",IF(I1373="Missing","WARN: Missing KYC",IF(I1373="Expired","WARN: KYC Expired",IF(I1373="Pending","INFO: KYC Pending","OK"))))</f>
        <v/>
      </c>
    </row>
    <row r="1374">
      <c r="A1374" s="2">
        <f>Raw_Transactions!A1374</f>
        <v/>
      </c>
      <c r="B1374" s="2">
        <f>Raw_Transactions!B1374</f>
        <v/>
      </c>
      <c r="C1374" s="2">
        <f>Raw_Transactions!C1374</f>
        <v/>
      </c>
      <c r="D1374" s="3">
        <f>Raw_Transactions!D1374</f>
        <v/>
      </c>
      <c r="E1374" s="2">
        <f>Raw_Transactions!E1374</f>
        <v/>
      </c>
      <c r="F1374" s="2">
        <f>Raw_Transactions!F1374</f>
        <v/>
      </c>
      <c r="G1374" s="2">
        <f>Raw_Transactions!G1374</f>
        <v/>
      </c>
      <c r="H1374" s="2">
        <f>XLOOKUP(B1374,Raw_Risk_Profiles!$A:$A,Raw_Risk_Profiles!$B:$B,"Not Found")</f>
        <v/>
      </c>
      <c r="I1374" s="2">
        <f>XLOOKUP(B1374,Raw_Risk_Profiles!$A:$A,Raw_Risk_Profiles!$C:$C,"Missing")</f>
        <v/>
      </c>
      <c r="J1374" s="2">
        <f>XLOOKUP(B1374,Raw_Risk_Profiles!$A:$A,Raw_Risk_Profiles!$D:$D,"")</f>
        <v/>
      </c>
      <c r="K1374" s="2">
        <f>IFERROR(INDEX(Raw_Risk_Profiles!$E:$E,MATCH(B1374,Raw_Risk_Profiles!$A:$A,0)),"Unknown")</f>
        <v/>
      </c>
      <c r="L1374" s="2">
        <f>IFERROR(XLOOKUP(A1374,Raw_Alerts!$B:$B,Raw_Alerts!$A:$A),"No Alert")</f>
        <v/>
      </c>
      <c r="M1374" s="2">
        <f>IFERROR(XLOOKUP(A1374,Raw_Alerts!$B:$B,Raw_Alerts!$C:$C),"")</f>
        <v/>
      </c>
      <c r="N1374" s="2">
        <f>IFERROR(XLOOKUP(A1374,Raw_Alerts!$B:$B,Raw_Alerts!$D:$D),"")</f>
        <v/>
      </c>
      <c r="O1374" s="2">
        <f>IFERROR(XLOOKUP(A1374,Raw_Alerts!$B:$B,Raw_Alerts!$F:$F),"")</f>
        <v/>
      </c>
      <c r="P1374" s="2">
        <f>IF(H1374="Not Found","CRITICAL: No Risk Profile",IF(I1374="Missing","WARN: Missing KYC",IF(I1374="Expired","WARN: KYC Expired",IF(I1374="Pending","INFO: KYC Pending","OK"))))</f>
        <v/>
      </c>
    </row>
    <row r="1375">
      <c r="A1375" s="4">
        <f>Raw_Transactions!A1375</f>
        <v/>
      </c>
      <c r="B1375" s="4">
        <f>Raw_Transactions!B1375</f>
        <v/>
      </c>
      <c r="C1375" s="4">
        <f>Raw_Transactions!C1375</f>
        <v/>
      </c>
      <c r="D1375" s="5">
        <f>Raw_Transactions!D1375</f>
        <v/>
      </c>
      <c r="E1375" s="4">
        <f>Raw_Transactions!E1375</f>
        <v/>
      </c>
      <c r="F1375" s="4">
        <f>Raw_Transactions!F1375</f>
        <v/>
      </c>
      <c r="G1375" s="4">
        <f>Raw_Transactions!G1375</f>
        <v/>
      </c>
      <c r="H1375" s="4">
        <f>XLOOKUP(B1375,Raw_Risk_Profiles!$A:$A,Raw_Risk_Profiles!$B:$B,"Not Found")</f>
        <v/>
      </c>
      <c r="I1375" s="4">
        <f>XLOOKUP(B1375,Raw_Risk_Profiles!$A:$A,Raw_Risk_Profiles!$C:$C,"Missing")</f>
        <v/>
      </c>
      <c r="J1375" s="4">
        <f>XLOOKUP(B1375,Raw_Risk_Profiles!$A:$A,Raw_Risk_Profiles!$D:$D,"")</f>
        <v/>
      </c>
      <c r="K1375" s="4">
        <f>IFERROR(INDEX(Raw_Risk_Profiles!$E:$E,MATCH(B1375,Raw_Risk_Profiles!$A:$A,0)),"Unknown")</f>
        <v/>
      </c>
      <c r="L1375" s="4">
        <f>IFERROR(XLOOKUP(A1375,Raw_Alerts!$B:$B,Raw_Alerts!$A:$A),"No Alert")</f>
        <v/>
      </c>
      <c r="M1375" s="4">
        <f>IFERROR(XLOOKUP(A1375,Raw_Alerts!$B:$B,Raw_Alerts!$C:$C),"")</f>
        <v/>
      </c>
      <c r="N1375" s="4">
        <f>IFERROR(XLOOKUP(A1375,Raw_Alerts!$B:$B,Raw_Alerts!$D:$D),"")</f>
        <v/>
      </c>
      <c r="O1375" s="4">
        <f>IFERROR(XLOOKUP(A1375,Raw_Alerts!$B:$B,Raw_Alerts!$F:$F),"")</f>
        <v/>
      </c>
      <c r="P1375" s="4">
        <f>IF(H1375="Not Found","CRITICAL: No Risk Profile",IF(I1375="Missing","WARN: Missing KYC",IF(I1375="Expired","WARN: KYC Expired",IF(I1375="Pending","INFO: KYC Pending","OK"))))</f>
        <v/>
      </c>
    </row>
    <row r="1376">
      <c r="A1376" s="2">
        <f>Raw_Transactions!A1376</f>
        <v/>
      </c>
      <c r="B1376" s="2">
        <f>Raw_Transactions!B1376</f>
        <v/>
      </c>
      <c r="C1376" s="2">
        <f>Raw_Transactions!C1376</f>
        <v/>
      </c>
      <c r="D1376" s="3">
        <f>Raw_Transactions!D1376</f>
        <v/>
      </c>
      <c r="E1376" s="2">
        <f>Raw_Transactions!E1376</f>
        <v/>
      </c>
      <c r="F1376" s="2">
        <f>Raw_Transactions!F1376</f>
        <v/>
      </c>
      <c r="G1376" s="2">
        <f>Raw_Transactions!G1376</f>
        <v/>
      </c>
      <c r="H1376" s="2">
        <f>XLOOKUP(B1376,Raw_Risk_Profiles!$A:$A,Raw_Risk_Profiles!$B:$B,"Not Found")</f>
        <v/>
      </c>
      <c r="I1376" s="2">
        <f>XLOOKUP(B1376,Raw_Risk_Profiles!$A:$A,Raw_Risk_Profiles!$C:$C,"Missing")</f>
        <v/>
      </c>
      <c r="J1376" s="2">
        <f>XLOOKUP(B1376,Raw_Risk_Profiles!$A:$A,Raw_Risk_Profiles!$D:$D,"")</f>
        <v/>
      </c>
      <c r="K1376" s="2">
        <f>IFERROR(INDEX(Raw_Risk_Profiles!$E:$E,MATCH(B1376,Raw_Risk_Profiles!$A:$A,0)),"Unknown")</f>
        <v/>
      </c>
      <c r="L1376" s="2">
        <f>IFERROR(XLOOKUP(A1376,Raw_Alerts!$B:$B,Raw_Alerts!$A:$A),"No Alert")</f>
        <v/>
      </c>
      <c r="M1376" s="2">
        <f>IFERROR(XLOOKUP(A1376,Raw_Alerts!$B:$B,Raw_Alerts!$C:$C),"")</f>
        <v/>
      </c>
      <c r="N1376" s="2">
        <f>IFERROR(XLOOKUP(A1376,Raw_Alerts!$B:$B,Raw_Alerts!$D:$D),"")</f>
        <v/>
      </c>
      <c r="O1376" s="2">
        <f>IFERROR(XLOOKUP(A1376,Raw_Alerts!$B:$B,Raw_Alerts!$F:$F),"")</f>
        <v/>
      </c>
      <c r="P1376" s="2">
        <f>IF(H1376="Not Found","CRITICAL: No Risk Profile",IF(I1376="Missing","WARN: Missing KYC",IF(I1376="Expired","WARN: KYC Expired",IF(I1376="Pending","INFO: KYC Pending","OK"))))</f>
        <v/>
      </c>
    </row>
    <row r="1377">
      <c r="A1377" s="4">
        <f>Raw_Transactions!A1377</f>
        <v/>
      </c>
      <c r="B1377" s="4">
        <f>Raw_Transactions!B1377</f>
        <v/>
      </c>
      <c r="C1377" s="4">
        <f>Raw_Transactions!C1377</f>
        <v/>
      </c>
      <c r="D1377" s="5">
        <f>Raw_Transactions!D1377</f>
        <v/>
      </c>
      <c r="E1377" s="4">
        <f>Raw_Transactions!E1377</f>
        <v/>
      </c>
      <c r="F1377" s="4">
        <f>Raw_Transactions!F1377</f>
        <v/>
      </c>
      <c r="G1377" s="4">
        <f>Raw_Transactions!G1377</f>
        <v/>
      </c>
      <c r="H1377" s="4">
        <f>XLOOKUP(B1377,Raw_Risk_Profiles!$A:$A,Raw_Risk_Profiles!$B:$B,"Not Found")</f>
        <v/>
      </c>
      <c r="I1377" s="4">
        <f>XLOOKUP(B1377,Raw_Risk_Profiles!$A:$A,Raw_Risk_Profiles!$C:$C,"Missing")</f>
        <v/>
      </c>
      <c r="J1377" s="4">
        <f>XLOOKUP(B1377,Raw_Risk_Profiles!$A:$A,Raw_Risk_Profiles!$D:$D,"")</f>
        <v/>
      </c>
      <c r="K1377" s="4">
        <f>IFERROR(INDEX(Raw_Risk_Profiles!$E:$E,MATCH(B1377,Raw_Risk_Profiles!$A:$A,0)),"Unknown")</f>
        <v/>
      </c>
      <c r="L1377" s="4">
        <f>IFERROR(XLOOKUP(A1377,Raw_Alerts!$B:$B,Raw_Alerts!$A:$A),"No Alert")</f>
        <v/>
      </c>
      <c r="M1377" s="4">
        <f>IFERROR(XLOOKUP(A1377,Raw_Alerts!$B:$B,Raw_Alerts!$C:$C),"")</f>
        <v/>
      </c>
      <c r="N1377" s="4">
        <f>IFERROR(XLOOKUP(A1377,Raw_Alerts!$B:$B,Raw_Alerts!$D:$D),"")</f>
        <v/>
      </c>
      <c r="O1377" s="4">
        <f>IFERROR(XLOOKUP(A1377,Raw_Alerts!$B:$B,Raw_Alerts!$F:$F),"")</f>
        <v/>
      </c>
      <c r="P1377" s="4">
        <f>IF(H1377="Not Found","CRITICAL: No Risk Profile",IF(I1377="Missing","WARN: Missing KYC",IF(I1377="Expired","WARN: KYC Expired",IF(I1377="Pending","INFO: KYC Pending","OK"))))</f>
        <v/>
      </c>
    </row>
    <row r="1378">
      <c r="A1378" s="2">
        <f>Raw_Transactions!A1378</f>
        <v/>
      </c>
      <c r="B1378" s="2">
        <f>Raw_Transactions!B1378</f>
        <v/>
      </c>
      <c r="C1378" s="2">
        <f>Raw_Transactions!C1378</f>
        <v/>
      </c>
      <c r="D1378" s="3">
        <f>Raw_Transactions!D1378</f>
        <v/>
      </c>
      <c r="E1378" s="2">
        <f>Raw_Transactions!E1378</f>
        <v/>
      </c>
      <c r="F1378" s="2">
        <f>Raw_Transactions!F1378</f>
        <v/>
      </c>
      <c r="G1378" s="2">
        <f>Raw_Transactions!G1378</f>
        <v/>
      </c>
      <c r="H1378" s="2">
        <f>XLOOKUP(B1378,Raw_Risk_Profiles!$A:$A,Raw_Risk_Profiles!$B:$B,"Not Found")</f>
        <v/>
      </c>
      <c r="I1378" s="2">
        <f>XLOOKUP(B1378,Raw_Risk_Profiles!$A:$A,Raw_Risk_Profiles!$C:$C,"Missing")</f>
        <v/>
      </c>
      <c r="J1378" s="2">
        <f>XLOOKUP(B1378,Raw_Risk_Profiles!$A:$A,Raw_Risk_Profiles!$D:$D,"")</f>
        <v/>
      </c>
      <c r="K1378" s="2">
        <f>IFERROR(INDEX(Raw_Risk_Profiles!$E:$E,MATCH(B1378,Raw_Risk_Profiles!$A:$A,0)),"Unknown")</f>
        <v/>
      </c>
      <c r="L1378" s="2">
        <f>IFERROR(XLOOKUP(A1378,Raw_Alerts!$B:$B,Raw_Alerts!$A:$A),"No Alert")</f>
        <v/>
      </c>
      <c r="M1378" s="2">
        <f>IFERROR(XLOOKUP(A1378,Raw_Alerts!$B:$B,Raw_Alerts!$C:$C),"")</f>
        <v/>
      </c>
      <c r="N1378" s="2">
        <f>IFERROR(XLOOKUP(A1378,Raw_Alerts!$B:$B,Raw_Alerts!$D:$D),"")</f>
        <v/>
      </c>
      <c r="O1378" s="2">
        <f>IFERROR(XLOOKUP(A1378,Raw_Alerts!$B:$B,Raw_Alerts!$F:$F),"")</f>
        <v/>
      </c>
      <c r="P1378" s="2">
        <f>IF(H1378="Not Found","CRITICAL: No Risk Profile",IF(I1378="Missing","WARN: Missing KYC",IF(I1378="Expired","WARN: KYC Expired",IF(I1378="Pending","INFO: KYC Pending","OK"))))</f>
        <v/>
      </c>
    </row>
    <row r="1379">
      <c r="A1379" s="4">
        <f>Raw_Transactions!A1379</f>
        <v/>
      </c>
      <c r="B1379" s="4">
        <f>Raw_Transactions!B1379</f>
        <v/>
      </c>
      <c r="C1379" s="4">
        <f>Raw_Transactions!C1379</f>
        <v/>
      </c>
      <c r="D1379" s="5">
        <f>Raw_Transactions!D1379</f>
        <v/>
      </c>
      <c r="E1379" s="4">
        <f>Raw_Transactions!E1379</f>
        <v/>
      </c>
      <c r="F1379" s="4">
        <f>Raw_Transactions!F1379</f>
        <v/>
      </c>
      <c r="G1379" s="4">
        <f>Raw_Transactions!G1379</f>
        <v/>
      </c>
      <c r="H1379" s="4">
        <f>XLOOKUP(B1379,Raw_Risk_Profiles!$A:$A,Raw_Risk_Profiles!$B:$B,"Not Found")</f>
        <v/>
      </c>
      <c r="I1379" s="4">
        <f>XLOOKUP(B1379,Raw_Risk_Profiles!$A:$A,Raw_Risk_Profiles!$C:$C,"Missing")</f>
        <v/>
      </c>
      <c r="J1379" s="4">
        <f>XLOOKUP(B1379,Raw_Risk_Profiles!$A:$A,Raw_Risk_Profiles!$D:$D,"")</f>
        <v/>
      </c>
      <c r="K1379" s="4">
        <f>IFERROR(INDEX(Raw_Risk_Profiles!$E:$E,MATCH(B1379,Raw_Risk_Profiles!$A:$A,0)),"Unknown")</f>
        <v/>
      </c>
      <c r="L1379" s="4">
        <f>IFERROR(XLOOKUP(A1379,Raw_Alerts!$B:$B,Raw_Alerts!$A:$A),"No Alert")</f>
        <v/>
      </c>
      <c r="M1379" s="4">
        <f>IFERROR(XLOOKUP(A1379,Raw_Alerts!$B:$B,Raw_Alerts!$C:$C),"")</f>
        <v/>
      </c>
      <c r="N1379" s="4">
        <f>IFERROR(XLOOKUP(A1379,Raw_Alerts!$B:$B,Raw_Alerts!$D:$D),"")</f>
        <v/>
      </c>
      <c r="O1379" s="4">
        <f>IFERROR(XLOOKUP(A1379,Raw_Alerts!$B:$B,Raw_Alerts!$F:$F),"")</f>
        <v/>
      </c>
      <c r="P1379" s="4">
        <f>IF(H1379="Not Found","CRITICAL: No Risk Profile",IF(I1379="Missing","WARN: Missing KYC",IF(I1379="Expired","WARN: KYC Expired",IF(I1379="Pending","INFO: KYC Pending","OK"))))</f>
        <v/>
      </c>
    </row>
    <row r="1380">
      <c r="A1380" s="2">
        <f>Raw_Transactions!A1380</f>
        <v/>
      </c>
      <c r="B1380" s="2">
        <f>Raw_Transactions!B1380</f>
        <v/>
      </c>
      <c r="C1380" s="2">
        <f>Raw_Transactions!C1380</f>
        <v/>
      </c>
      <c r="D1380" s="3">
        <f>Raw_Transactions!D1380</f>
        <v/>
      </c>
      <c r="E1380" s="2">
        <f>Raw_Transactions!E1380</f>
        <v/>
      </c>
      <c r="F1380" s="2">
        <f>Raw_Transactions!F1380</f>
        <v/>
      </c>
      <c r="G1380" s="2">
        <f>Raw_Transactions!G1380</f>
        <v/>
      </c>
      <c r="H1380" s="2">
        <f>XLOOKUP(B1380,Raw_Risk_Profiles!$A:$A,Raw_Risk_Profiles!$B:$B,"Not Found")</f>
        <v/>
      </c>
      <c r="I1380" s="2">
        <f>XLOOKUP(B1380,Raw_Risk_Profiles!$A:$A,Raw_Risk_Profiles!$C:$C,"Missing")</f>
        <v/>
      </c>
      <c r="J1380" s="2">
        <f>XLOOKUP(B1380,Raw_Risk_Profiles!$A:$A,Raw_Risk_Profiles!$D:$D,"")</f>
        <v/>
      </c>
      <c r="K1380" s="2">
        <f>IFERROR(INDEX(Raw_Risk_Profiles!$E:$E,MATCH(B1380,Raw_Risk_Profiles!$A:$A,0)),"Unknown")</f>
        <v/>
      </c>
      <c r="L1380" s="2">
        <f>IFERROR(XLOOKUP(A1380,Raw_Alerts!$B:$B,Raw_Alerts!$A:$A),"No Alert")</f>
        <v/>
      </c>
      <c r="M1380" s="2">
        <f>IFERROR(XLOOKUP(A1380,Raw_Alerts!$B:$B,Raw_Alerts!$C:$C),"")</f>
        <v/>
      </c>
      <c r="N1380" s="2">
        <f>IFERROR(XLOOKUP(A1380,Raw_Alerts!$B:$B,Raw_Alerts!$D:$D),"")</f>
        <v/>
      </c>
      <c r="O1380" s="2">
        <f>IFERROR(XLOOKUP(A1380,Raw_Alerts!$B:$B,Raw_Alerts!$F:$F),"")</f>
        <v/>
      </c>
      <c r="P1380" s="2">
        <f>IF(H1380="Not Found","CRITICAL: No Risk Profile",IF(I1380="Missing","WARN: Missing KYC",IF(I1380="Expired","WARN: KYC Expired",IF(I1380="Pending","INFO: KYC Pending","OK"))))</f>
        <v/>
      </c>
    </row>
    <row r="1381">
      <c r="A1381" s="4">
        <f>Raw_Transactions!A1381</f>
        <v/>
      </c>
      <c r="B1381" s="4">
        <f>Raw_Transactions!B1381</f>
        <v/>
      </c>
      <c r="C1381" s="4">
        <f>Raw_Transactions!C1381</f>
        <v/>
      </c>
      <c r="D1381" s="5">
        <f>Raw_Transactions!D1381</f>
        <v/>
      </c>
      <c r="E1381" s="4">
        <f>Raw_Transactions!E1381</f>
        <v/>
      </c>
      <c r="F1381" s="4">
        <f>Raw_Transactions!F1381</f>
        <v/>
      </c>
      <c r="G1381" s="4">
        <f>Raw_Transactions!G1381</f>
        <v/>
      </c>
      <c r="H1381" s="4">
        <f>XLOOKUP(B1381,Raw_Risk_Profiles!$A:$A,Raw_Risk_Profiles!$B:$B,"Not Found")</f>
        <v/>
      </c>
      <c r="I1381" s="4">
        <f>XLOOKUP(B1381,Raw_Risk_Profiles!$A:$A,Raw_Risk_Profiles!$C:$C,"Missing")</f>
        <v/>
      </c>
      <c r="J1381" s="4">
        <f>XLOOKUP(B1381,Raw_Risk_Profiles!$A:$A,Raw_Risk_Profiles!$D:$D,"")</f>
        <v/>
      </c>
      <c r="K1381" s="4">
        <f>IFERROR(INDEX(Raw_Risk_Profiles!$E:$E,MATCH(B1381,Raw_Risk_Profiles!$A:$A,0)),"Unknown")</f>
        <v/>
      </c>
      <c r="L1381" s="4">
        <f>IFERROR(XLOOKUP(A1381,Raw_Alerts!$B:$B,Raw_Alerts!$A:$A),"No Alert")</f>
        <v/>
      </c>
      <c r="M1381" s="4">
        <f>IFERROR(XLOOKUP(A1381,Raw_Alerts!$B:$B,Raw_Alerts!$C:$C),"")</f>
        <v/>
      </c>
      <c r="N1381" s="4">
        <f>IFERROR(XLOOKUP(A1381,Raw_Alerts!$B:$B,Raw_Alerts!$D:$D),"")</f>
        <v/>
      </c>
      <c r="O1381" s="4">
        <f>IFERROR(XLOOKUP(A1381,Raw_Alerts!$B:$B,Raw_Alerts!$F:$F),"")</f>
        <v/>
      </c>
      <c r="P1381" s="4">
        <f>IF(H1381="Not Found","CRITICAL: No Risk Profile",IF(I1381="Missing","WARN: Missing KYC",IF(I1381="Expired","WARN: KYC Expired",IF(I1381="Pending","INFO: KYC Pending","OK"))))</f>
        <v/>
      </c>
    </row>
    <row r="1382">
      <c r="A1382" s="2">
        <f>Raw_Transactions!A1382</f>
        <v/>
      </c>
      <c r="B1382" s="2">
        <f>Raw_Transactions!B1382</f>
        <v/>
      </c>
      <c r="C1382" s="2">
        <f>Raw_Transactions!C1382</f>
        <v/>
      </c>
      <c r="D1382" s="3">
        <f>Raw_Transactions!D1382</f>
        <v/>
      </c>
      <c r="E1382" s="2">
        <f>Raw_Transactions!E1382</f>
        <v/>
      </c>
      <c r="F1382" s="2">
        <f>Raw_Transactions!F1382</f>
        <v/>
      </c>
      <c r="G1382" s="2">
        <f>Raw_Transactions!G1382</f>
        <v/>
      </c>
      <c r="H1382" s="2">
        <f>XLOOKUP(B1382,Raw_Risk_Profiles!$A:$A,Raw_Risk_Profiles!$B:$B,"Not Found")</f>
        <v/>
      </c>
      <c r="I1382" s="2">
        <f>XLOOKUP(B1382,Raw_Risk_Profiles!$A:$A,Raw_Risk_Profiles!$C:$C,"Missing")</f>
        <v/>
      </c>
      <c r="J1382" s="2">
        <f>XLOOKUP(B1382,Raw_Risk_Profiles!$A:$A,Raw_Risk_Profiles!$D:$D,"")</f>
        <v/>
      </c>
      <c r="K1382" s="2">
        <f>IFERROR(INDEX(Raw_Risk_Profiles!$E:$E,MATCH(B1382,Raw_Risk_Profiles!$A:$A,0)),"Unknown")</f>
        <v/>
      </c>
      <c r="L1382" s="2">
        <f>IFERROR(XLOOKUP(A1382,Raw_Alerts!$B:$B,Raw_Alerts!$A:$A),"No Alert")</f>
        <v/>
      </c>
      <c r="M1382" s="2">
        <f>IFERROR(XLOOKUP(A1382,Raw_Alerts!$B:$B,Raw_Alerts!$C:$C),"")</f>
        <v/>
      </c>
      <c r="N1382" s="2">
        <f>IFERROR(XLOOKUP(A1382,Raw_Alerts!$B:$B,Raw_Alerts!$D:$D),"")</f>
        <v/>
      </c>
      <c r="O1382" s="2">
        <f>IFERROR(XLOOKUP(A1382,Raw_Alerts!$B:$B,Raw_Alerts!$F:$F),"")</f>
        <v/>
      </c>
      <c r="P1382" s="2">
        <f>IF(H1382="Not Found","CRITICAL: No Risk Profile",IF(I1382="Missing","WARN: Missing KYC",IF(I1382="Expired","WARN: KYC Expired",IF(I1382="Pending","INFO: KYC Pending","OK"))))</f>
        <v/>
      </c>
    </row>
    <row r="1383">
      <c r="A1383" s="4">
        <f>Raw_Transactions!A1383</f>
        <v/>
      </c>
      <c r="B1383" s="4">
        <f>Raw_Transactions!B1383</f>
        <v/>
      </c>
      <c r="C1383" s="4">
        <f>Raw_Transactions!C1383</f>
        <v/>
      </c>
      <c r="D1383" s="5">
        <f>Raw_Transactions!D1383</f>
        <v/>
      </c>
      <c r="E1383" s="4">
        <f>Raw_Transactions!E1383</f>
        <v/>
      </c>
      <c r="F1383" s="4">
        <f>Raw_Transactions!F1383</f>
        <v/>
      </c>
      <c r="G1383" s="4">
        <f>Raw_Transactions!G1383</f>
        <v/>
      </c>
      <c r="H1383" s="4">
        <f>XLOOKUP(B1383,Raw_Risk_Profiles!$A:$A,Raw_Risk_Profiles!$B:$B,"Not Found")</f>
        <v/>
      </c>
      <c r="I1383" s="4">
        <f>XLOOKUP(B1383,Raw_Risk_Profiles!$A:$A,Raw_Risk_Profiles!$C:$C,"Missing")</f>
        <v/>
      </c>
      <c r="J1383" s="4">
        <f>XLOOKUP(B1383,Raw_Risk_Profiles!$A:$A,Raw_Risk_Profiles!$D:$D,"")</f>
        <v/>
      </c>
      <c r="K1383" s="4">
        <f>IFERROR(INDEX(Raw_Risk_Profiles!$E:$E,MATCH(B1383,Raw_Risk_Profiles!$A:$A,0)),"Unknown")</f>
        <v/>
      </c>
      <c r="L1383" s="4">
        <f>IFERROR(XLOOKUP(A1383,Raw_Alerts!$B:$B,Raw_Alerts!$A:$A),"No Alert")</f>
        <v/>
      </c>
      <c r="M1383" s="4">
        <f>IFERROR(XLOOKUP(A1383,Raw_Alerts!$B:$B,Raw_Alerts!$C:$C),"")</f>
        <v/>
      </c>
      <c r="N1383" s="4">
        <f>IFERROR(XLOOKUP(A1383,Raw_Alerts!$B:$B,Raw_Alerts!$D:$D),"")</f>
        <v/>
      </c>
      <c r="O1383" s="4">
        <f>IFERROR(XLOOKUP(A1383,Raw_Alerts!$B:$B,Raw_Alerts!$F:$F),"")</f>
        <v/>
      </c>
      <c r="P1383" s="4">
        <f>IF(H1383="Not Found","CRITICAL: No Risk Profile",IF(I1383="Missing","WARN: Missing KYC",IF(I1383="Expired","WARN: KYC Expired",IF(I1383="Pending","INFO: KYC Pending","OK"))))</f>
        <v/>
      </c>
    </row>
    <row r="1384">
      <c r="A1384" s="2">
        <f>Raw_Transactions!A1384</f>
        <v/>
      </c>
      <c r="B1384" s="2">
        <f>Raw_Transactions!B1384</f>
        <v/>
      </c>
      <c r="C1384" s="2">
        <f>Raw_Transactions!C1384</f>
        <v/>
      </c>
      <c r="D1384" s="3">
        <f>Raw_Transactions!D1384</f>
        <v/>
      </c>
      <c r="E1384" s="2">
        <f>Raw_Transactions!E1384</f>
        <v/>
      </c>
      <c r="F1384" s="2">
        <f>Raw_Transactions!F1384</f>
        <v/>
      </c>
      <c r="G1384" s="2">
        <f>Raw_Transactions!G1384</f>
        <v/>
      </c>
      <c r="H1384" s="2">
        <f>XLOOKUP(B1384,Raw_Risk_Profiles!$A:$A,Raw_Risk_Profiles!$B:$B,"Not Found")</f>
        <v/>
      </c>
      <c r="I1384" s="2">
        <f>XLOOKUP(B1384,Raw_Risk_Profiles!$A:$A,Raw_Risk_Profiles!$C:$C,"Missing")</f>
        <v/>
      </c>
      <c r="J1384" s="2">
        <f>XLOOKUP(B1384,Raw_Risk_Profiles!$A:$A,Raw_Risk_Profiles!$D:$D,"")</f>
        <v/>
      </c>
      <c r="K1384" s="2">
        <f>IFERROR(INDEX(Raw_Risk_Profiles!$E:$E,MATCH(B1384,Raw_Risk_Profiles!$A:$A,0)),"Unknown")</f>
        <v/>
      </c>
      <c r="L1384" s="2">
        <f>IFERROR(XLOOKUP(A1384,Raw_Alerts!$B:$B,Raw_Alerts!$A:$A),"No Alert")</f>
        <v/>
      </c>
      <c r="M1384" s="2">
        <f>IFERROR(XLOOKUP(A1384,Raw_Alerts!$B:$B,Raw_Alerts!$C:$C),"")</f>
        <v/>
      </c>
      <c r="N1384" s="2">
        <f>IFERROR(XLOOKUP(A1384,Raw_Alerts!$B:$B,Raw_Alerts!$D:$D),"")</f>
        <v/>
      </c>
      <c r="O1384" s="2">
        <f>IFERROR(XLOOKUP(A1384,Raw_Alerts!$B:$B,Raw_Alerts!$F:$F),"")</f>
        <v/>
      </c>
      <c r="P1384" s="2">
        <f>IF(H1384="Not Found","CRITICAL: No Risk Profile",IF(I1384="Missing","WARN: Missing KYC",IF(I1384="Expired","WARN: KYC Expired",IF(I1384="Pending","INFO: KYC Pending","OK"))))</f>
        <v/>
      </c>
    </row>
    <row r="1385">
      <c r="A1385" s="4">
        <f>Raw_Transactions!A1385</f>
        <v/>
      </c>
      <c r="B1385" s="4">
        <f>Raw_Transactions!B1385</f>
        <v/>
      </c>
      <c r="C1385" s="4">
        <f>Raw_Transactions!C1385</f>
        <v/>
      </c>
      <c r="D1385" s="5">
        <f>Raw_Transactions!D1385</f>
        <v/>
      </c>
      <c r="E1385" s="4">
        <f>Raw_Transactions!E1385</f>
        <v/>
      </c>
      <c r="F1385" s="4">
        <f>Raw_Transactions!F1385</f>
        <v/>
      </c>
      <c r="G1385" s="4">
        <f>Raw_Transactions!G1385</f>
        <v/>
      </c>
      <c r="H1385" s="4">
        <f>XLOOKUP(B1385,Raw_Risk_Profiles!$A:$A,Raw_Risk_Profiles!$B:$B,"Not Found")</f>
        <v/>
      </c>
      <c r="I1385" s="4">
        <f>XLOOKUP(B1385,Raw_Risk_Profiles!$A:$A,Raw_Risk_Profiles!$C:$C,"Missing")</f>
        <v/>
      </c>
      <c r="J1385" s="4">
        <f>XLOOKUP(B1385,Raw_Risk_Profiles!$A:$A,Raw_Risk_Profiles!$D:$D,"")</f>
        <v/>
      </c>
      <c r="K1385" s="4">
        <f>IFERROR(INDEX(Raw_Risk_Profiles!$E:$E,MATCH(B1385,Raw_Risk_Profiles!$A:$A,0)),"Unknown")</f>
        <v/>
      </c>
      <c r="L1385" s="4">
        <f>IFERROR(XLOOKUP(A1385,Raw_Alerts!$B:$B,Raw_Alerts!$A:$A),"No Alert")</f>
        <v/>
      </c>
      <c r="M1385" s="4">
        <f>IFERROR(XLOOKUP(A1385,Raw_Alerts!$B:$B,Raw_Alerts!$C:$C),"")</f>
        <v/>
      </c>
      <c r="N1385" s="4">
        <f>IFERROR(XLOOKUP(A1385,Raw_Alerts!$B:$B,Raw_Alerts!$D:$D),"")</f>
        <v/>
      </c>
      <c r="O1385" s="4">
        <f>IFERROR(XLOOKUP(A1385,Raw_Alerts!$B:$B,Raw_Alerts!$F:$F),"")</f>
        <v/>
      </c>
      <c r="P1385" s="4">
        <f>IF(H1385="Not Found","CRITICAL: No Risk Profile",IF(I1385="Missing","WARN: Missing KYC",IF(I1385="Expired","WARN: KYC Expired",IF(I1385="Pending","INFO: KYC Pending","OK"))))</f>
        <v/>
      </c>
    </row>
    <row r="1386">
      <c r="A1386" s="2">
        <f>Raw_Transactions!A1386</f>
        <v/>
      </c>
      <c r="B1386" s="2">
        <f>Raw_Transactions!B1386</f>
        <v/>
      </c>
      <c r="C1386" s="2">
        <f>Raw_Transactions!C1386</f>
        <v/>
      </c>
      <c r="D1386" s="3">
        <f>Raw_Transactions!D1386</f>
        <v/>
      </c>
      <c r="E1386" s="2">
        <f>Raw_Transactions!E1386</f>
        <v/>
      </c>
      <c r="F1386" s="2">
        <f>Raw_Transactions!F1386</f>
        <v/>
      </c>
      <c r="G1386" s="2">
        <f>Raw_Transactions!G1386</f>
        <v/>
      </c>
      <c r="H1386" s="2">
        <f>XLOOKUP(B1386,Raw_Risk_Profiles!$A:$A,Raw_Risk_Profiles!$B:$B,"Not Found")</f>
        <v/>
      </c>
      <c r="I1386" s="2">
        <f>XLOOKUP(B1386,Raw_Risk_Profiles!$A:$A,Raw_Risk_Profiles!$C:$C,"Missing")</f>
        <v/>
      </c>
      <c r="J1386" s="2">
        <f>XLOOKUP(B1386,Raw_Risk_Profiles!$A:$A,Raw_Risk_Profiles!$D:$D,"")</f>
        <v/>
      </c>
      <c r="K1386" s="2">
        <f>IFERROR(INDEX(Raw_Risk_Profiles!$E:$E,MATCH(B1386,Raw_Risk_Profiles!$A:$A,0)),"Unknown")</f>
        <v/>
      </c>
      <c r="L1386" s="2">
        <f>IFERROR(XLOOKUP(A1386,Raw_Alerts!$B:$B,Raw_Alerts!$A:$A),"No Alert")</f>
        <v/>
      </c>
      <c r="M1386" s="2">
        <f>IFERROR(XLOOKUP(A1386,Raw_Alerts!$B:$B,Raw_Alerts!$C:$C),"")</f>
        <v/>
      </c>
      <c r="N1386" s="2">
        <f>IFERROR(XLOOKUP(A1386,Raw_Alerts!$B:$B,Raw_Alerts!$D:$D),"")</f>
        <v/>
      </c>
      <c r="O1386" s="2">
        <f>IFERROR(XLOOKUP(A1386,Raw_Alerts!$B:$B,Raw_Alerts!$F:$F),"")</f>
        <v/>
      </c>
      <c r="P1386" s="2">
        <f>IF(H1386="Not Found","CRITICAL: No Risk Profile",IF(I1386="Missing","WARN: Missing KYC",IF(I1386="Expired","WARN: KYC Expired",IF(I1386="Pending","INFO: KYC Pending","OK"))))</f>
        <v/>
      </c>
    </row>
    <row r="1387">
      <c r="A1387" s="4">
        <f>Raw_Transactions!A1387</f>
        <v/>
      </c>
      <c r="B1387" s="4">
        <f>Raw_Transactions!B1387</f>
        <v/>
      </c>
      <c r="C1387" s="4">
        <f>Raw_Transactions!C1387</f>
        <v/>
      </c>
      <c r="D1387" s="5">
        <f>Raw_Transactions!D1387</f>
        <v/>
      </c>
      <c r="E1387" s="4">
        <f>Raw_Transactions!E1387</f>
        <v/>
      </c>
      <c r="F1387" s="4">
        <f>Raw_Transactions!F1387</f>
        <v/>
      </c>
      <c r="G1387" s="4">
        <f>Raw_Transactions!G1387</f>
        <v/>
      </c>
      <c r="H1387" s="4">
        <f>XLOOKUP(B1387,Raw_Risk_Profiles!$A:$A,Raw_Risk_Profiles!$B:$B,"Not Found")</f>
        <v/>
      </c>
      <c r="I1387" s="4">
        <f>XLOOKUP(B1387,Raw_Risk_Profiles!$A:$A,Raw_Risk_Profiles!$C:$C,"Missing")</f>
        <v/>
      </c>
      <c r="J1387" s="4">
        <f>XLOOKUP(B1387,Raw_Risk_Profiles!$A:$A,Raw_Risk_Profiles!$D:$D,"")</f>
        <v/>
      </c>
      <c r="K1387" s="4">
        <f>IFERROR(INDEX(Raw_Risk_Profiles!$E:$E,MATCH(B1387,Raw_Risk_Profiles!$A:$A,0)),"Unknown")</f>
        <v/>
      </c>
      <c r="L1387" s="4">
        <f>IFERROR(XLOOKUP(A1387,Raw_Alerts!$B:$B,Raw_Alerts!$A:$A),"No Alert")</f>
        <v/>
      </c>
      <c r="M1387" s="4">
        <f>IFERROR(XLOOKUP(A1387,Raw_Alerts!$B:$B,Raw_Alerts!$C:$C),"")</f>
        <v/>
      </c>
      <c r="N1387" s="4">
        <f>IFERROR(XLOOKUP(A1387,Raw_Alerts!$B:$B,Raw_Alerts!$D:$D),"")</f>
        <v/>
      </c>
      <c r="O1387" s="4">
        <f>IFERROR(XLOOKUP(A1387,Raw_Alerts!$B:$B,Raw_Alerts!$F:$F),"")</f>
        <v/>
      </c>
      <c r="P1387" s="4">
        <f>IF(H1387="Not Found","CRITICAL: No Risk Profile",IF(I1387="Missing","WARN: Missing KYC",IF(I1387="Expired","WARN: KYC Expired",IF(I1387="Pending","INFO: KYC Pending","OK"))))</f>
        <v/>
      </c>
    </row>
    <row r="1388">
      <c r="A1388" s="2">
        <f>Raw_Transactions!A1388</f>
        <v/>
      </c>
      <c r="B1388" s="2">
        <f>Raw_Transactions!B1388</f>
        <v/>
      </c>
      <c r="C1388" s="2">
        <f>Raw_Transactions!C1388</f>
        <v/>
      </c>
      <c r="D1388" s="3">
        <f>Raw_Transactions!D1388</f>
        <v/>
      </c>
      <c r="E1388" s="2">
        <f>Raw_Transactions!E1388</f>
        <v/>
      </c>
      <c r="F1388" s="2">
        <f>Raw_Transactions!F1388</f>
        <v/>
      </c>
      <c r="G1388" s="2">
        <f>Raw_Transactions!G1388</f>
        <v/>
      </c>
      <c r="H1388" s="2">
        <f>XLOOKUP(B1388,Raw_Risk_Profiles!$A:$A,Raw_Risk_Profiles!$B:$B,"Not Found")</f>
        <v/>
      </c>
      <c r="I1388" s="2">
        <f>XLOOKUP(B1388,Raw_Risk_Profiles!$A:$A,Raw_Risk_Profiles!$C:$C,"Missing")</f>
        <v/>
      </c>
      <c r="J1388" s="2">
        <f>XLOOKUP(B1388,Raw_Risk_Profiles!$A:$A,Raw_Risk_Profiles!$D:$D,"")</f>
        <v/>
      </c>
      <c r="K1388" s="2">
        <f>IFERROR(INDEX(Raw_Risk_Profiles!$E:$E,MATCH(B1388,Raw_Risk_Profiles!$A:$A,0)),"Unknown")</f>
        <v/>
      </c>
      <c r="L1388" s="2">
        <f>IFERROR(XLOOKUP(A1388,Raw_Alerts!$B:$B,Raw_Alerts!$A:$A),"No Alert")</f>
        <v/>
      </c>
      <c r="M1388" s="2">
        <f>IFERROR(XLOOKUP(A1388,Raw_Alerts!$B:$B,Raw_Alerts!$C:$C),"")</f>
        <v/>
      </c>
      <c r="N1388" s="2">
        <f>IFERROR(XLOOKUP(A1388,Raw_Alerts!$B:$B,Raw_Alerts!$D:$D),"")</f>
        <v/>
      </c>
      <c r="O1388" s="2">
        <f>IFERROR(XLOOKUP(A1388,Raw_Alerts!$B:$B,Raw_Alerts!$F:$F),"")</f>
        <v/>
      </c>
      <c r="P1388" s="2">
        <f>IF(H1388="Not Found","CRITICAL: No Risk Profile",IF(I1388="Missing","WARN: Missing KYC",IF(I1388="Expired","WARN: KYC Expired",IF(I1388="Pending","INFO: KYC Pending","OK"))))</f>
        <v/>
      </c>
    </row>
    <row r="1389">
      <c r="A1389" s="4">
        <f>Raw_Transactions!A1389</f>
        <v/>
      </c>
      <c r="B1389" s="4">
        <f>Raw_Transactions!B1389</f>
        <v/>
      </c>
      <c r="C1389" s="4">
        <f>Raw_Transactions!C1389</f>
        <v/>
      </c>
      <c r="D1389" s="5">
        <f>Raw_Transactions!D1389</f>
        <v/>
      </c>
      <c r="E1389" s="4">
        <f>Raw_Transactions!E1389</f>
        <v/>
      </c>
      <c r="F1389" s="4">
        <f>Raw_Transactions!F1389</f>
        <v/>
      </c>
      <c r="G1389" s="4">
        <f>Raw_Transactions!G1389</f>
        <v/>
      </c>
      <c r="H1389" s="4">
        <f>XLOOKUP(B1389,Raw_Risk_Profiles!$A:$A,Raw_Risk_Profiles!$B:$B,"Not Found")</f>
        <v/>
      </c>
      <c r="I1389" s="4">
        <f>XLOOKUP(B1389,Raw_Risk_Profiles!$A:$A,Raw_Risk_Profiles!$C:$C,"Missing")</f>
        <v/>
      </c>
      <c r="J1389" s="4">
        <f>XLOOKUP(B1389,Raw_Risk_Profiles!$A:$A,Raw_Risk_Profiles!$D:$D,"")</f>
        <v/>
      </c>
      <c r="K1389" s="4">
        <f>IFERROR(INDEX(Raw_Risk_Profiles!$E:$E,MATCH(B1389,Raw_Risk_Profiles!$A:$A,0)),"Unknown")</f>
        <v/>
      </c>
      <c r="L1389" s="4">
        <f>IFERROR(XLOOKUP(A1389,Raw_Alerts!$B:$B,Raw_Alerts!$A:$A),"No Alert")</f>
        <v/>
      </c>
      <c r="M1389" s="4">
        <f>IFERROR(XLOOKUP(A1389,Raw_Alerts!$B:$B,Raw_Alerts!$C:$C),"")</f>
        <v/>
      </c>
      <c r="N1389" s="4">
        <f>IFERROR(XLOOKUP(A1389,Raw_Alerts!$B:$B,Raw_Alerts!$D:$D),"")</f>
        <v/>
      </c>
      <c r="O1389" s="4">
        <f>IFERROR(XLOOKUP(A1389,Raw_Alerts!$B:$B,Raw_Alerts!$F:$F),"")</f>
        <v/>
      </c>
      <c r="P1389" s="4">
        <f>IF(H1389="Not Found","CRITICAL: No Risk Profile",IF(I1389="Missing","WARN: Missing KYC",IF(I1389="Expired","WARN: KYC Expired",IF(I1389="Pending","INFO: KYC Pending","OK"))))</f>
        <v/>
      </c>
    </row>
    <row r="1390">
      <c r="A1390" s="2">
        <f>Raw_Transactions!A1390</f>
        <v/>
      </c>
      <c r="B1390" s="2">
        <f>Raw_Transactions!B1390</f>
        <v/>
      </c>
      <c r="C1390" s="2">
        <f>Raw_Transactions!C1390</f>
        <v/>
      </c>
      <c r="D1390" s="3">
        <f>Raw_Transactions!D1390</f>
        <v/>
      </c>
      <c r="E1390" s="2">
        <f>Raw_Transactions!E1390</f>
        <v/>
      </c>
      <c r="F1390" s="2">
        <f>Raw_Transactions!F1390</f>
        <v/>
      </c>
      <c r="G1390" s="2">
        <f>Raw_Transactions!G1390</f>
        <v/>
      </c>
      <c r="H1390" s="2">
        <f>XLOOKUP(B1390,Raw_Risk_Profiles!$A:$A,Raw_Risk_Profiles!$B:$B,"Not Found")</f>
        <v/>
      </c>
      <c r="I1390" s="2">
        <f>XLOOKUP(B1390,Raw_Risk_Profiles!$A:$A,Raw_Risk_Profiles!$C:$C,"Missing")</f>
        <v/>
      </c>
      <c r="J1390" s="2">
        <f>XLOOKUP(B1390,Raw_Risk_Profiles!$A:$A,Raw_Risk_Profiles!$D:$D,"")</f>
        <v/>
      </c>
      <c r="K1390" s="2">
        <f>IFERROR(INDEX(Raw_Risk_Profiles!$E:$E,MATCH(B1390,Raw_Risk_Profiles!$A:$A,0)),"Unknown")</f>
        <v/>
      </c>
      <c r="L1390" s="2">
        <f>IFERROR(XLOOKUP(A1390,Raw_Alerts!$B:$B,Raw_Alerts!$A:$A),"No Alert")</f>
        <v/>
      </c>
      <c r="M1390" s="2">
        <f>IFERROR(XLOOKUP(A1390,Raw_Alerts!$B:$B,Raw_Alerts!$C:$C),"")</f>
        <v/>
      </c>
      <c r="N1390" s="2">
        <f>IFERROR(XLOOKUP(A1390,Raw_Alerts!$B:$B,Raw_Alerts!$D:$D),"")</f>
        <v/>
      </c>
      <c r="O1390" s="2">
        <f>IFERROR(XLOOKUP(A1390,Raw_Alerts!$B:$B,Raw_Alerts!$F:$F),"")</f>
        <v/>
      </c>
      <c r="P1390" s="2">
        <f>IF(H1390="Not Found","CRITICAL: No Risk Profile",IF(I1390="Missing","WARN: Missing KYC",IF(I1390="Expired","WARN: KYC Expired",IF(I1390="Pending","INFO: KYC Pending","OK"))))</f>
        <v/>
      </c>
    </row>
    <row r="1391">
      <c r="A1391" s="4">
        <f>Raw_Transactions!A1391</f>
        <v/>
      </c>
      <c r="B1391" s="4">
        <f>Raw_Transactions!B1391</f>
        <v/>
      </c>
      <c r="C1391" s="4">
        <f>Raw_Transactions!C1391</f>
        <v/>
      </c>
      <c r="D1391" s="5">
        <f>Raw_Transactions!D1391</f>
        <v/>
      </c>
      <c r="E1391" s="4">
        <f>Raw_Transactions!E1391</f>
        <v/>
      </c>
      <c r="F1391" s="4">
        <f>Raw_Transactions!F1391</f>
        <v/>
      </c>
      <c r="G1391" s="4">
        <f>Raw_Transactions!G1391</f>
        <v/>
      </c>
      <c r="H1391" s="4">
        <f>XLOOKUP(B1391,Raw_Risk_Profiles!$A:$A,Raw_Risk_Profiles!$B:$B,"Not Found")</f>
        <v/>
      </c>
      <c r="I1391" s="4">
        <f>XLOOKUP(B1391,Raw_Risk_Profiles!$A:$A,Raw_Risk_Profiles!$C:$C,"Missing")</f>
        <v/>
      </c>
      <c r="J1391" s="4">
        <f>XLOOKUP(B1391,Raw_Risk_Profiles!$A:$A,Raw_Risk_Profiles!$D:$D,"")</f>
        <v/>
      </c>
      <c r="K1391" s="4">
        <f>IFERROR(INDEX(Raw_Risk_Profiles!$E:$E,MATCH(B1391,Raw_Risk_Profiles!$A:$A,0)),"Unknown")</f>
        <v/>
      </c>
      <c r="L1391" s="4">
        <f>IFERROR(XLOOKUP(A1391,Raw_Alerts!$B:$B,Raw_Alerts!$A:$A),"No Alert")</f>
        <v/>
      </c>
      <c r="M1391" s="4">
        <f>IFERROR(XLOOKUP(A1391,Raw_Alerts!$B:$B,Raw_Alerts!$C:$C),"")</f>
        <v/>
      </c>
      <c r="N1391" s="4">
        <f>IFERROR(XLOOKUP(A1391,Raw_Alerts!$B:$B,Raw_Alerts!$D:$D),"")</f>
        <v/>
      </c>
      <c r="O1391" s="4">
        <f>IFERROR(XLOOKUP(A1391,Raw_Alerts!$B:$B,Raw_Alerts!$F:$F),"")</f>
        <v/>
      </c>
      <c r="P1391" s="4">
        <f>IF(H1391="Not Found","CRITICAL: No Risk Profile",IF(I1391="Missing","WARN: Missing KYC",IF(I1391="Expired","WARN: KYC Expired",IF(I1391="Pending","INFO: KYC Pending","OK"))))</f>
        <v/>
      </c>
    </row>
    <row r="1392">
      <c r="A1392" s="2">
        <f>Raw_Transactions!A1392</f>
        <v/>
      </c>
      <c r="B1392" s="2">
        <f>Raw_Transactions!B1392</f>
        <v/>
      </c>
      <c r="C1392" s="2">
        <f>Raw_Transactions!C1392</f>
        <v/>
      </c>
      <c r="D1392" s="3">
        <f>Raw_Transactions!D1392</f>
        <v/>
      </c>
      <c r="E1392" s="2">
        <f>Raw_Transactions!E1392</f>
        <v/>
      </c>
      <c r="F1392" s="2">
        <f>Raw_Transactions!F1392</f>
        <v/>
      </c>
      <c r="G1392" s="2">
        <f>Raw_Transactions!G1392</f>
        <v/>
      </c>
      <c r="H1392" s="2">
        <f>XLOOKUP(B1392,Raw_Risk_Profiles!$A:$A,Raw_Risk_Profiles!$B:$B,"Not Found")</f>
        <v/>
      </c>
      <c r="I1392" s="2">
        <f>XLOOKUP(B1392,Raw_Risk_Profiles!$A:$A,Raw_Risk_Profiles!$C:$C,"Missing")</f>
        <v/>
      </c>
      <c r="J1392" s="2">
        <f>XLOOKUP(B1392,Raw_Risk_Profiles!$A:$A,Raw_Risk_Profiles!$D:$D,"")</f>
        <v/>
      </c>
      <c r="K1392" s="2">
        <f>IFERROR(INDEX(Raw_Risk_Profiles!$E:$E,MATCH(B1392,Raw_Risk_Profiles!$A:$A,0)),"Unknown")</f>
        <v/>
      </c>
      <c r="L1392" s="2">
        <f>IFERROR(XLOOKUP(A1392,Raw_Alerts!$B:$B,Raw_Alerts!$A:$A),"No Alert")</f>
        <v/>
      </c>
      <c r="M1392" s="2">
        <f>IFERROR(XLOOKUP(A1392,Raw_Alerts!$B:$B,Raw_Alerts!$C:$C),"")</f>
        <v/>
      </c>
      <c r="N1392" s="2">
        <f>IFERROR(XLOOKUP(A1392,Raw_Alerts!$B:$B,Raw_Alerts!$D:$D),"")</f>
        <v/>
      </c>
      <c r="O1392" s="2">
        <f>IFERROR(XLOOKUP(A1392,Raw_Alerts!$B:$B,Raw_Alerts!$F:$F),"")</f>
        <v/>
      </c>
      <c r="P1392" s="2">
        <f>IF(H1392="Not Found","CRITICAL: No Risk Profile",IF(I1392="Missing","WARN: Missing KYC",IF(I1392="Expired","WARN: KYC Expired",IF(I1392="Pending","INFO: KYC Pending","OK"))))</f>
        <v/>
      </c>
    </row>
    <row r="1393">
      <c r="A1393" s="4">
        <f>Raw_Transactions!A1393</f>
        <v/>
      </c>
      <c r="B1393" s="4">
        <f>Raw_Transactions!B1393</f>
        <v/>
      </c>
      <c r="C1393" s="4">
        <f>Raw_Transactions!C1393</f>
        <v/>
      </c>
      <c r="D1393" s="5">
        <f>Raw_Transactions!D1393</f>
        <v/>
      </c>
      <c r="E1393" s="4">
        <f>Raw_Transactions!E1393</f>
        <v/>
      </c>
      <c r="F1393" s="4">
        <f>Raw_Transactions!F1393</f>
        <v/>
      </c>
      <c r="G1393" s="4">
        <f>Raw_Transactions!G1393</f>
        <v/>
      </c>
      <c r="H1393" s="4">
        <f>XLOOKUP(B1393,Raw_Risk_Profiles!$A:$A,Raw_Risk_Profiles!$B:$B,"Not Found")</f>
        <v/>
      </c>
      <c r="I1393" s="4">
        <f>XLOOKUP(B1393,Raw_Risk_Profiles!$A:$A,Raw_Risk_Profiles!$C:$C,"Missing")</f>
        <v/>
      </c>
      <c r="J1393" s="4">
        <f>XLOOKUP(B1393,Raw_Risk_Profiles!$A:$A,Raw_Risk_Profiles!$D:$D,"")</f>
        <v/>
      </c>
      <c r="K1393" s="4">
        <f>IFERROR(INDEX(Raw_Risk_Profiles!$E:$E,MATCH(B1393,Raw_Risk_Profiles!$A:$A,0)),"Unknown")</f>
        <v/>
      </c>
      <c r="L1393" s="4">
        <f>IFERROR(XLOOKUP(A1393,Raw_Alerts!$B:$B,Raw_Alerts!$A:$A),"No Alert")</f>
        <v/>
      </c>
      <c r="M1393" s="4">
        <f>IFERROR(XLOOKUP(A1393,Raw_Alerts!$B:$B,Raw_Alerts!$C:$C),"")</f>
        <v/>
      </c>
      <c r="N1393" s="4">
        <f>IFERROR(XLOOKUP(A1393,Raw_Alerts!$B:$B,Raw_Alerts!$D:$D),"")</f>
        <v/>
      </c>
      <c r="O1393" s="4">
        <f>IFERROR(XLOOKUP(A1393,Raw_Alerts!$B:$B,Raw_Alerts!$F:$F),"")</f>
        <v/>
      </c>
      <c r="P1393" s="4">
        <f>IF(H1393="Not Found","CRITICAL: No Risk Profile",IF(I1393="Missing","WARN: Missing KYC",IF(I1393="Expired","WARN: KYC Expired",IF(I1393="Pending","INFO: KYC Pending","OK"))))</f>
        <v/>
      </c>
    </row>
    <row r="1394">
      <c r="A1394" s="2">
        <f>Raw_Transactions!A1394</f>
        <v/>
      </c>
      <c r="B1394" s="2">
        <f>Raw_Transactions!B1394</f>
        <v/>
      </c>
      <c r="C1394" s="2">
        <f>Raw_Transactions!C1394</f>
        <v/>
      </c>
      <c r="D1394" s="3">
        <f>Raw_Transactions!D1394</f>
        <v/>
      </c>
      <c r="E1394" s="2">
        <f>Raw_Transactions!E1394</f>
        <v/>
      </c>
      <c r="F1394" s="2">
        <f>Raw_Transactions!F1394</f>
        <v/>
      </c>
      <c r="G1394" s="2">
        <f>Raw_Transactions!G1394</f>
        <v/>
      </c>
      <c r="H1394" s="2">
        <f>XLOOKUP(B1394,Raw_Risk_Profiles!$A:$A,Raw_Risk_Profiles!$B:$B,"Not Found")</f>
        <v/>
      </c>
      <c r="I1394" s="2">
        <f>XLOOKUP(B1394,Raw_Risk_Profiles!$A:$A,Raw_Risk_Profiles!$C:$C,"Missing")</f>
        <v/>
      </c>
      <c r="J1394" s="2">
        <f>XLOOKUP(B1394,Raw_Risk_Profiles!$A:$A,Raw_Risk_Profiles!$D:$D,"")</f>
        <v/>
      </c>
      <c r="K1394" s="2">
        <f>IFERROR(INDEX(Raw_Risk_Profiles!$E:$E,MATCH(B1394,Raw_Risk_Profiles!$A:$A,0)),"Unknown")</f>
        <v/>
      </c>
      <c r="L1394" s="2">
        <f>IFERROR(XLOOKUP(A1394,Raw_Alerts!$B:$B,Raw_Alerts!$A:$A),"No Alert")</f>
        <v/>
      </c>
      <c r="M1394" s="2">
        <f>IFERROR(XLOOKUP(A1394,Raw_Alerts!$B:$B,Raw_Alerts!$C:$C),"")</f>
        <v/>
      </c>
      <c r="N1394" s="2">
        <f>IFERROR(XLOOKUP(A1394,Raw_Alerts!$B:$B,Raw_Alerts!$D:$D),"")</f>
        <v/>
      </c>
      <c r="O1394" s="2">
        <f>IFERROR(XLOOKUP(A1394,Raw_Alerts!$B:$B,Raw_Alerts!$F:$F),"")</f>
        <v/>
      </c>
      <c r="P1394" s="2">
        <f>IF(H1394="Not Found","CRITICAL: No Risk Profile",IF(I1394="Missing","WARN: Missing KYC",IF(I1394="Expired","WARN: KYC Expired",IF(I1394="Pending","INFO: KYC Pending","OK"))))</f>
        <v/>
      </c>
    </row>
    <row r="1395">
      <c r="A1395" s="4">
        <f>Raw_Transactions!A1395</f>
        <v/>
      </c>
      <c r="B1395" s="4">
        <f>Raw_Transactions!B1395</f>
        <v/>
      </c>
      <c r="C1395" s="4">
        <f>Raw_Transactions!C1395</f>
        <v/>
      </c>
      <c r="D1395" s="5">
        <f>Raw_Transactions!D1395</f>
        <v/>
      </c>
      <c r="E1395" s="4">
        <f>Raw_Transactions!E1395</f>
        <v/>
      </c>
      <c r="F1395" s="4">
        <f>Raw_Transactions!F1395</f>
        <v/>
      </c>
      <c r="G1395" s="4">
        <f>Raw_Transactions!G1395</f>
        <v/>
      </c>
      <c r="H1395" s="4">
        <f>XLOOKUP(B1395,Raw_Risk_Profiles!$A:$A,Raw_Risk_Profiles!$B:$B,"Not Found")</f>
        <v/>
      </c>
      <c r="I1395" s="4">
        <f>XLOOKUP(B1395,Raw_Risk_Profiles!$A:$A,Raw_Risk_Profiles!$C:$C,"Missing")</f>
        <v/>
      </c>
      <c r="J1395" s="4">
        <f>XLOOKUP(B1395,Raw_Risk_Profiles!$A:$A,Raw_Risk_Profiles!$D:$D,"")</f>
        <v/>
      </c>
      <c r="K1395" s="4">
        <f>IFERROR(INDEX(Raw_Risk_Profiles!$E:$E,MATCH(B1395,Raw_Risk_Profiles!$A:$A,0)),"Unknown")</f>
        <v/>
      </c>
      <c r="L1395" s="4">
        <f>IFERROR(XLOOKUP(A1395,Raw_Alerts!$B:$B,Raw_Alerts!$A:$A),"No Alert")</f>
        <v/>
      </c>
      <c r="M1395" s="4">
        <f>IFERROR(XLOOKUP(A1395,Raw_Alerts!$B:$B,Raw_Alerts!$C:$C),"")</f>
        <v/>
      </c>
      <c r="N1395" s="4">
        <f>IFERROR(XLOOKUP(A1395,Raw_Alerts!$B:$B,Raw_Alerts!$D:$D),"")</f>
        <v/>
      </c>
      <c r="O1395" s="4">
        <f>IFERROR(XLOOKUP(A1395,Raw_Alerts!$B:$B,Raw_Alerts!$F:$F),"")</f>
        <v/>
      </c>
      <c r="P1395" s="4">
        <f>IF(H1395="Not Found","CRITICAL: No Risk Profile",IF(I1395="Missing","WARN: Missing KYC",IF(I1395="Expired","WARN: KYC Expired",IF(I1395="Pending","INFO: KYC Pending","OK"))))</f>
        <v/>
      </c>
    </row>
    <row r="1396">
      <c r="A1396" s="2">
        <f>Raw_Transactions!A1396</f>
        <v/>
      </c>
      <c r="B1396" s="2">
        <f>Raw_Transactions!B1396</f>
        <v/>
      </c>
      <c r="C1396" s="2">
        <f>Raw_Transactions!C1396</f>
        <v/>
      </c>
      <c r="D1396" s="3">
        <f>Raw_Transactions!D1396</f>
        <v/>
      </c>
      <c r="E1396" s="2">
        <f>Raw_Transactions!E1396</f>
        <v/>
      </c>
      <c r="F1396" s="2">
        <f>Raw_Transactions!F1396</f>
        <v/>
      </c>
      <c r="G1396" s="2">
        <f>Raw_Transactions!G1396</f>
        <v/>
      </c>
      <c r="H1396" s="2">
        <f>XLOOKUP(B1396,Raw_Risk_Profiles!$A:$A,Raw_Risk_Profiles!$B:$B,"Not Found")</f>
        <v/>
      </c>
      <c r="I1396" s="2">
        <f>XLOOKUP(B1396,Raw_Risk_Profiles!$A:$A,Raw_Risk_Profiles!$C:$C,"Missing")</f>
        <v/>
      </c>
      <c r="J1396" s="2">
        <f>XLOOKUP(B1396,Raw_Risk_Profiles!$A:$A,Raw_Risk_Profiles!$D:$D,"")</f>
        <v/>
      </c>
      <c r="K1396" s="2">
        <f>IFERROR(INDEX(Raw_Risk_Profiles!$E:$E,MATCH(B1396,Raw_Risk_Profiles!$A:$A,0)),"Unknown")</f>
        <v/>
      </c>
      <c r="L1396" s="2">
        <f>IFERROR(XLOOKUP(A1396,Raw_Alerts!$B:$B,Raw_Alerts!$A:$A),"No Alert")</f>
        <v/>
      </c>
      <c r="M1396" s="2">
        <f>IFERROR(XLOOKUP(A1396,Raw_Alerts!$B:$B,Raw_Alerts!$C:$C),"")</f>
        <v/>
      </c>
      <c r="N1396" s="2">
        <f>IFERROR(XLOOKUP(A1396,Raw_Alerts!$B:$B,Raw_Alerts!$D:$D),"")</f>
        <v/>
      </c>
      <c r="O1396" s="2">
        <f>IFERROR(XLOOKUP(A1396,Raw_Alerts!$B:$B,Raw_Alerts!$F:$F),"")</f>
        <v/>
      </c>
      <c r="P1396" s="2">
        <f>IF(H1396="Not Found","CRITICAL: No Risk Profile",IF(I1396="Missing","WARN: Missing KYC",IF(I1396="Expired","WARN: KYC Expired",IF(I1396="Pending","INFO: KYC Pending","OK"))))</f>
        <v/>
      </c>
    </row>
    <row r="1397">
      <c r="A1397" s="4">
        <f>Raw_Transactions!A1397</f>
        <v/>
      </c>
      <c r="B1397" s="4">
        <f>Raw_Transactions!B1397</f>
        <v/>
      </c>
      <c r="C1397" s="4">
        <f>Raw_Transactions!C1397</f>
        <v/>
      </c>
      <c r="D1397" s="5">
        <f>Raw_Transactions!D1397</f>
        <v/>
      </c>
      <c r="E1397" s="4">
        <f>Raw_Transactions!E1397</f>
        <v/>
      </c>
      <c r="F1397" s="4">
        <f>Raw_Transactions!F1397</f>
        <v/>
      </c>
      <c r="G1397" s="4">
        <f>Raw_Transactions!G1397</f>
        <v/>
      </c>
      <c r="H1397" s="4">
        <f>XLOOKUP(B1397,Raw_Risk_Profiles!$A:$A,Raw_Risk_Profiles!$B:$B,"Not Found")</f>
        <v/>
      </c>
      <c r="I1397" s="4">
        <f>XLOOKUP(B1397,Raw_Risk_Profiles!$A:$A,Raw_Risk_Profiles!$C:$C,"Missing")</f>
        <v/>
      </c>
      <c r="J1397" s="4">
        <f>XLOOKUP(B1397,Raw_Risk_Profiles!$A:$A,Raw_Risk_Profiles!$D:$D,"")</f>
        <v/>
      </c>
      <c r="K1397" s="4">
        <f>IFERROR(INDEX(Raw_Risk_Profiles!$E:$E,MATCH(B1397,Raw_Risk_Profiles!$A:$A,0)),"Unknown")</f>
        <v/>
      </c>
      <c r="L1397" s="4">
        <f>IFERROR(XLOOKUP(A1397,Raw_Alerts!$B:$B,Raw_Alerts!$A:$A),"No Alert")</f>
        <v/>
      </c>
      <c r="M1397" s="4">
        <f>IFERROR(XLOOKUP(A1397,Raw_Alerts!$B:$B,Raw_Alerts!$C:$C),"")</f>
        <v/>
      </c>
      <c r="N1397" s="4">
        <f>IFERROR(XLOOKUP(A1397,Raw_Alerts!$B:$B,Raw_Alerts!$D:$D),"")</f>
        <v/>
      </c>
      <c r="O1397" s="4">
        <f>IFERROR(XLOOKUP(A1397,Raw_Alerts!$B:$B,Raw_Alerts!$F:$F),"")</f>
        <v/>
      </c>
      <c r="P1397" s="4">
        <f>IF(H1397="Not Found","CRITICAL: No Risk Profile",IF(I1397="Missing","WARN: Missing KYC",IF(I1397="Expired","WARN: KYC Expired",IF(I1397="Pending","INFO: KYC Pending","OK"))))</f>
        <v/>
      </c>
    </row>
    <row r="1398">
      <c r="A1398" s="2">
        <f>Raw_Transactions!A1398</f>
        <v/>
      </c>
      <c r="B1398" s="2">
        <f>Raw_Transactions!B1398</f>
        <v/>
      </c>
      <c r="C1398" s="2">
        <f>Raw_Transactions!C1398</f>
        <v/>
      </c>
      <c r="D1398" s="3">
        <f>Raw_Transactions!D1398</f>
        <v/>
      </c>
      <c r="E1398" s="2">
        <f>Raw_Transactions!E1398</f>
        <v/>
      </c>
      <c r="F1398" s="2">
        <f>Raw_Transactions!F1398</f>
        <v/>
      </c>
      <c r="G1398" s="2">
        <f>Raw_Transactions!G1398</f>
        <v/>
      </c>
      <c r="H1398" s="2">
        <f>XLOOKUP(B1398,Raw_Risk_Profiles!$A:$A,Raw_Risk_Profiles!$B:$B,"Not Found")</f>
        <v/>
      </c>
      <c r="I1398" s="2">
        <f>XLOOKUP(B1398,Raw_Risk_Profiles!$A:$A,Raw_Risk_Profiles!$C:$C,"Missing")</f>
        <v/>
      </c>
      <c r="J1398" s="2">
        <f>XLOOKUP(B1398,Raw_Risk_Profiles!$A:$A,Raw_Risk_Profiles!$D:$D,"")</f>
        <v/>
      </c>
      <c r="K1398" s="2">
        <f>IFERROR(INDEX(Raw_Risk_Profiles!$E:$E,MATCH(B1398,Raw_Risk_Profiles!$A:$A,0)),"Unknown")</f>
        <v/>
      </c>
      <c r="L1398" s="2">
        <f>IFERROR(XLOOKUP(A1398,Raw_Alerts!$B:$B,Raw_Alerts!$A:$A),"No Alert")</f>
        <v/>
      </c>
      <c r="M1398" s="2">
        <f>IFERROR(XLOOKUP(A1398,Raw_Alerts!$B:$B,Raw_Alerts!$C:$C),"")</f>
        <v/>
      </c>
      <c r="N1398" s="2">
        <f>IFERROR(XLOOKUP(A1398,Raw_Alerts!$B:$B,Raw_Alerts!$D:$D),"")</f>
        <v/>
      </c>
      <c r="O1398" s="2">
        <f>IFERROR(XLOOKUP(A1398,Raw_Alerts!$B:$B,Raw_Alerts!$F:$F),"")</f>
        <v/>
      </c>
      <c r="P1398" s="2">
        <f>IF(H1398="Not Found","CRITICAL: No Risk Profile",IF(I1398="Missing","WARN: Missing KYC",IF(I1398="Expired","WARN: KYC Expired",IF(I1398="Pending","INFO: KYC Pending","OK"))))</f>
        <v/>
      </c>
    </row>
    <row r="1399">
      <c r="A1399" s="4">
        <f>Raw_Transactions!A1399</f>
        <v/>
      </c>
      <c r="B1399" s="4">
        <f>Raw_Transactions!B1399</f>
        <v/>
      </c>
      <c r="C1399" s="4">
        <f>Raw_Transactions!C1399</f>
        <v/>
      </c>
      <c r="D1399" s="5">
        <f>Raw_Transactions!D1399</f>
        <v/>
      </c>
      <c r="E1399" s="4">
        <f>Raw_Transactions!E1399</f>
        <v/>
      </c>
      <c r="F1399" s="4">
        <f>Raw_Transactions!F1399</f>
        <v/>
      </c>
      <c r="G1399" s="4">
        <f>Raw_Transactions!G1399</f>
        <v/>
      </c>
      <c r="H1399" s="4">
        <f>XLOOKUP(B1399,Raw_Risk_Profiles!$A:$A,Raw_Risk_Profiles!$B:$B,"Not Found")</f>
        <v/>
      </c>
      <c r="I1399" s="4">
        <f>XLOOKUP(B1399,Raw_Risk_Profiles!$A:$A,Raw_Risk_Profiles!$C:$C,"Missing")</f>
        <v/>
      </c>
      <c r="J1399" s="4">
        <f>XLOOKUP(B1399,Raw_Risk_Profiles!$A:$A,Raw_Risk_Profiles!$D:$D,"")</f>
        <v/>
      </c>
      <c r="K1399" s="4">
        <f>IFERROR(INDEX(Raw_Risk_Profiles!$E:$E,MATCH(B1399,Raw_Risk_Profiles!$A:$A,0)),"Unknown")</f>
        <v/>
      </c>
      <c r="L1399" s="4">
        <f>IFERROR(XLOOKUP(A1399,Raw_Alerts!$B:$B,Raw_Alerts!$A:$A),"No Alert")</f>
        <v/>
      </c>
      <c r="M1399" s="4">
        <f>IFERROR(XLOOKUP(A1399,Raw_Alerts!$B:$B,Raw_Alerts!$C:$C),"")</f>
        <v/>
      </c>
      <c r="N1399" s="4">
        <f>IFERROR(XLOOKUP(A1399,Raw_Alerts!$B:$B,Raw_Alerts!$D:$D),"")</f>
        <v/>
      </c>
      <c r="O1399" s="4">
        <f>IFERROR(XLOOKUP(A1399,Raw_Alerts!$B:$B,Raw_Alerts!$F:$F),"")</f>
        <v/>
      </c>
      <c r="P1399" s="4">
        <f>IF(H1399="Not Found","CRITICAL: No Risk Profile",IF(I1399="Missing","WARN: Missing KYC",IF(I1399="Expired","WARN: KYC Expired",IF(I1399="Pending","INFO: KYC Pending","OK"))))</f>
        <v/>
      </c>
    </row>
    <row r="1400">
      <c r="A1400" s="2">
        <f>Raw_Transactions!A1400</f>
        <v/>
      </c>
      <c r="B1400" s="2">
        <f>Raw_Transactions!B1400</f>
        <v/>
      </c>
      <c r="C1400" s="2">
        <f>Raw_Transactions!C1400</f>
        <v/>
      </c>
      <c r="D1400" s="3">
        <f>Raw_Transactions!D1400</f>
        <v/>
      </c>
      <c r="E1400" s="2">
        <f>Raw_Transactions!E1400</f>
        <v/>
      </c>
      <c r="F1400" s="2">
        <f>Raw_Transactions!F1400</f>
        <v/>
      </c>
      <c r="G1400" s="2">
        <f>Raw_Transactions!G1400</f>
        <v/>
      </c>
      <c r="H1400" s="2">
        <f>XLOOKUP(B1400,Raw_Risk_Profiles!$A:$A,Raw_Risk_Profiles!$B:$B,"Not Found")</f>
        <v/>
      </c>
      <c r="I1400" s="2">
        <f>XLOOKUP(B1400,Raw_Risk_Profiles!$A:$A,Raw_Risk_Profiles!$C:$C,"Missing")</f>
        <v/>
      </c>
      <c r="J1400" s="2">
        <f>XLOOKUP(B1400,Raw_Risk_Profiles!$A:$A,Raw_Risk_Profiles!$D:$D,"")</f>
        <v/>
      </c>
      <c r="K1400" s="2">
        <f>IFERROR(INDEX(Raw_Risk_Profiles!$E:$E,MATCH(B1400,Raw_Risk_Profiles!$A:$A,0)),"Unknown")</f>
        <v/>
      </c>
      <c r="L1400" s="2">
        <f>IFERROR(XLOOKUP(A1400,Raw_Alerts!$B:$B,Raw_Alerts!$A:$A),"No Alert")</f>
        <v/>
      </c>
      <c r="M1400" s="2">
        <f>IFERROR(XLOOKUP(A1400,Raw_Alerts!$B:$B,Raw_Alerts!$C:$C),"")</f>
        <v/>
      </c>
      <c r="N1400" s="2">
        <f>IFERROR(XLOOKUP(A1400,Raw_Alerts!$B:$B,Raw_Alerts!$D:$D),"")</f>
        <v/>
      </c>
      <c r="O1400" s="2">
        <f>IFERROR(XLOOKUP(A1400,Raw_Alerts!$B:$B,Raw_Alerts!$F:$F),"")</f>
        <v/>
      </c>
      <c r="P1400" s="2">
        <f>IF(H1400="Not Found","CRITICAL: No Risk Profile",IF(I1400="Missing","WARN: Missing KYC",IF(I1400="Expired","WARN: KYC Expired",IF(I1400="Pending","INFO: KYC Pending","OK"))))</f>
        <v/>
      </c>
    </row>
    <row r="1401">
      <c r="A1401" s="4">
        <f>Raw_Transactions!A1401</f>
        <v/>
      </c>
      <c r="B1401" s="4">
        <f>Raw_Transactions!B1401</f>
        <v/>
      </c>
      <c r="C1401" s="4">
        <f>Raw_Transactions!C1401</f>
        <v/>
      </c>
      <c r="D1401" s="5">
        <f>Raw_Transactions!D1401</f>
        <v/>
      </c>
      <c r="E1401" s="4">
        <f>Raw_Transactions!E1401</f>
        <v/>
      </c>
      <c r="F1401" s="4">
        <f>Raw_Transactions!F1401</f>
        <v/>
      </c>
      <c r="G1401" s="4">
        <f>Raw_Transactions!G1401</f>
        <v/>
      </c>
      <c r="H1401" s="4">
        <f>XLOOKUP(B1401,Raw_Risk_Profiles!$A:$A,Raw_Risk_Profiles!$B:$B,"Not Found")</f>
        <v/>
      </c>
      <c r="I1401" s="4">
        <f>XLOOKUP(B1401,Raw_Risk_Profiles!$A:$A,Raw_Risk_Profiles!$C:$C,"Missing")</f>
        <v/>
      </c>
      <c r="J1401" s="4">
        <f>XLOOKUP(B1401,Raw_Risk_Profiles!$A:$A,Raw_Risk_Profiles!$D:$D,"")</f>
        <v/>
      </c>
      <c r="K1401" s="4">
        <f>IFERROR(INDEX(Raw_Risk_Profiles!$E:$E,MATCH(B1401,Raw_Risk_Profiles!$A:$A,0)),"Unknown")</f>
        <v/>
      </c>
      <c r="L1401" s="4">
        <f>IFERROR(XLOOKUP(A1401,Raw_Alerts!$B:$B,Raw_Alerts!$A:$A),"No Alert")</f>
        <v/>
      </c>
      <c r="M1401" s="4">
        <f>IFERROR(XLOOKUP(A1401,Raw_Alerts!$B:$B,Raw_Alerts!$C:$C),"")</f>
        <v/>
      </c>
      <c r="N1401" s="4">
        <f>IFERROR(XLOOKUP(A1401,Raw_Alerts!$B:$B,Raw_Alerts!$D:$D),"")</f>
        <v/>
      </c>
      <c r="O1401" s="4">
        <f>IFERROR(XLOOKUP(A1401,Raw_Alerts!$B:$B,Raw_Alerts!$F:$F),"")</f>
        <v/>
      </c>
      <c r="P1401" s="4">
        <f>IF(H1401="Not Found","CRITICAL: No Risk Profile",IF(I1401="Missing","WARN: Missing KYC",IF(I1401="Expired","WARN: KYC Expired",IF(I1401="Pending","INFO: KYC Pending","OK"))))</f>
        <v/>
      </c>
    </row>
    <row r="1402">
      <c r="A1402" s="2">
        <f>Raw_Transactions!A1402</f>
        <v/>
      </c>
      <c r="B1402" s="2">
        <f>Raw_Transactions!B1402</f>
        <v/>
      </c>
      <c r="C1402" s="2">
        <f>Raw_Transactions!C1402</f>
        <v/>
      </c>
      <c r="D1402" s="3">
        <f>Raw_Transactions!D1402</f>
        <v/>
      </c>
      <c r="E1402" s="2">
        <f>Raw_Transactions!E1402</f>
        <v/>
      </c>
      <c r="F1402" s="2">
        <f>Raw_Transactions!F1402</f>
        <v/>
      </c>
      <c r="G1402" s="2">
        <f>Raw_Transactions!G1402</f>
        <v/>
      </c>
      <c r="H1402" s="2">
        <f>XLOOKUP(B1402,Raw_Risk_Profiles!$A:$A,Raw_Risk_Profiles!$B:$B,"Not Found")</f>
        <v/>
      </c>
      <c r="I1402" s="2">
        <f>XLOOKUP(B1402,Raw_Risk_Profiles!$A:$A,Raw_Risk_Profiles!$C:$C,"Missing")</f>
        <v/>
      </c>
      <c r="J1402" s="2">
        <f>XLOOKUP(B1402,Raw_Risk_Profiles!$A:$A,Raw_Risk_Profiles!$D:$D,"")</f>
        <v/>
      </c>
      <c r="K1402" s="2">
        <f>IFERROR(INDEX(Raw_Risk_Profiles!$E:$E,MATCH(B1402,Raw_Risk_Profiles!$A:$A,0)),"Unknown")</f>
        <v/>
      </c>
      <c r="L1402" s="2">
        <f>IFERROR(XLOOKUP(A1402,Raw_Alerts!$B:$B,Raw_Alerts!$A:$A),"No Alert")</f>
        <v/>
      </c>
      <c r="M1402" s="2">
        <f>IFERROR(XLOOKUP(A1402,Raw_Alerts!$B:$B,Raw_Alerts!$C:$C),"")</f>
        <v/>
      </c>
      <c r="N1402" s="2">
        <f>IFERROR(XLOOKUP(A1402,Raw_Alerts!$B:$B,Raw_Alerts!$D:$D),"")</f>
        <v/>
      </c>
      <c r="O1402" s="2">
        <f>IFERROR(XLOOKUP(A1402,Raw_Alerts!$B:$B,Raw_Alerts!$F:$F),"")</f>
        <v/>
      </c>
      <c r="P1402" s="2">
        <f>IF(H1402="Not Found","CRITICAL: No Risk Profile",IF(I1402="Missing","WARN: Missing KYC",IF(I1402="Expired","WARN: KYC Expired",IF(I1402="Pending","INFO: KYC Pending","OK"))))</f>
        <v/>
      </c>
    </row>
    <row r="1403">
      <c r="A1403" s="4">
        <f>Raw_Transactions!A1403</f>
        <v/>
      </c>
      <c r="B1403" s="4">
        <f>Raw_Transactions!B1403</f>
        <v/>
      </c>
      <c r="C1403" s="4">
        <f>Raw_Transactions!C1403</f>
        <v/>
      </c>
      <c r="D1403" s="5">
        <f>Raw_Transactions!D1403</f>
        <v/>
      </c>
      <c r="E1403" s="4">
        <f>Raw_Transactions!E1403</f>
        <v/>
      </c>
      <c r="F1403" s="4">
        <f>Raw_Transactions!F1403</f>
        <v/>
      </c>
      <c r="G1403" s="4">
        <f>Raw_Transactions!G1403</f>
        <v/>
      </c>
      <c r="H1403" s="4">
        <f>XLOOKUP(B1403,Raw_Risk_Profiles!$A:$A,Raw_Risk_Profiles!$B:$B,"Not Found")</f>
        <v/>
      </c>
      <c r="I1403" s="4">
        <f>XLOOKUP(B1403,Raw_Risk_Profiles!$A:$A,Raw_Risk_Profiles!$C:$C,"Missing")</f>
        <v/>
      </c>
      <c r="J1403" s="4">
        <f>XLOOKUP(B1403,Raw_Risk_Profiles!$A:$A,Raw_Risk_Profiles!$D:$D,"")</f>
        <v/>
      </c>
      <c r="K1403" s="4">
        <f>IFERROR(INDEX(Raw_Risk_Profiles!$E:$E,MATCH(B1403,Raw_Risk_Profiles!$A:$A,0)),"Unknown")</f>
        <v/>
      </c>
      <c r="L1403" s="4">
        <f>IFERROR(XLOOKUP(A1403,Raw_Alerts!$B:$B,Raw_Alerts!$A:$A),"No Alert")</f>
        <v/>
      </c>
      <c r="M1403" s="4">
        <f>IFERROR(XLOOKUP(A1403,Raw_Alerts!$B:$B,Raw_Alerts!$C:$C),"")</f>
        <v/>
      </c>
      <c r="N1403" s="4">
        <f>IFERROR(XLOOKUP(A1403,Raw_Alerts!$B:$B,Raw_Alerts!$D:$D),"")</f>
        <v/>
      </c>
      <c r="O1403" s="4">
        <f>IFERROR(XLOOKUP(A1403,Raw_Alerts!$B:$B,Raw_Alerts!$F:$F),"")</f>
        <v/>
      </c>
      <c r="P1403" s="4">
        <f>IF(H1403="Not Found","CRITICAL: No Risk Profile",IF(I1403="Missing","WARN: Missing KYC",IF(I1403="Expired","WARN: KYC Expired",IF(I1403="Pending","INFO: KYC Pending","OK"))))</f>
        <v/>
      </c>
    </row>
    <row r="1404">
      <c r="A1404" s="2">
        <f>Raw_Transactions!A1404</f>
        <v/>
      </c>
      <c r="B1404" s="2">
        <f>Raw_Transactions!B1404</f>
        <v/>
      </c>
      <c r="C1404" s="2">
        <f>Raw_Transactions!C1404</f>
        <v/>
      </c>
      <c r="D1404" s="3">
        <f>Raw_Transactions!D1404</f>
        <v/>
      </c>
      <c r="E1404" s="2">
        <f>Raw_Transactions!E1404</f>
        <v/>
      </c>
      <c r="F1404" s="2">
        <f>Raw_Transactions!F1404</f>
        <v/>
      </c>
      <c r="G1404" s="2">
        <f>Raw_Transactions!G1404</f>
        <v/>
      </c>
      <c r="H1404" s="2">
        <f>XLOOKUP(B1404,Raw_Risk_Profiles!$A:$A,Raw_Risk_Profiles!$B:$B,"Not Found")</f>
        <v/>
      </c>
      <c r="I1404" s="2">
        <f>XLOOKUP(B1404,Raw_Risk_Profiles!$A:$A,Raw_Risk_Profiles!$C:$C,"Missing")</f>
        <v/>
      </c>
      <c r="J1404" s="2">
        <f>XLOOKUP(B1404,Raw_Risk_Profiles!$A:$A,Raw_Risk_Profiles!$D:$D,"")</f>
        <v/>
      </c>
      <c r="K1404" s="2">
        <f>IFERROR(INDEX(Raw_Risk_Profiles!$E:$E,MATCH(B1404,Raw_Risk_Profiles!$A:$A,0)),"Unknown")</f>
        <v/>
      </c>
      <c r="L1404" s="2">
        <f>IFERROR(XLOOKUP(A1404,Raw_Alerts!$B:$B,Raw_Alerts!$A:$A),"No Alert")</f>
        <v/>
      </c>
      <c r="M1404" s="2">
        <f>IFERROR(XLOOKUP(A1404,Raw_Alerts!$B:$B,Raw_Alerts!$C:$C),"")</f>
        <v/>
      </c>
      <c r="N1404" s="2">
        <f>IFERROR(XLOOKUP(A1404,Raw_Alerts!$B:$B,Raw_Alerts!$D:$D),"")</f>
        <v/>
      </c>
      <c r="O1404" s="2">
        <f>IFERROR(XLOOKUP(A1404,Raw_Alerts!$B:$B,Raw_Alerts!$F:$F),"")</f>
        <v/>
      </c>
      <c r="P1404" s="2">
        <f>IF(H1404="Not Found","CRITICAL: No Risk Profile",IF(I1404="Missing","WARN: Missing KYC",IF(I1404="Expired","WARN: KYC Expired",IF(I1404="Pending","INFO: KYC Pending","OK"))))</f>
        <v/>
      </c>
    </row>
    <row r="1405">
      <c r="A1405" s="4">
        <f>Raw_Transactions!A1405</f>
        <v/>
      </c>
      <c r="B1405" s="4">
        <f>Raw_Transactions!B1405</f>
        <v/>
      </c>
      <c r="C1405" s="4">
        <f>Raw_Transactions!C1405</f>
        <v/>
      </c>
      <c r="D1405" s="5">
        <f>Raw_Transactions!D1405</f>
        <v/>
      </c>
      <c r="E1405" s="4">
        <f>Raw_Transactions!E1405</f>
        <v/>
      </c>
      <c r="F1405" s="4">
        <f>Raw_Transactions!F1405</f>
        <v/>
      </c>
      <c r="G1405" s="4">
        <f>Raw_Transactions!G1405</f>
        <v/>
      </c>
      <c r="H1405" s="4">
        <f>XLOOKUP(B1405,Raw_Risk_Profiles!$A:$A,Raw_Risk_Profiles!$B:$B,"Not Found")</f>
        <v/>
      </c>
      <c r="I1405" s="4">
        <f>XLOOKUP(B1405,Raw_Risk_Profiles!$A:$A,Raw_Risk_Profiles!$C:$C,"Missing")</f>
        <v/>
      </c>
      <c r="J1405" s="4">
        <f>XLOOKUP(B1405,Raw_Risk_Profiles!$A:$A,Raw_Risk_Profiles!$D:$D,"")</f>
        <v/>
      </c>
      <c r="K1405" s="4">
        <f>IFERROR(INDEX(Raw_Risk_Profiles!$E:$E,MATCH(B1405,Raw_Risk_Profiles!$A:$A,0)),"Unknown")</f>
        <v/>
      </c>
      <c r="L1405" s="4">
        <f>IFERROR(XLOOKUP(A1405,Raw_Alerts!$B:$B,Raw_Alerts!$A:$A),"No Alert")</f>
        <v/>
      </c>
      <c r="M1405" s="4">
        <f>IFERROR(XLOOKUP(A1405,Raw_Alerts!$B:$B,Raw_Alerts!$C:$C),"")</f>
        <v/>
      </c>
      <c r="N1405" s="4">
        <f>IFERROR(XLOOKUP(A1405,Raw_Alerts!$B:$B,Raw_Alerts!$D:$D),"")</f>
        <v/>
      </c>
      <c r="O1405" s="4">
        <f>IFERROR(XLOOKUP(A1405,Raw_Alerts!$B:$B,Raw_Alerts!$F:$F),"")</f>
        <v/>
      </c>
      <c r="P1405" s="4">
        <f>IF(H1405="Not Found","CRITICAL: No Risk Profile",IF(I1405="Missing","WARN: Missing KYC",IF(I1405="Expired","WARN: KYC Expired",IF(I1405="Pending","INFO: KYC Pending","OK"))))</f>
        <v/>
      </c>
    </row>
    <row r="1406">
      <c r="A1406" s="2">
        <f>Raw_Transactions!A1406</f>
        <v/>
      </c>
      <c r="B1406" s="2">
        <f>Raw_Transactions!B1406</f>
        <v/>
      </c>
      <c r="C1406" s="2">
        <f>Raw_Transactions!C1406</f>
        <v/>
      </c>
      <c r="D1406" s="3">
        <f>Raw_Transactions!D1406</f>
        <v/>
      </c>
      <c r="E1406" s="2">
        <f>Raw_Transactions!E1406</f>
        <v/>
      </c>
      <c r="F1406" s="2">
        <f>Raw_Transactions!F1406</f>
        <v/>
      </c>
      <c r="G1406" s="2">
        <f>Raw_Transactions!G1406</f>
        <v/>
      </c>
      <c r="H1406" s="2">
        <f>XLOOKUP(B1406,Raw_Risk_Profiles!$A:$A,Raw_Risk_Profiles!$B:$B,"Not Found")</f>
        <v/>
      </c>
      <c r="I1406" s="2">
        <f>XLOOKUP(B1406,Raw_Risk_Profiles!$A:$A,Raw_Risk_Profiles!$C:$C,"Missing")</f>
        <v/>
      </c>
      <c r="J1406" s="2">
        <f>XLOOKUP(B1406,Raw_Risk_Profiles!$A:$A,Raw_Risk_Profiles!$D:$D,"")</f>
        <v/>
      </c>
      <c r="K1406" s="2">
        <f>IFERROR(INDEX(Raw_Risk_Profiles!$E:$E,MATCH(B1406,Raw_Risk_Profiles!$A:$A,0)),"Unknown")</f>
        <v/>
      </c>
      <c r="L1406" s="2">
        <f>IFERROR(XLOOKUP(A1406,Raw_Alerts!$B:$B,Raw_Alerts!$A:$A),"No Alert")</f>
        <v/>
      </c>
      <c r="M1406" s="2">
        <f>IFERROR(XLOOKUP(A1406,Raw_Alerts!$B:$B,Raw_Alerts!$C:$C),"")</f>
        <v/>
      </c>
      <c r="N1406" s="2">
        <f>IFERROR(XLOOKUP(A1406,Raw_Alerts!$B:$B,Raw_Alerts!$D:$D),"")</f>
        <v/>
      </c>
      <c r="O1406" s="2">
        <f>IFERROR(XLOOKUP(A1406,Raw_Alerts!$B:$B,Raw_Alerts!$F:$F),"")</f>
        <v/>
      </c>
      <c r="P1406" s="2">
        <f>IF(H1406="Not Found","CRITICAL: No Risk Profile",IF(I1406="Missing","WARN: Missing KYC",IF(I1406="Expired","WARN: KYC Expired",IF(I1406="Pending","INFO: KYC Pending","OK"))))</f>
        <v/>
      </c>
    </row>
    <row r="1407">
      <c r="A1407" s="4">
        <f>Raw_Transactions!A1407</f>
        <v/>
      </c>
      <c r="B1407" s="4">
        <f>Raw_Transactions!B1407</f>
        <v/>
      </c>
      <c r="C1407" s="4">
        <f>Raw_Transactions!C1407</f>
        <v/>
      </c>
      <c r="D1407" s="5">
        <f>Raw_Transactions!D1407</f>
        <v/>
      </c>
      <c r="E1407" s="4">
        <f>Raw_Transactions!E1407</f>
        <v/>
      </c>
      <c r="F1407" s="4">
        <f>Raw_Transactions!F1407</f>
        <v/>
      </c>
      <c r="G1407" s="4">
        <f>Raw_Transactions!G1407</f>
        <v/>
      </c>
      <c r="H1407" s="4">
        <f>XLOOKUP(B1407,Raw_Risk_Profiles!$A:$A,Raw_Risk_Profiles!$B:$B,"Not Found")</f>
        <v/>
      </c>
      <c r="I1407" s="4">
        <f>XLOOKUP(B1407,Raw_Risk_Profiles!$A:$A,Raw_Risk_Profiles!$C:$C,"Missing")</f>
        <v/>
      </c>
      <c r="J1407" s="4">
        <f>XLOOKUP(B1407,Raw_Risk_Profiles!$A:$A,Raw_Risk_Profiles!$D:$D,"")</f>
        <v/>
      </c>
      <c r="K1407" s="4">
        <f>IFERROR(INDEX(Raw_Risk_Profiles!$E:$E,MATCH(B1407,Raw_Risk_Profiles!$A:$A,0)),"Unknown")</f>
        <v/>
      </c>
      <c r="L1407" s="4">
        <f>IFERROR(XLOOKUP(A1407,Raw_Alerts!$B:$B,Raw_Alerts!$A:$A),"No Alert")</f>
        <v/>
      </c>
      <c r="M1407" s="4">
        <f>IFERROR(XLOOKUP(A1407,Raw_Alerts!$B:$B,Raw_Alerts!$C:$C),"")</f>
        <v/>
      </c>
      <c r="N1407" s="4">
        <f>IFERROR(XLOOKUP(A1407,Raw_Alerts!$B:$B,Raw_Alerts!$D:$D),"")</f>
        <v/>
      </c>
      <c r="O1407" s="4">
        <f>IFERROR(XLOOKUP(A1407,Raw_Alerts!$B:$B,Raw_Alerts!$F:$F),"")</f>
        <v/>
      </c>
      <c r="P1407" s="4">
        <f>IF(H1407="Not Found","CRITICAL: No Risk Profile",IF(I1407="Missing","WARN: Missing KYC",IF(I1407="Expired","WARN: KYC Expired",IF(I1407="Pending","INFO: KYC Pending","OK"))))</f>
        <v/>
      </c>
    </row>
    <row r="1408">
      <c r="A1408" s="2">
        <f>Raw_Transactions!A1408</f>
        <v/>
      </c>
      <c r="B1408" s="2">
        <f>Raw_Transactions!B1408</f>
        <v/>
      </c>
      <c r="C1408" s="2">
        <f>Raw_Transactions!C1408</f>
        <v/>
      </c>
      <c r="D1408" s="3">
        <f>Raw_Transactions!D1408</f>
        <v/>
      </c>
      <c r="E1408" s="2">
        <f>Raw_Transactions!E1408</f>
        <v/>
      </c>
      <c r="F1408" s="2">
        <f>Raw_Transactions!F1408</f>
        <v/>
      </c>
      <c r="G1408" s="2">
        <f>Raw_Transactions!G1408</f>
        <v/>
      </c>
      <c r="H1408" s="2">
        <f>XLOOKUP(B1408,Raw_Risk_Profiles!$A:$A,Raw_Risk_Profiles!$B:$B,"Not Found")</f>
        <v/>
      </c>
      <c r="I1408" s="2">
        <f>XLOOKUP(B1408,Raw_Risk_Profiles!$A:$A,Raw_Risk_Profiles!$C:$C,"Missing")</f>
        <v/>
      </c>
      <c r="J1408" s="2">
        <f>XLOOKUP(B1408,Raw_Risk_Profiles!$A:$A,Raw_Risk_Profiles!$D:$D,"")</f>
        <v/>
      </c>
      <c r="K1408" s="2">
        <f>IFERROR(INDEX(Raw_Risk_Profiles!$E:$E,MATCH(B1408,Raw_Risk_Profiles!$A:$A,0)),"Unknown")</f>
        <v/>
      </c>
      <c r="L1408" s="2">
        <f>IFERROR(XLOOKUP(A1408,Raw_Alerts!$B:$B,Raw_Alerts!$A:$A),"No Alert")</f>
        <v/>
      </c>
      <c r="M1408" s="2">
        <f>IFERROR(XLOOKUP(A1408,Raw_Alerts!$B:$B,Raw_Alerts!$C:$C),"")</f>
        <v/>
      </c>
      <c r="N1408" s="2">
        <f>IFERROR(XLOOKUP(A1408,Raw_Alerts!$B:$B,Raw_Alerts!$D:$D),"")</f>
        <v/>
      </c>
      <c r="O1408" s="2">
        <f>IFERROR(XLOOKUP(A1408,Raw_Alerts!$B:$B,Raw_Alerts!$F:$F),"")</f>
        <v/>
      </c>
      <c r="P1408" s="2">
        <f>IF(H1408="Not Found","CRITICAL: No Risk Profile",IF(I1408="Missing","WARN: Missing KYC",IF(I1408="Expired","WARN: KYC Expired",IF(I1408="Pending","INFO: KYC Pending","OK"))))</f>
        <v/>
      </c>
    </row>
    <row r="1409">
      <c r="A1409" s="4">
        <f>Raw_Transactions!A1409</f>
        <v/>
      </c>
      <c r="B1409" s="4">
        <f>Raw_Transactions!B1409</f>
        <v/>
      </c>
      <c r="C1409" s="4">
        <f>Raw_Transactions!C1409</f>
        <v/>
      </c>
      <c r="D1409" s="5">
        <f>Raw_Transactions!D1409</f>
        <v/>
      </c>
      <c r="E1409" s="4">
        <f>Raw_Transactions!E1409</f>
        <v/>
      </c>
      <c r="F1409" s="4">
        <f>Raw_Transactions!F1409</f>
        <v/>
      </c>
      <c r="G1409" s="4">
        <f>Raw_Transactions!G1409</f>
        <v/>
      </c>
      <c r="H1409" s="4">
        <f>XLOOKUP(B1409,Raw_Risk_Profiles!$A:$A,Raw_Risk_Profiles!$B:$B,"Not Found")</f>
        <v/>
      </c>
      <c r="I1409" s="4">
        <f>XLOOKUP(B1409,Raw_Risk_Profiles!$A:$A,Raw_Risk_Profiles!$C:$C,"Missing")</f>
        <v/>
      </c>
      <c r="J1409" s="4">
        <f>XLOOKUP(B1409,Raw_Risk_Profiles!$A:$A,Raw_Risk_Profiles!$D:$D,"")</f>
        <v/>
      </c>
      <c r="K1409" s="4">
        <f>IFERROR(INDEX(Raw_Risk_Profiles!$E:$E,MATCH(B1409,Raw_Risk_Profiles!$A:$A,0)),"Unknown")</f>
        <v/>
      </c>
      <c r="L1409" s="4">
        <f>IFERROR(XLOOKUP(A1409,Raw_Alerts!$B:$B,Raw_Alerts!$A:$A),"No Alert")</f>
        <v/>
      </c>
      <c r="M1409" s="4">
        <f>IFERROR(XLOOKUP(A1409,Raw_Alerts!$B:$B,Raw_Alerts!$C:$C),"")</f>
        <v/>
      </c>
      <c r="N1409" s="4">
        <f>IFERROR(XLOOKUP(A1409,Raw_Alerts!$B:$B,Raw_Alerts!$D:$D),"")</f>
        <v/>
      </c>
      <c r="O1409" s="4">
        <f>IFERROR(XLOOKUP(A1409,Raw_Alerts!$B:$B,Raw_Alerts!$F:$F),"")</f>
        <v/>
      </c>
      <c r="P1409" s="4">
        <f>IF(H1409="Not Found","CRITICAL: No Risk Profile",IF(I1409="Missing","WARN: Missing KYC",IF(I1409="Expired","WARN: KYC Expired",IF(I1409="Pending","INFO: KYC Pending","OK"))))</f>
        <v/>
      </c>
    </row>
    <row r="1410">
      <c r="A1410" s="2">
        <f>Raw_Transactions!A1410</f>
        <v/>
      </c>
      <c r="B1410" s="2">
        <f>Raw_Transactions!B1410</f>
        <v/>
      </c>
      <c r="C1410" s="2">
        <f>Raw_Transactions!C1410</f>
        <v/>
      </c>
      <c r="D1410" s="3">
        <f>Raw_Transactions!D1410</f>
        <v/>
      </c>
      <c r="E1410" s="2">
        <f>Raw_Transactions!E1410</f>
        <v/>
      </c>
      <c r="F1410" s="2">
        <f>Raw_Transactions!F1410</f>
        <v/>
      </c>
      <c r="G1410" s="2">
        <f>Raw_Transactions!G1410</f>
        <v/>
      </c>
      <c r="H1410" s="2">
        <f>XLOOKUP(B1410,Raw_Risk_Profiles!$A:$A,Raw_Risk_Profiles!$B:$B,"Not Found")</f>
        <v/>
      </c>
      <c r="I1410" s="2">
        <f>XLOOKUP(B1410,Raw_Risk_Profiles!$A:$A,Raw_Risk_Profiles!$C:$C,"Missing")</f>
        <v/>
      </c>
      <c r="J1410" s="2">
        <f>XLOOKUP(B1410,Raw_Risk_Profiles!$A:$A,Raw_Risk_Profiles!$D:$D,"")</f>
        <v/>
      </c>
      <c r="K1410" s="2">
        <f>IFERROR(INDEX(Raw_Risk_Profiles!$E:$E,MATCH(B1410,Raw_Risk_Profiles!$A:$A,0)),"Unknown")</f>
        <v/>
      </c>
      <c r="L1410" s="2">
        <f>IFERROR(XLOOKUP(A1410,Raw_Alerts!$B:$B,Raw_Alerts!$A:$A),"No Alert")</f>
        <v/>
      </c>
      <c r="M1410" s="2">
        <f>IFERROR(XLOOKUP(A1410,Raw_Alerts!$B:$B,Raw_Alerts!$C:$C),"")</f>
        <v/>
      </c>
      <c r="N1410" s="2">
        <f>IFERROR(XLOOKUP(A1410,Raw_Alerts!$B:$B,Raw_Alerts!$D:$D),"")</f>
        <v/>
      </c>
      <c r="O1410" s="2">
        <f>IFERROR(XLOOKUP(A1410,Raw_Alerts!$B:$B,Raw_Alerts!$F:$F),"")</f>
        <v/>
      </c>
      <c r="P1410" s="2">
        <f>IF(H1410="Not Found","CRITICAL: No Risk Profile",IF(I1410="Missing","WARN: Missing KYC",IF(I1410="Expired","WARN: KYC Expired",IF(I1410="Pending","INFO: KYC Pending","OK"))))</f>
        <v/>
      </c>
    </row>
    <row r="1411">
      <c r="A1411" s="4">
        <f>Raw_Transactions!A1411</f>
        <v/>
      </c>
      <c r="B1411" s="4">
        <f>Raw_Transactions!B1411</f>
        <v/>
      </c>
      <c r="C1411" s="4">
        <f>Raw_Transactions!C1411</f>
        <v/>
      </c>
      <c r="D1411" s="5">
        <f>Raw_Transactions!D1411</f>
        <v/>
      </c>
      <c r="E1411" s="4">
        <f>Raw_Transactions!E1411</f>
        <v/>
      </c>
      <c r="F1411" s="4">
        <f>Raw_Transactions!F1411</f>
        <v/>
      </c>
      <c r="G1411" s="4">
        <f>Raw_Transactions!G1411</f>
        <v/>
      </c>
      <c r="H1411" s="4">
        <f>XLOOKUP(B1411,Raw_Risk_Profiles!$A:$A,Raw_Risk_Profiles!$B:$B,"Not Found")</f>
        <v/>
      </c>
      <c r="I1411" s="4">
        <f>XLOOKUP(B1411,Raw_Risk_Profiles!$A:$A,Raw_Risk_Profiles!$C:$C,"Missing")</f>
        <v/>
      </c>
      <c r="J1411" s="4">
        <f>XLOOKUP(B1411,Raw_Risk_Profiles!$A:$A,Raw_Risk_Profiles!$D:$D,"")</f>
        <v/>
      </c>
      <c r="K1411" s="4">
        <f>IFERROR(INDEX(Raw_Risk_Profiles!$E:$E,MATCH(B1411,Raw_Risk_Profiles!$A:$A,0)),"Unknown")</f>
        <v/>
      </c>
      <c r="L1411" s="4">
        <f>IFERROR(XLOOKUP(A1411,Raw_Alerts!$B:$B,Raw_Alerts!$A:$A),"No Alert")</f>
        <v/>
      </c>
      <c r="M1411" s="4">
        <f>IFERROR(XLOOKUP(A1411,Raw_Alerts!$B:$B,Raw_Alerts!$C:$C),"")</f>
        <v/>
      </c>
      <c r="N1411" s="4">
        <f>IFERROR(XLOOKUP(A1411,Raw_Alerts!$B:$B,Raw_Alerts!$D:$D),"")</f>
        <v/>
      </c>
      <c r="O1411" s="4">
        <f>IFERROR(XLOOKUP(A1411,Raw_Alerts!$B:$B,Raw_Alerts!$F:$F),"")</f>
        <v/>
      </c>
      <c r="P1411" s="4">
        <f>IF(H1411="Not Found","CRITICAL: No Risk Profile",IF(I1411="Missing","WARN: Missing KYC",IF(I1411="Expired","WARN: KYC Expired",IF(I1411="Pending","INFO: KYC Pending","OK"))))</f>
        <v/>
      </c>
    </row>
    <row r="1412">
      <c r="A1412" s="2">
        <f>Raw_Transactions!A1412</f>
        <v/>
      </c>
      <c r="B1412" s="2">
        <f>Raw_Transactions!B1412</f>
        <v/>
      </c>
      <c r="C1412" s="2">
        <f>Raw_Transactions!C1412</f>
        <v/>
      </c>
      <c r="D1412" s="3">
        <f>Raw_Transactions!D1412</f>
        <v/>
      </c>
      <c r="E1412" s="2">
        <f>Raw_Transactions!E1412</f>
        <v/>
      </c>
      <c r="F1412" s="2">
        <f>Raw_Transactions!F1412</f>
        <v/>
      </c>
      <c r="G1412" s="2">
        <f>Raw_Transactions!G1412</f>
        <v/>
      </c>
      <c r="H1412" s="2">
        <f>XLOOKUP(B1412,Raw_Risk_Profiles!$A:$A,Raw_Risk_Profiles!$B:$B,"Not Found")</f>
        <v/>
      </c>
      <c r="I1412" s="2">
        <f>XLOOKUP(B1412,Raw_Risk_Profiles!$A:$A,Raw_Risk_Profiles!$C:$C,"Missing")</f>
        <v/>
      </c>
      <c r="J1412" s="2">
        <f>XLOOKUP(B1412,Raw_Risk_Profiles!$A:$A,Raw_Risk_Profiles!$D:$D,"")</f>
        <v/>
      </c>
      <c r="K1412" s="2">
        <f>IFERROR(INDEX(Raw_Risk_Profiles!$E:$E,MATCH(B1412,Raw_Risk_Profiles!$A:$A,0)),"Unknown")</f>
        <v/>
      </c>
      <c r="L1412" s="2">
        <f>IFERROR(XLOOKUP(A1412,Raw_Alerts!$B:$B,Raw_Alerts!$A:$A),"No Alert")</f>
        <v/>
      </c>
      <c r="M1412" s="2">
        <f>IFERROR(XLOOKUP(A1412,Raw_Alerts!$B:$B,Raw_Alerts!$C:$C),"")</f>
        <v/>
      </c>
      <c r="N1412" s="2">
        <f>IFERROR(XLOOKUP(A1412,Raw_Alerts!$B:$B,Raw_Alerts!$D:$D),"")</f>
        <v/>
      </c>
      <c r="O1412" s="2">
        <f>IFERROR(XLOOKUP(A1412,Raw_Alerts!$B:$B,Raw_Alerts!$F:$F),"")</f>
        <v/>
      </c>
      <c r="P1412" s="2">
        <f>IF(H1412="Not Found","CRITICAL: No Risk Profile",IF(I1412="Missing","WARN: Missing KYC",IF(I1412="Expired","WARN: KYC Expired",IF(I1412="Pending","INFO: KYC Pending","OK"))))</f>
        <v/>
      </c>
    </row>
    <row r="1413">
      <c r="A1413" s="4">
        <f>Raw_Transactions!A1413</f>
        <v/>
      </c>
      <c r="B1413" s="4">
        <f>Raw_Transactions!B1413</f>
        <v/>
      </c>
      <c r="C1413" s="4">
        <f>Raw_Transactions!C1413</f>
        <v/>
      </c>
      <c r="D1413" s="5">
        <f>Raw_Transactions!D1413</f>
        <v/>
      </c>
      <c r="E1413" s="4">
        <f>Raw_Transactions!E1413</f>
        <v/>
      </c>
      <c r="F1413" s="4">
        <f>Raw_Transactions!F1413</f>
        <v/>
      </c>
      <c r="G1413" s="4">
        <f>Raw_Transactions!G1413</f>
        <v/>
      </c>
      <c r="H1413" s="4">
        <f>XLOOKUP(B1413,Raw_Risk_Profiles!$A:$A,Raw_Risk_Profiles!$B:$B,"Not Found")</f>
        <v/>
      </c>
      <c r="I1413" s="4">
        <f>XLOOKUP(B1413,Raw_Risk_Profiles!$A:$A,Raw_Risk_Profiles!$C:$C,"Missing")</f>
        <v/>
      </c>
      <c r="J1413" s="4">
        <f>XLOOKUP(B1413,Raw_Risk_Profiles!$A:$A,Raw_Risk_Profiles!$D:$D,"")</f>
        <v/>
      </c>
      <c r="K1413" s="4">
        <f>IFERROR(INDEX(Raw_Risk_Profiles!$E:$E,MATCH(B1413,Raw_Risk_Profiles!$A:$A,0)),"Unknown")</f>
        <v/>
      </c>
      <c r="L1413" s="4">
        <f>IFERROR(XLOOKUP(A1413,Raw_Alerts!$B:$B,Raw_Alerts!$A:$A),"No Alert")</f>
        <v/>
      </c>
      <c r="M1413" s="4">
        <f>IFERROR(XLOOKUP(A1413,Raw_Alerts!$B:$B,Raw_Alerts!$C:$C),"")</f>
        <v/>
      </c>
      <c r="N1413" s="4">
        <f>IFERROR(XLOOKUP(A1413,Raw_Alerts!$B:$B,Raw_Alerts!$D:$D),"")</f>
        <v/>
      </c>
      <c r="O1413" s="4">
        <f>IFERROR(XLOOKUP(A1413,Raw_Alerts!$B:$B,Raw_Alerts!$F:$F),"")</f>
        <v/>
      </c>
      <c r="P1413" s="4">
        <f>IF(H1413="Not Found","CRITICAL: No Risk Profile",IF(I1413="Missing","WARN: Missing KYC",IF(I1413="Expired","WARN: KYC Expired",IF(I1413="Pending","INFO: KYC Pending","OK"))))</f>
        <v/>
      </c>
    </row>
    <row r="1414">
      <c r="A1414" s="2">
        <f>Raw_Transactions!A1414</f>
        <v/>
      </c>
      <c r="B1414" s="2">
        <f>Raw_Transactions!B1414</f>
        <v/>
      </c>
      <c r="C1414" s="2">
        <f>Raw_Transactions!C1414</f>
        <v/>
      </c>
      <c r="D1414" s="3">
        <f>Raw_Transactions!D1414</f>
        <v/>
      </c>
      <c r="E1414" s="2">
        <f>Raw_Transactions!E1414</f>
        <v/>
      </c>
      <c r="F1414" s="2">
        <f>Raw_Transactions!F1414</f>
        <v/>
      </c>
      <c r="G1414" s="2">
        <f>Raw_Transactions!G1414</f>
        <v/>
      </c>
      <c r="H1414" s="2">
        <f>XLOOKUP(B1414,Raw_Risk_Profiles!$A:$A,Raw_Risk_Profiles!$B:$B,"Not Found")</f>
        <v/>
      </c>
      <c r="I1414" s="2">
        <f>XLOOKUP(B1414,Raw_Risk_Profiles!$A:$A,Raw_Risk_Profiles!$C:$C,"Missing")</f>
        <v/>
      </c>
      <c r="J1414" s="2">
        <f>XLOOKUP(B1414,Raw_Risk_Profiles!$A:$A,Raw_Risk_Profiles!$D:$D,"")</f>
        <v/>
      </c>
      <c r="K1414" s="2">
        <f>IFERROR(INDEX(Raw_Risk_Profiles!$E:$E,MATCH(B1414,Raw_Risk_Profiles!$A:$A,0)),"Unknown")</f>
        <v/>
      </c>
      <c r="L1414" s="2">
        <f>IFERROR(XLOOKUP(A1414,Raw_Alerts!$B:$B,Raw_Alerts!$A:$A),"No Alert")</f>
        <v/>
      </c>
      <c r="M1414" s="2">
        <f>IFERROR(XLOOKUP(A1414,Raw_Alerts!$B:$B,Raw_Alerts!$C:$C),"")</f>
        <v/>
      </c>
      <c r="N1414" s="2">
        <f>IFERROR(XLOOKUP(A1414,Raw_Alerts!$B:$B,Raw_Alerts!$D:$D),"")</f>
        <v/>
      </c>
      <c r="O1414" s="2">
        <f>IFERROR(XLOOKUP(A1414,Raw_Alerts!$B:$B,Raw_Alerts!$F:$F),"")</f>
        <v/>
      </c>
      <c r="P1414" s="2">
        <f>IF(H1414="Not Found","CRITICAL: No Risk Profile",IF(I1414="Missing","WARN: Missing KYC",IF(I1414="Expired","WARN: KYC Expired",IF(I1414="Pending","INFO: KYC Pending","OK"))))</f>
        <v/>
      </c>
    </row>
    <row r="1415">
      <c r="A1415" s="4">
        <f>Raw_Transactions!A1415</f>
        <v/>
      </c>
      <c r="B1415" s="4">
        <f>Raw_Transactions!B1415</f>
        <v/>
      </c>
      <c r="C1415" s="4">
        <f>Raw_Transactions!C1415</f>
        <v/>
      </c>
      <c r="D1415" s="5">
        <f>Raw_Transactions!D1415</f>
        <v/>
      </c>
      <c r="E1415" s="4">
        <f>Raw_Transactions!E1415</f>
        <v/>
      </c>
      <c r="F1415" s="4">
        <f>Raw_Transactions!F1415</f>
        <v/>
      </c>
      <c r="G1415" s="4">
        <f>Raw_Transactions!G1415</f>
        <v/>
      </c>
      <c r="H1415" s="4">
        <f>XLOOKUP(B1415,Raw_Risk_Profiles!$A:$A,Raw_Risk_Profiles!$B:$B,"Not Found")</f>
        <v/>
      </c>
      <c r="I1415" s="4">
        <f>XLOOKUP(B1415,Raw_Risk_Profiles!$A:$A,Raw_Risk_Profiles!$C:$C,"Missing")</f>
        <v/>
      </c>
      <c r="J1415" s="4">
        <f>XLOOKUP(B1415,Raw_Risk_Profiles!$A:$A,Raw_Risk_Profiles!$D:$D,"")</f>
        <v/>
      </c>
      <c r="K1415" s="4">
        <f>IFERROR(INDEX(Raw_Risk_Profiles!$E:$E,MATCH(B1415,Raw_Risk_Profiles!$A:$A,0)),"Unknown")</f>
        <v/>
      </c>
      <c r="L1415" s="4">
        <f>IFERROR(XLOOKUP(A1415,Raw_Alerts!$B:$B,Raw_Alerts!$A:$A),"No Alert")</f>
        <v/>
      </c>
      <c r="M1415" s="4">
        <f>IFERROR(XLOOKUP(A1415,Raw_Alerts!$B:$B,Raw_Alerts!$C:$C),"")</f>
        <v/>
      </c>
      <c r="N1415" s="4">
        <f>IFERROR(XLOOKUP(A1415,Raw_Alerts!$B:$B,Raw_Alerts!$D:$D),"")</f>
        <v/>
      </c>
      <c r="O1415" s="4">
        <f>IFERROR(XLOOKUP(A1415,Raw_Alerts!$B:$B,Raw_Alerts!$F:$F),"")</f>
        <v/>
      </c>
      <c r="P1415" s="4">
        <f>IF(H1415="Not Found","CRITICAL: No Risk Profile",IF(I1415="Missing","WARN: Missing KYC",IF(I1415="Expired","WARN: KYC Expired",IF(I1415="Pending","INFO: KYC Pending","OK"))))</f>
        <v/>
      </c>
    </row>
    <row r="1416">
      <c r="A1416" s="2">
        <f>Raw_Transactions!A1416</f>
        <v/>
      </c>
      <c r="B1416" s="2">
        <f>Raw_Transactions!B1416</f>
        <v/>
      </c>
      <c r="C1416" s="2">
        <f>Raw_Transactions!C1416</f>
        <v/>
      </c>
      <c r="D1416" s="3">
        <f>Raw_Transactions!D1416</f>
        <v/>
      </c>
      <c r="E1416" s="2">
        <f>Raw_Transactions!E1416</f>
        <v/>
      </c>
      <c r="F1416" s="2">
        <f>Raw_Transactions!F1416</f>
        <v/>
      </c>
      <c r="G1416" s="2">
        <f>Raw_Transactions!G1416</f>
        <v/>
      </c>
      <c r="H1416" s="2">
        <f>XLOOKUP(B1416,Raw_Risk_Profiles!$A:$A,Raw_Risk_Profiles!$B:$B,"Not Found")</f>
        <v/>
      </c>
      <c r="I1416" s="2">
        <f>XLOOKUP(B1416,Raw_Risk_Profiles!$A:$A,Raw_Risk_Profiles!$C:$C,"Missing")</f>
        <v/>
      </c>
      <c r="J1416" s="2">
        <f>XLOOKUP(B1416,Raw_Risk_Profiles!$A:$A,Raw_Risk_Profiles!$D:$D,"")</f>
        <v/>
      </c>
      <c r="K1416" s="2">
        <f>IFERROR(INDEX(Raw_Risk_Profiles!$E:$E,MATCH(B1416,Raw_Risk_Profiles!$A:$A,0)),"Unknown")</f>
        <v/>
      </c>
      <c r="L1416" s="2">
        <f>IFERROR(XLOOKUP(A1416,Raw_Alerts!$B:$B,Raw_Alerts!$A:$A),"No Alert")</f>
        <v/>
      </c>
      <c r="M1416" s="2">
        <f>IFERROR(XLOOKUP(A1416,Raw_Alerts!$B:$B,Raw_Alerts!$C:$C),"")</f>
        <v/>
      </c>
      <c r="N1416" s="2">
        <f>IFERROR(XLOOKUP(A1416,Raw_Alerts!$B:$B,Raw_Alerts!$D:$D),"")</f>
        <v/>
      </c>
      <c r="O1416" s="2">
        <f>IFERROR(XLOOKUP(A1416,Raw_Alerts!$B:$B,Raw_Alerts!$F:$F),"")</f>
        <v/>
      </c>
      <c r="P1416" s="2">
        <f>IF(H1416="Not Found","CRITICAL: No Risk Profile",IF(I1416="Missing","WARN: Missing KYC",IF(I1416="Expired","WARN: KYC Expired",IF(I1416="Pending","INFO: KYC Pending","OK"))))</f>
        <v/>
      </c>
    </row>
    <row r="1417">
      <c r="A1417" s="4">
        <f>Raw_Transactions!A1417</f>
        <v/>
      </c>
      <c r="B1417" s="4">
        <f>Raw_Transactions!B1417</f>
        <v/>
      </c>
      <c r="C1417" s="4">
        <f>Raw_Transactions!C1417</f>
        <v/>
      </c>
      <c r="D1417" s="5">
        <f>Raw_Transactions!D1417</f>
        <v/>
      </c>
      <c r="E1417" s="4">
        <f>Raw_Transactions!E1417</f>
        <v/>
      </c>
      <c r="F1417" s="4">
        <f>Raw_Transactions!F1417</f>
        <v/>
      </c>
      <c r="G1417" s="4">
        <f>Raw_Transactions!G1417</f>
        <v/>
      </c>
      <c r="H1417" s="4">
        <f>XLOOKUP(B1417,Raw_Risk_Profiles!$A:$A,Raw_Risk_Profiles!$B:$B,"Not Found")</f>
        <v/>
      </c>
      <c r="I1417" s="4">
        <f>XLOOKUP(B1417,Raw_Risk_Profiles!$A:$A,Raw_Risk_Profiles!$C:$C,"Missing")</f>
        <v/>
      </c>
      <c r="J1417" s="4">
        <f>XLOOKUP(B1417,Raw_Risk_Profiles!$A:$A,Raw_Risk_Profiles!$D:$D,"")</f>
        <v/>
      </c>
      <c r="K1417" s="4">
        <f>IFERROR(INDEX(Raw_Risk_Profiles!$E:$E,MATCH(B1417,Raw_Risk_Profiles!$A:$A,0)),"Unknown")</f>
        <v/>
      </c>
      <c r="L1417" s="4">
        <f>IFERROR(XLOOKUP(A1417,Raw_Alerts!$B:$B,Raw_Alerts!$A:$A),"No Alert")</f>
        <v/>
      </c>
      <c r="M1417" s="4">
        <f>IFERROR(XLOOKUP(A1417,Raw_Alerts!$B:$B,Raw_Alerts!$C:$C),"")</f>
        <v/>
      </c>
      <c r="N1417" s="4">
        <f>IFERROR(XLOOKUP(A1417,Raw_Alerts!$B:$B,Raw_Alerts!$D:$D),"")</f>
        <v/>
      </c>
      <c r="O1417" s="4">
        <f>IFERROR(XLOOKUP(A1417,Raw_Alerts!$B:$B,Raw_Alerts!$F:$F),"")</f>
        <v/>
      </c>
      <c r="P1417" s="4">
        <f>IF(H1417="Not Found","CRITICAL: No Risk Profile",IF(I1417="Missing","WARN: Missing KYC",IF(I1417="Expired","WARN: KYC Expired",IF(I1417="Pending","INFO: KYC Pending","OK"))))</f>
        <v/>
      </c>
    </row>
    <row r="1418">
      <c r="A1418" s="2">
        <f>Raw_Transactions!A1418</f>
        <v/>
      </c>
      <c r="B1418" s="2">
        <f>Raw_Transactions!B1418</f>
        <v/>
      </c>
      <c r="C1418" s="2">
        <f>Raw_Transactions!C1418</f>
        <v/>
      </c>
      <c r="D1418" s="3">
        <f>Raw_Transactions!D1418</f>
        <v/>
      </c>
      <c r="E1418" s="2">
        <f>Raw_Transactions!E1418</f>
        <v/>
      </c>
      <c r="F1418" s="2">
        <f>Raw_Transactions!F1418</f>
        <v/>
      </c>
      <c r="G1418" s="2">
        <f>Raw_Transactions!G1418</f>
        <v/>
      </c>
      <c r="H1418" s="2">
        <f>XLOOKUP(B1418,Raw_Risk_Profiles!$A:$A,Raw_Risk_Profiles!$B:$B,"Not Found")</f>
        <v/>
      </c>
      <c r="I1418" s="2">
        <f>XLOOKUP(B1418,Raw_Risk_Profiles!$A:$A,Raw_Risk_Profiles!$C:$C,"Missing")</f>
        <v/>
      </c>
      <c r="J1418" s="2">
        <f>XLOOKUP(B1418,Raw_Risk_Profiles!$A:$A,Raw_Risk_Profiles!$D:$D,"")</f>
        <v/>
      </c>
      <c r="K1418" s="2">
        <f>IFERROR(INDEX(Raw_Risk_Profiles!$E:$E,MATCH(B1418,Raw_Risk_Profiles!$A:$A,0)),"Unknown")</f>
        <v/>
      </c>
      <c r="L1418" s="2">
        <f>IFERROR(XLOOKUP(A1418,Raw_Alerts!$B:$B,Raw_Alerts!$A:$A),"No Alert")</f>
        <v/>
      </c>
      <c r="M1418" s="2">
        <f>IFERROR(XLOOKUP(A1418,Raw_Alerts!$B:$B,Raw_Alerts!$C:$C),"")</f>
        <v/>
      </c>
      <c r="N1418" s="2">
        <f>IFERROR(XLOOKUP(A1418,Raw_Alerts!$B:$B,Raw_Alerts!$D:$D),"")</f>
        <v/>
      </c>
      <c r="O1418" s="2">
        <f>IFERROR(XLOOKUP(A1418,Raw_Alerts!$B:$B,Raw_Alerts!$F:$F),"")</f>
        <v/>
      </c>
      <c r="P1418" s="2">
        <f>IF(H1418="Not Found","CRITICAL: No Risk Profile",IF(I1418="Missing","WARN: Missing KYC",IF(I1418="Expired","WARN: KYC Expired",IF(I1418="Pending","INFO: KYC Pending","OK"))))</f>
        <v/>
      </c>
    </row>
    <row r="1419">
      <c r="A1419" s="4">
        <f>Raw_Transactions!A1419</f>
        <v/>
      </c>
      <c r="B1419" s="4">
        <f>Raw_Transactions!B1419</f>
        <v/>
      </c>
      <c r="C1419" s="4">
        <f>Raw_Transactions!C1419</f>
        <v/>
      </c>
      <c r="D1419" s="5">
        <f>Raw_Transactions!D1419</f>
        <v/>
      </c>
      <c r="E1419" s="4">
        <f>Raw_Transactions!E1419</f>
        <v/>
      </c>
      <c r="F1419" s="4">
        <f>Raw_Transactions!F1419</f>
        <v/>
      </c>
      <c r="G1419" s="4">
        <f>Raw_Transactions!G1419</f>
        <v/>
      </c>
      <c r="H1419" s="4">
        <f>XLOOKUP(B1419,Raw_Risk_Profiles!$A:$A,Raw_Risk_Profiles!$B:$B,"Not Found")</f>
        <v/>
      </c>
      <c r="I1419" s="4">
        <f>XLOOKUP(B1419,Raw_Risk_Profiles!$A:$A,Raw_Risk_Profiles!$C:$C,"Missing")</f>
        <v/>
      </c>
      <c r="J1419" s="4">
        <f>XLOOKUP(B1419,Raw_Risk_Profiles!$A:$A,Raw_Risk_Profiles!$D:$D,"")</f>
        <v/>
      </c>
      <c r="K1419" s="4">
        <f>IFERROR(INDEX(Raw_Risk_Profiles!$E:$E,MATCH(B1419,Raw_Risk_Profiles!$A:$A,0)),"Unknown")</f>
        <v/>
      </c>
      <c r="L1419" s="4">
        <f>IFERROR(XLOOKUP(A1419,Raw_Alerts!$B:$B,Raw_Alerts!$A:$A),"No Alert")</f>
        <v/>
      </c>
      <c r="M1419" s="4">
        <f>IFERROR(XLOOKUP(A1419,Raw_Alerts!$B:$B,Raw_Alerts!$C:$C),"")</f>
        <v/>
      </c>
      <c r="N1419" s="4">
        <f>IFERROR(XLOOKUP(A1419,Raw_Alerts!$B:$B,Raw_Alerts!$D:$D),"")</f>
        <v/>
      </c>
      <c r="O1419" s="4">
        <f>IFERROR(XLOOKUP(A1419,Raw_Alerts!$B:$B,Raw_Alerts!$F:$F),"")</f>
        <v/>
      </c>
      <c r="P1419" s="4">
        <f>IF(H1419="Not Found","CRITICAL: No Risk Profile",IF(I1419="Missing","WARN: Missing KYC",IF(I1419="Expired","WARN: KYC Expired",IF(I1419="Pending","INFO: KYC Pending","OK"))))</f>
        <v/>
      </c>
    </row>
    <row r="1420">
      <c r="A1420" s="2">
        <f>Raw_Transactions!A1420</f>
        <v/>
      </c>
      <c r="B1420" s="2">
        <f>Raw_Transactions!B1420</f>
        <v/>
      </c>
      <c r="C1420" s="2">
        <f>Raw_Transactions!C1420</f>
        <v/>
      </c>
      <c r="D1420" s="3">
        <f>Raw_Transactions!D1420</f>
        <v/>
      </c>
      <c r="E1420" s="2">
        <f>Raw_Transactions!E1420</f>
        <v/>
      </c>
      <c r="F1420" s="2">
        <f>Raw_Transactions!F1420</f>
        <v/>
      </c>
      <c r="G1420" s="2">
        <f>Raw_Transactions!G1420</f>
        <v/>
      </c>
      <c r="H1420" s="2">
        <f>XLOOKUP(B1420,Raw_Risk_Profiles!$A:$A,Raw_Risk_Profiles!$B:$B,"Not Found")</f>
        <v/>
      </c>
      <c r="I1420" s="2">
        <f>XLOOKUP(B1420,Raw_Risk_Profiles!$A:$A,Raw_Risk_Profiles!$C:$C,"Missing")</f>
        <v/>
      </c>
      <c r="J1420" s="2">
        <f>XLOOKUP(B1420,Raw_Risk_Profiles!$A:$A,Raw_Risk_Profiles!$D:$D,"")</f>
        <v/>
      </c>
      <c r="K1420" s="2">
        <f>IFERROR(INDEX(Raw_Risk_Profiles!$E:$E,MATCH(B1420,Raw_Risk_Profiles!$A:$A,0)),"Unknown")</f>
        <v/>
      </c>
      <c r="L1420" s="2">
        <f>IFERROR(XLOOKUP(A1420,Raw_Alerts!$B:$B,Raw_Alerts!$A:$A),"No Alert")</f>
        <v/>
      </c>
      <c r="M1420" s="2">
        <f>IFERROR(XLOOKUP(A1420,Raw_Alerts!$B:$B,Raw_Alerts!$C:$C),"")</f>
        <v/>
      </c>
      <c r="N1420" s="2">
        <f>IFERROR(XLOOKUP(A1420,Raw_Alerts!$B:$B,Raw_Alerts!$D:$D),"")</f>
        <v/>
      </c>
      <c r="O1420" s="2">
        <f>IFERROR(XLOOKUP(A1420,Raw_Alerts!$B:$B,Raw_Alerts!$F:$F),"")</f>
        <v/>
      </c>
      <c r="P1420" s="2">
        <f>IF(H1420="Not Found","CRITICAL: No Risk Profile",IF(I1420="Missing","WARN: Missing KYC",IF(I1420="Expired","WARN: KYC Expired",IF(I1420="Pending","INFO: KYC Pending","OK"))))</f>
        <v/>
      </c>
    </row>
    <row r="1421">
      <c r="A1421" s="4">
        <f>Raw_Transactions!A1421</f>
        <v/>
      </c>
      <c r="B1421" s="4">
        <f>Raw_Transactions!B1421</f>
        <v/>
      </c>
      <c r="C1421" s="4">
        <f>Raw_Transactions!C1421</f>
        <v/>
      </c>
      <c r="D1421" s="5">
        <f>Raw_Transactions!D1421</f>
        <v/>
      </c>
      <c r="E1421" s="4">
        <f>Raw_Transactions!E1421</f>
        <v/>
      </c>
      <c r="F1421" s="4">
        <f>Raw_Transactions!F1421</f>
        <v/>
      </c>
      <c r="G1421" s="4">
        <f>Raw_Transactions!G1421</f>
        <v/>
      </c>
      <c r="H1421" s="4">
        <f>XLOOKUP(B1421,Raw_Risk_Profiles!$A:$A,Raw_Risk_Profiles!$B:$B,"Not Found")</f>
        <v/>
      </c>
      <c r="I1421" s="4">
        <f>XLOOKUP(B1421,Raw_Risk_Profiles!$A:$A,Raw_Risk_Profiles!$C:$C,"Missing")</f>
        <v/>
      </c>
      <c r="J1421" s="4">
        <f>XLOOKUP(B1421,Raw_Risk_Profiles!$A:$A,Raw_Risk_Profiles!$D:$D,"")</f>
        <v/>
      </c>
      <c r="K1421" s="4">
        <f>IFERROR(INDEX(Raw_Risk_Profiles!$E:$E,MATCH(B1421,Raw_Risk_Profiles!$A:$A,0)),"Unknown")</f>
        <v/>
      </c>
      <c r="L1421" s="4">
        <f>IFERROR(XLOOKUP(A1421,Raw_Alerts!$B:$B,Raw_Alerts!$A:$A),"No Alert")</f>
        <v/>
      </c>
      <c r="M1421" s="4">
        <f>IFERROR(XLOOKUP(A1421,Raw_Alerts!$B:$B,Raw_Alerts!$C:$C),"")</f>
        <v/>
      </c>
      <c r="N1421" s="4">
        <f>IFERROR(XLOOKUP(A1421,Raw_Alerts!$B:$B,Raw_Alerts!$D:$D),"")</f>
        <v/>
      </c>
      <c r="O1421" s="4">
        <f>IFERROR(XLOOKUP(A1421,Raw_Alerts!$B:$B,Raw_Alerts!$F:$F),"")</f>
        <v/>
      </c>
      <c r="P1421" s="4">
        <f>IF(H1421="Not Found","CRITICAL: No Risk Profile",IF(I1421="Missing","WARN: Missing KYC",IF(I1421="Expired","WARN: KYC Expired",IF(I1421="Pending","INFO: KYC Pending","OK"))))</f>
        <v/>
      </c>
    </row>
    <row r="1422">
      <c r="A1422" s="2">
        <f>Raw_Transactions!A1422</f>
        <v/>
      </c>
      <c r="B1422" s="2">
        <f>Raw_Transactions!B1422</f>
        <v/>
      </c>
      <c r="C1422" s="2">
        <f>Raw_Transactions!C1422</f>
        <v/>
      </c>
      <c r="D1422" s="3">
        <f>Raw_Transactions!D1422</f>
        <v/>
      </c>
      <c r="E1422" s="2">
        <f>Raw_Transactions!E1422</f>
        <v/>
      </c>
      <c r="F1422" s="2">
        <f>Raw_Transactions!F1422</f>
        <v/>
      </c>
      <c r="G1422" s="2">
        <f>Raw_Transactions!G1422</f>
        <v/>
      </c>
      <c r="H1422" s="2">
        <f>XLOOKUP(B1422,Raw_Risk_Profiles!$A:$A,Raw_Risk_Profiles!$B:$B,"Not Found")</f>
        <v/>
      </c>
      <c r="I1422" s="2">
        <f>XLOOKUP(B1422,Raw_Risk_Profiles!$A:$A,Raw_Risk_Profiles!$C:$C,"Missing")</f>
        <v/>
      </c>
      <c r="J1422" s="2">
        <f>XLOOKUP(B1422,Raw_Risk_Profiles!$A:$A,Raw_Risk_Profiles!$D:$D,"")</f>
        <v/>
      </c>
      <c r="K1422" s="2">
        <f>IFERROR(INDEX(Raw_Risk_Profiles!$E:$E,MATCH(B1422,Raw_Risk_Profiles!$A:$A,0)),"Unknown")</f>
        <v/>
      </c>
      <c r="L1422" s="2">
        <f>IFERROR(XLOOKUP(A1422,Raw_Alerts!$B:$B,Raw_Alerts!$A:$A),"No Alert")</f>
        <v/>
      </c>
      <c r="M1422" s="2">
        <f>IFERROR(XLOOKUP(A1422,Raw_Alerts!$B:$B,Raw_Alerts!$C:$C),"")</f>
        <v/>
      </c>
      <c r="N1422" s="2">
        <f>IFERROR(XLOOKUP(A1422,Raw_Alerts!$B:$B,Raw_Alerts!$D:$D),"")</f>
        <v/>
      </c>
      <c r="O1422" s="2">
        <f>IFERROR(XLOOKUP(A1422,Raw_Alerts!$B:$B,Raw_Alerts!$F:$F),"")</f>
        <v/>
      </c>
      <c r="P1422" s="2">
        <f>IF(H1422="Not Found","CRITICAL: No Risk Profile",IF(I1422="Missing","WARN: Missing KYC",IF(I1422="Expired","WARN: KYC Expired",IF(I1422="Pending","INFO: KYC Pending","OK"))))</f>
        <v/>
      </c>
    </row>
    <row r="1423">
      <c r="A1423" s="4">
        <f>Raw_Transactions!A1423</f>
        <v/>
      </c>
      <c r="B1423" s="4">
        <f>Raw_Transactions!B1423</f>
        <v/>
      </c>
      <c r="C1423" s="4">
        <f>Raw_Transactions!C1423</f>
        <v/>
      </c>
      <c r="D1423" s="5">
        <f>Raw_Transactions!D1423</f>
        <v/>
      </c>
      <c r="E1423" s="4">
        <f>Raw_Transactions!E1423</f>
        <v/>
      </c>
      <c r="F1423" s="4">
        <f>Raw_Transactions!F1423</f>
        <v/>
      </c>
      <c r="G1423" s="4">
        <f>Raw_Transactions!G1423</f>
        <v/>
      </c>
      <c r="H1423" s="4">
        <f>XLOOKUP(B1423,Raw_Risk_Profiles!$A:$A,Raw_Risk_Profiles!$B:$B,"Not Found")</f>
        <v/>
      </c>
      <c r="I1423" s="4">
        <f>XLOOKUP(B1423,Raw_Risk_Profiles!$A:$A,Raw_Risk_Profiles!$C:$C,"Missing")</f>
        <v/>
      </c>
      <c r="J1423" s="4">
        <f>XLOOKUP(B1423,Raw_Risk_Profiles!$A:$A,Raw_Risk_Profiles!$D:$D,"")</f>
        <v/>
      </c>
      <c r="K1423" s="4">
        <f>IFERROR(INDEX(Raw_Risk_Profiles!$E:$E,MATCH(B1423,Raw_Risk_Profiles!$A:$A,0)),"Unknown")</f>
        <v/>
      </c>
      <c r="L1423" s="4">
        <f>IFERROR(XLOOKUP(A1423,Raw_Alerts!$B:$B,Raw_Alerts!$A:$A),"No Alert")</f>
        <v/>
      </c>
      <c r="M1423" s="4">
        <f>IFERROR(XLOOKUP(A1423,Raw_Alerts!$B:$B,Raw_Alerts!$C:$C),"")</f>
        <v/>
      </c>
      <c r="N1423" s="4">
        <f>IFERROR(XLOOKUP(A1423,Raw_Alerts!$B:$B,Raw_Alerts!$D:$D),"")</f>
        <v/>
      </c>
      <c r="O1423" s="4">
        <f>IFERROR(XLOOKUP(A1423,Raw_Alerts!$B:$B,Raw_Alerts!$F:$F),"")</f>
        <v/>
      </c>
      <c r="P1423" s="4">
        <f>IF(H1423="Not Found","CRITICAL: No Risk Profile",IF(I1423="Missing","WARN: Missing KYC",IF(I1423="Expired","WARN: KYC Expired",IF(I1423="Pending","INFO: KYC Pending","OK"))))</f>
        <v/>
      </c>
    </row>
    <row r="1424">
      <c r="A1424" s="2">
        <f>Raw_Transactions!A1424</f>
        <v/>
      </c>
      <c r="B1424" s="2">
        <f>Raw_Transactions!B1424</f>
        <v/>
      </c>
      <c r="C1424" s="2">
        <f>Raw_Transactions!C1424</f>
        <v/>
      </c>
      <c r="D1424" s="3">
        <f>Raw_Transactions!D1424</f>
        <v/>
      </c>
      <c r="E1424" s="2">
        <f>Raw_Transactions!E1424</f>
        <v/>
      </c>
      <c r="F1424" s="2">
        <f>Raw_Transactions!F1424</f>
        <v/>
      </c>
      <c r="G1424" s="2">
        <f>Raw_Transactions!G1424</f>
        <v/>
      </c>
      <c r="H1424" s="2">
        <f>XLOOKUP(B1424,Raw_Risk_Profiles!$A:$A,Raw_Risk_Profiles!$B:$B,"Not Found")</f>
        <v/>
      </c>
      <c r="I1424" s="2">
        <f>XLOOKUP(B1424,Raw_Risk_Profiles!$A:$A,Raw_Risk_Profiles!$C:$C,"Missing")</f>
        <v/>
      </c>
      <c r="J1424" s="2">
        <f>XLOOKUP(B1424,Raw_Risk_Profiles!$A:$A,Raw_Risk_Profiles!$D:$D,"")</f>
        <v/>
      </c>
      <c r="K1424" s="2">
        <f>IFERROR(INDEX(Raw_Risk_Profiles!$E:$E,MATCH(B1424,Raw_Risk_Profiles!$A:$A,0)),"Unknown")</f>
        <v/>
      </c>
      <c r="L1424" s="2">
        <f>IFERROR(XLOOKUP(A1424,Raw_Alerts!$B:$B,Raw_Alerts!$A:$A),"No Alert")</f>
        <v/>
      </c>
      <c r="M1424" s="2">
        <f>IFERROR(XLOOKUP(A1424,Raw_Alerts!$B:$B,Raw_Alerts!$C:$C),"")</f>
        <v/>
      </c>
      <c r="N1424" s="2">
        <f>IFERROR(XLOOKUP(A1424,Raw_Alerts!$B:$B,Raw_Alerts!$D:$D),"")</f>
        <v/>
      </c>
      <c r="O1424" s="2">
        <f>IFERROR(XLOOKUP(A1424,Raw_Alerts!$B:$B,Raw_Alerts!$F:$F),"")</f>
        <v/>
      </c>
      <c r="P1424" s="2">
        <f>IF(H1424="Not Found","CRITICAL: No Risk Profile",IF(I1424="Missing","WARN: Missing KYC",IF(I1424="Expired","WARN: KYC Expired",IF(I1424="Pending","INFO: KYC Pending","OK"))))</f>
        <v/>
      </c>
    </row>
    <row r="1425">
      <c r="A1425" s="4">
        <f>Raw_Transactions!A1425</f>
        <v/>
      </c>
      <c r="B1425" s="4">
        <f>Raw_Transactions!B1425</f>
        <v/>
      </c>
      <c r="C1425" s="4">
        <f>Raw_Transactions!C1425</f>
        <v/>
      </c>
      <c r="D1425" s="5">
        <f>Raw_Transactions!D1425</f>
        <v/>
      </c>
      <c r="E1425" s="4">
        <f>Raw_Transactions!E1425</f>
        <v/>
      </c>
      <c r="F1425" s="4">
        <f>Raw_Transactions!F1425</f>
        <v/>
      </c>
      <c r="G1425" s="4">
        <f>Raw_Transactions!G1425</f>
        <v/>
      </c>
      <c r="H1425" s="4">
        <f>XLOOKUP(B1425,Raw_Risk_Profiles!$A:$A,Raw_Risk_Profiles!$B:$B,"Not Found")</f>
        <v/>
      </c>
      <c r="I1425" s="4">
        <f>XLOOKUP(B1425,Raw_Risk_Profiles!$A:$A,Raw_Risk_Profiles!$C:$C,"Missing")</f>
        <v/>
      </c>
      <c r="J1425" s="4">
        <f>XLOOKUP(B1425,Raw_Risk_Profiles!$A:$A,Raw_Risk_Profiles!$D:$D,"")</f>
        <v/>
      </c>
      <c r="K1425" s="4">
        <f>IFERROR(INDEX(Raw_Risk_Profiles!$E:$E,MATCH(B1425,Raw_Risk_Profiles!$A:$A,0)),"Unknown")</f>
        <v/>
      </c>
      <c r="L1425" s="4">
        <f>IFERROR(XLOOKUP(A1425,Raw_Alerts!$B:$B,Raw_Alerts!$A:$A),"No Alert")</f>
        <v/>
      </c>
      <c r="M1425" s="4">
        <f>IFERROR(XLOOKUP(A1425,Raw_Alerts!$B:$B,Raw_Alerts!$C:$C),"")</f>
        <v/>
      </c>
      <c r="N1425" s="4">
        <f>IFERROR(XLOOKUP(A1425,Raw_Alerts!$B:$B,Raw_Alerts!$D:$D),"")</f>
        <v/>
      </c>
      <c r="O1425" s="4">
        <f>IFERROR(XLOOKUP(A1425,Raw_Alerts!$B:$B,Raw_Alerts!$F:$F),"")</f>
        <v/>
      </c>
      <c r="P1425" s="4">
        <f>IF(H1425="Not Found","CRITICAL: No Risk Profile",IF(I1425="Missing","WARN: Missing KYC",IF(I1425="Expired","WARN: KYC Expired",IF(I1425="Pending","INFO: KYC Pending","OK"))))</f>
        <v/>
      </c>
    </row>
    <row r="1426">
      <c r="A1426" s="2">
        <f>Raw_Transactions!A1426</f>
        <v/>
      </c>
      <c r="B1426" s="2">
        <f>Raw_Transactions!B1426</f>
        <v/>
      </c>
      <c r="C1426" s="2">
        <f>Raw_Transactions!C1426</f>
        <v/>
      </c>
      <c r="D1426" s="3">
        <f>Raw_Transactions!D1426</f>
        <v/>
      </c>
      <c r="E1426" s="2">
        <f>Raw_Transactions!E1426</f>
        <v/>
      </c>
      <c r="F1426" s="2">
        <f>Raw_Transactions!F1426</f>
        <v/>
      </c>
      <c r="G1426" s="2">
        <f>Raw_Transactions!G1426</f>
        <v/>
      </c>
      <c r="H1426" s="2">
        <f>XLOOKUP(B1426,Raw_Risk_Profiles!$A:$A,Raw_Risk_Profiles!$B:$B,"Not Found")</f>
        <v/>
      </c>
      <c r="I1426" s="2">
        <f>XLOOKUP(B1426,Raw_Risk_Profiles!$A:$A,Raw_Risk_Profiles!$C:$C,"Missing")</f>
        <v/>
      </c>
      <c r="J1426" s="2">
        <f>XLOOKUP(B1426,Raw_Risk_Profiles!$A:$A,Raw_Risk_Profiles!$D:$D,"")</f>
        <v/>
      </c>
      <c r="K1426" s="2">
        <f>IFERROR(INDEX(Raw_Risk_Profiles!$E:$E,MATCH(B1426,Raw_Risk_Profiles!$A:$A,0)),"Unknown")</f>
        <v/>
      </c>
      <c r="L1426" s="2">
        <f>IFERROR(XLOOKUP(A1426,Raw_Alerts!$B:$B,Raw_Alerts!$A:$A),"No Alert")</f>
        <v/>
      </c>
      <c r="M1426" s="2">
        <f>IFERROR(XLOOKUP(A1426,Raw_Alerts!$B:$B,Raw_Alerts!$C:$C),"")</f>
        <v/>
      </c>
      <c r="N1426" s="2">
        <f>IFERROR(XLOOKUP(A1426,Raw_Alerts!$B:$B,Raw_Alerts!$D:$D),"")</f>
        <v/>
      </c>
      <c r="O1426" s="2">
        <f>IFERROR(XLOOKUP(A1426,Raw_Alerts!$B:$B,Raw_Alerts!$F:$F),"")</f>
        <v/>
      </c>
      <c r="P1426" s="2">
        <f>IF(H1426="Not Found","CRITICAL: No Risk Profile",IF(I1426="Missing","WARN: Missing KYC",IF(I1426="Expired","WARN: KYC Expired",IF(I1426="Pending","INFO: KYC Pending","OK"))))</f>
        <v/>
      </c>
    </row>
    <row r="1427">
      <c r="A1427" s="4">
        <f>Raw_Transactions!A1427</f>
        <v/>
      </c>
      <c r="B1427" s="4">
        <f>Raw_Transactions!B1427</f>
        <v/>
      </c>
      <c r="C1427" s="4">
        <f>Raw_Transactions!C1427</f>
        <v/>
      </c>
      <c r="D1427" s="5">
        <f>Raw_Transactions!D1427</f>
        <v/>
      </c>
      <c r="E1427" s="4">
        <f>Raw_Transactions!E1427</f>
        <v/>
      </c>
      <c r="F1427" s="4">
        <f>Raw_Transactions!F1427</f>
        <v/>
      </c>
      <c r="G1427" s="4">
        <f>Raw_Transactions!G1427</f>
        <v/>
      </c>
      <c r="H1427" s="4">
        <f>XLOOKUP(B1427,Raw_Risk_Profiles!$A:$A,Raw_Risk_Profiles!$B:$B,"Not Found")</f>
        <v/>
      </c>
      <c r="I1427" s="4">
        <f>XLOOKUP(B1427,Raw_Risk_Profiles!$A:$A,Raw_Risk_Profiles!$C:$C,"Missing")</f>
        <v/>
      </c>
      <c r="J1427" s="4">
        <f>XLOOKUP(B1427,Raw_Risk_Profiles!$A:$A,Raw_Risk_Profiles!$D:$D,"")</f>
        <v/>
      </c>
      <c r="K1427" s="4">
        <f>IFERROR(INDEX(Raw_Risk_Profiles!$E:$E,MATCH(B1427,Raw_Risk_Profiles!$A:$A,0)),"Unknown")</f>
        <v/>
      </c>
      <c r="L1427" s="4">
        <f>IFERROR(XLOOKUP(A1427,Raw_Alerts!$B:$B,Raw_Alerts!$A:$A),"No Alert")</f>
        <v/>
      </c>
      <c r="M1427" s="4">
        <f>IFERROR(XLOOKUP(A1427,Raw_Alerts!$B:$B,Raw_Alerts!$C:$C),"")</f>
        <v/>
      </c>
      <c r="N1427" s="4">
        <f>IFERROR(XLOOKUP(A1427,Raw_Alerts!$B:$B,Raw_Alerts!$D:$D),"")</f>
        <v/>
      </c>
      <c r="O1427" s="4">
        <f>IFERROR(XLOOKUP(A1427,Raw_Alerts!$B:$B,Raw_Alerts!$F:$F),"")</f>
        <v/>
      </c>
      <c r="P1427" s="4">
        <f>IF(H1427="Not Found","CRITICAL: No Risk Profile",IF(I1427="Missing","WARN: Missing KYC",IF(I1427="Expired","WARN: KYC Expired",IF(I1427="Pending","INFO: KYC Pending","OK"))))</f>
        <v/>
      </c>
    </row>
    <row r="1428">
      <c r="A1428" s="2">
        <f>Raw_Transactions!A1428</f>
        <v/>
      </c>
      <c r="B1428" s="2">
        <f>Raw_Transactions!B1428</f>
        <v/>
      </c>
      <c r="C1428" s="2">
        <f>Raw_Transactions!C1428</f>
        <v/>
      </c>
      <c r="D1428" s="3">
        <f>Raw_Transactions!D1428</f>
        <v/>
      </c>
      <c r="E1428" s="2">
        <f>Raw_Transactions!E1428</f>
        <v/>
      </c>
      <c r="F1428" s="2">
        <f>Raw_Transactions!F1428</f>
        <v/>
      </c>
      <c r="G1428" s="2">
        <f>Raw_Transactions!G1428</f>
        <v/>
      </c>
      <c r="H1428" s="2">
        <f>XLOOKUP(B1428,Raw_Risk_Profiles!$A:$A,Raw_Risk_Profiles!$B:$B,"Not Found")</f>
        <v/>
      </c>
      <c r="I1428" s="2">
        <f>XLOOKUP(B1428,Raw_Risk_Profiles!$A:$A,Raw_Risk_Profiles!$C:$C,"Missing")</f>
        <v/>
      </c>
      <c r="J1428" s="2">
        <f>XLOOKUP(B1428,Raw_Risk_Profiles!$A:$A,Raw_Risk_Profiles!$D:$D,"")</f>
        <v/>
      </c>
      <c r="K1428" s="2">
        <f>IFERROR(INDEX(Raw_Risk_Profiles!$E:$E,MATCH(B1428,Raw_Risk_Profiles!$A:$A,0)),"Unknown")</f>
        <v/>
      </c>
      <c r="L1428" s="2">
        <f>IFERROR(XLOOKUP(A1428,Raw_Alerts!$B:$B,Raw_Alerts!$A:$A),"No Alert")</f>
        <v/>
      </c>
      <c r="M1428" s="2">
        <f>IFERROR(XLOOKUP(A1428,Raw_Alerts!$B:$B,Raw_Alerts!$C:$C),"")</f>
        <v/>
      </c>
      <c r="N1428" s="2">
        <f>IFERROR(XLOOKUP(A1428,Raw_Alerts!$B:$B,Raw_Alerts!$D:$D),"")</f>
        <v/>
      </c>
      <c r="O1428" s="2">
        <f>IFERROR(XLOOKUP(A1428,Raw_Alerts!$B:$B,Raw_Alerts!$F:$F),"")</f>
        <v/>
      </c>
      <c r="P1428" s="2">
        <f>IF(H1428="Not Found","CRITICAL: No Risk Profile",IF(I1428="Missing","WARN: Missing KYC",IF(I1428="Expired","WARN: KYC Expired",IF(I1428="Pending","INFO: KYC Pending","OK"))))</f>
        <v/>
      </c>
    </row>
    <row r="1429">
      <c r="A1429" s="4">
        <f>Raw_Transactions!A1429</f>
        <v/>
      </c>
      <c r="B1429" s="4">
        <f>Raw_Transactions!B1429</f>
        <v/>
      </c>
      <c r="C1429" s="4">
        <f>Raw_Transactions!C1429</f>
        <v/>
      </c>
      <c r="D1429" s="5">
        <f>Raw_Transactions!D1429</f>
        <v/>
      </c>
      <c r="E1429" s="4">
        <f>Raw_Transactions!E1429</f>
        <v/>
      </c>
      <c r="F1429" s="4">
        <f>Raw_Transactions!F1429</f>
        <v/>
      </c>
      <c r="G1429" s="4">
        <f>Raw_Transactions!G1429</f>
        <v/>
      </c>
      <c r="H1429" s="4">
        <f>XLOOKUP(B1429,Raw_Risk_Profiles!$A:$A,Raw_Risk_Profiles!$B:$B,"Not Found")</f>
        <v/>
      </c>
      <c r="I1429" s="4">
        <f>XLOOKUP(B1429,Raw_Risk_Profiles!$A:$A,Raw_Risk_Profiles!$C:$C,"Missing")</f>
        <v/>
      </c>
      <c r="J1429" s="4">
        <f>XLOOKUP(B1429,Raw_Risk_Profiles!$A:$A,Raw_Risk_Profiles!$D:$D,"")</f>
        <v/>
      </c>
      <c r="K1429" s="4">
        <f>IFERROR(INDEX(Raw_Risk_Profiles!$E:$E,MATCH(B1429,Raw_Risk_Profiles!$A:$A,0)),"Unknown")</f>
        <v/>
      </c>
      <c r="L1429" s="4">
        <f>IFERROR(XLOOKUP(A1429,Raw_Alerts!$B:$B,Raw_Alerts!$A:$A),"No Alert")</f>
        <v/>
      </c>
      <c r="M1429" s="4">
        <f>IFERROR(XLOOKUP(A1429,Raw_Alerts!$B:$B,Raw_Alerts!$C:$C),"")</f>
        <v/>
      </c>
      <c r="N1429" s="4">
        <f>IFERROR(XLOOKUP(A1429,Raw_Alerts!$B:$B,Raw_Alerts!$D:$D),"")</f>
        <v/>
      </c>
      <c r="O1429" s="4">
        <f>IFERROR(XLOOKUP(A1429,Raw_Alerts!$B:$B,Raw_Alerts!$F:$F),"")</f>
        <v/>
      </c>
      <c r="P1429" s="4">
        <f>IF(H1429="Not Found","CRITICAL: No Risk Profile",IF(I1429="Missing","WARN: Missing KYC",IF(I1429="Expired","WARN: KYC Expired",IF(I1429="Pending","INFO: KYC Pending","OK"))))</f>
        <v/>
      </c>
    </row>
    <row r="1430">
      <c r="A1430" s="2">
        <f>Raw_Transactions!A1430</f>
        <v/>
      </c>
      <c r="B1430" s="2">
        <f>Raw_Transactions!B1430</f>
        <v/>
      </c>
      <c r="C1430" s="2">
        <f>Raw_Transactions!C1430</f>
        <v/>
      </c>
      <c r="D1430" s="3">
        <f>Raw_Transactions!D1430</f>
        <v/>
      </c>
      <c r="E1430" s="2">
        <f>Raw_Transactions!E1430</f>
        <v/>
      </c>
      <c r="F1430" s="2">
        <f>Raw_Transactions!F1430</f>
        <v/>
      </c>
      <c r="G1430" s="2">
        <f>Raw_Transactions!G1430</f>
        <v/>
      </c>
      <c r="H1430" s="2">
        <f>XLOOKUP(B1430,Raw_Risk_Profiles!$A:$A,Raw_Risk_Profiles!$B:$B,"Not Found")</f>
        <v/>
      </c>
      <c r="I1430" s="2">
        <f>XLOOKUP(B1430,Raw_Risk_Profiles!$A:$A,Raw_Risk_Profiles!$C:$C,"Missing")</f>
        <v/>
      </c>
      <c r="J1430" s="2">
        <f>XLOOKUP(B1430,Raw_Risk_Profiles!$A:$A,Raw_Risk_Profiles!$D:$D,"")</f>
        <v/>
      </c>
      <c r="K1430" s="2">
        <f>IFERROR(INDEX(Raw_Risk_Profiles!$E:$E,MATCH(B1430,Raw_Risk_Profiles!$A:$A,0)),"Unknown")</f>
        <v/>
      </c>
      <c r="L1430" s="2">
        <f>IFERROR(XLOOKUP(A1430,Raw_Alerts!$B:$B,Raw_Alerts!$A:$A),"No Alert")</f>
        <v/>
      </c>
      <c r="M1430" s="2">
        <f>IFERROR(XLOOKUP(A1430,Raw_Alerts!$B:$B,Raw_Alerts!$C:$C),"")</f>
        <v/>
      </c>
      <c r="N1430" s="2">
        <f>IFERROR(XLOOKUP(A1430,Raw_Alerts!$B:$B,Raw_Alerts!$D:$D),"")</f>
        <v/>
      </c>
      <c r="O1430" s="2">
        <f>IFERROR(XLOOKUP(A1430,Raw_Alerts!$B:$B,Raw_Alerts!$F:$F),"")</f>
        <v/>
      </c>
      <c r="P1430" s="2">
        <f>IF(H1430="Not Found","CRITICAL: No Risk Profile",IF(I1430="Missing","WARN: Missing KYC",IF(I1430="Expired","WARN: KYC Expired",IF(I1430="Pending","INFO: KYC Pending","OK"))))</f>
        <v/>
      </c>
    </row>
    <row r="1431">
      <c r="A1431" s="4">
        <f>Raw_Transactions!A1431</f>
        <v/>
      </c>
      <c r="B1431" s="4">
        <f>Raw_Transactions!B1431</f>
        <v/>
      </c>
      <c r="C1431" s="4">
        <f>Raw_Transactions!C1431</f>
        <v/>
      </c>
      <c r="D1431" s="5">
        <f>Raw_Transactions!D1431</f>
        <v/>
      </c>
      <c r="E1431" s="4">
        <f>Raw_Transactions!E1431</f>
        <v/>
      </c>
      <c r="F1431" s="4">
        <f>Raw_Transactions!F1431</f>
        <v/>
      </c>
      <c r="G1431" s="4">
        <f>Raw_Transactions!G1431</f>
        <v/>
      </c>
      <c r="H1431" s="4">
        <f>XLOOKUP(B1431,Raw_Risk_Profiles!$A:$A,Raw_Risk_Profiles!$B:$B,"Not Found")</f>
        <v/>
      </c>
      <c r="I1431" s="4">
        <f>XLOOKUP(B1431,Raw_Risk_Profiles!$A:$A,Raw_Risk_Profiles!$C:$C,"Missing")</f>
        <v/>
      </c>
      <c r="J1431" s="4">
        <f>XLOOKUP(B1431,Raw_Risk_Profiles!$A:$A,Raw_Risk_Profiles!$D:$D,"")</f>
        <v/>
      </c>
      <c r="K1431" s="4">
        <f>IFERROR(INDEX(Raw_Risk_Profiles!$E:$E,MATCH(B1431,Raw_Risk_Profiles!$A:$A,0)),"Unknown")</f>
        <v/>
      </c>
      <c r="L1431" s="4">
        <f>IFERROR(XLOOKUP(A1431,Raw_Alerts!$B:$B,Raw_Alerts!$A:$A),"No Alert")</f>
        <v/>
      </c>
      <c r="M1431" s="4">
        <f>IFERROR(XLOOKUP(A1431,Raw_Alerts!$B:$B,Raw_Alerts!$C:$C),"")</f>
        <v/>
      </c>
      <c r="N1431" s="4">
        <f>IFERROR(XLOOKUP(A1431,Raw_Alerts!$B:$B,Raw_Alerts!$D:$D),"")</f>
        <v/>
      </c>
      <c r="O1431" s="4">
        <f>IFERROR(XLOOKUP(A1431,Raw_Alerts!$B:$B,Raw_Alerts!$F:$F),"")</f>
        <v/>
      </c>
      <c r="P1431" s="4">
        <f>IF(H1431="Not Found","CRITICAL: No Risk Profile",IF(I1431="Missing","WARN: Missing KYC",IF(I1431="Expired","WARN: KYC Expired",IF(I1431="Pending","INFO: KYC Pending","OK"))))</f>
        <v/>
      </c>
    </row>
    <row r="1432">
      <c r="A1432" s="2">
        <f>Raw_Transactions!A1432</f>
        <v/>
      </c>
      <c r="B1432" s="2">
        <f>Raw_Transactions!B1432</f>
        <v/>
      </c>
      <c r="C1432" s="2">
        <f>Raw_Transactions!C1432</f>
        <v/>
      </c>
      <c r="D1432" s="3">
        <f>Raw_Transactions!D1432</f>
        <v/>
      </c>
      <c r="E1432" s="2">
        <f>Raw_Transactions!E1432</f>
        <v/>
      </c>
      <c r="F1432" s="2">
        <f>Raw_Transactions!F1432</f>
        <v/>
      </c>
      <c r="G1432" s="2">
        <f>Raw_Transactions!G1432</f>
        <v/>
      </c>
      <c r="H1432" s="2">
        <f>XLOOKUP(B1432,Raw_Risk_Profiles!$A:$A,Raw_Risk_Profiles!$B:$B,"Not Found")</f>
        <v/>
      </c>
      <c r="I1432" s="2">
        <f>XLOOKUP(B1432,Raw_Risk_Profiles!$A:$A,Raw_Risk_Profiles!$C:$C,"Missing")</f>
        <v/>
      </c>
      <c r="J1432" s="2">
        <f>XLOOKUP(B1432,Raw_Risk_Profiles!$A:$A,Raw_Risk_Profiles!$D:$D,"")</f>
        <v/>
      </c>
      <c r="K1432" s="2">
        <f>IFERROR(INDEX(Raw_Risk_Profiles!$E:$E,MATCH(B1432,Raw_Risk_Profiles!$A:$A,0)),"Unknown")</f>
        <v/>
      </c>
      <c r="L1432" s="2">
        <f>IFERROR(XLOOKUP(A1432,Raw_Alerts!$B:$B,Raw_Alerts!$A:$A),"No Alert")</f>
        <v/>
      </c>
      <c r="M1432" s="2">
        <f>IFERROR(XLOOKUP(A1432,Raw_Alerts!$B:$B,Raw_Alerts!$C:$C),"")</f>
        <v/>
      </c>
      <c r="N1432" s="2">
        <f>IFERROR(XLOOKUP(A1432,Raw_Alerts!$B:$B,Raw_Alerts!$D:$D),"")</f>
        <v/>
      </c>
      <c r="O1432" s="2">
        <f>IFERROR(XLOOKUP(A1432,Raw_Alerts!$B:$B,Raw_Alerts!$F:$F),"")</f>
        <v/>
      </c>
      <c r="P1432" s="2">
        <f>IF(H1432="Not Found","CRITICAL: No Risk Profile",IF(I1432="Missing","WARN: Missing KYC",IF(I1432="Expired","WARN: KYC Expired",IF(I1432="Pending","INFO: KYC Pending","OK"))))</f>
        <v/>
      </c>
    </row>
    <row r="1433">
      <c r="A1433" s="4">
        <f>Raw_Transactions!A1433</f>
        <v/>
      </c>
      <c r="B1433" s="4">
        <f>Raw_Transactions!B1433</f>
        <v/>
      </c>
      <c r="C1433" s="4">
        <f>Raw_Transactions!C1433</f>
        <v/>
      </c>
      <c r="D1433" s="5">
        <f>Raw_Transactions!D1433</f>
        <v/>
      </c>
      <c r="E1433" s="4">
        <f>Raw_Transactions!E1433</f>
        <v/>
      </c>
      <c r="F1433" s="4">
        <f>Raw_Transactions!F1433</f>
        <v/>
      </c>
      <c r="G1433" s="4">
        <f>Raw_Transactions!G1433</f>
        <v/>
      </c>
      <c r="H1433" s="4">
        <f>XLOOKUP(B1433,Raw_Risk_Profiles!$A:$A,Raw_Risk_Profiles!$B:$B,"Not Found")</f>
        <v/>
      </c>
      <c r="I1433" s="4">
        <f>XLOOKUP(B1433,Raw_Risk_Profiles!$A:$A,Raw_Risk_Profiles!$C:$C,"Missing")</f>
        <v/>
      </c>
      <c r="J1433" s="4">
        <f>XLOOKUP(B1433,Raw_Risk_Profiles!$A:$A,Raw_Risk_Profiles!$D:$D,"")</f>
        <v/>
      </c>
      <c r="K1433" s="4">
        <f>IFERROR(INDEX(Raw_Risk_Profiles!$E:$E,MATCH(B1433,Raw_Risk_Profiles!$A:$A,0)),"Unknown")</f>
        <v/>
      </c>
      <c r="L1433" s="4">
        <f>IFERROR(XLOOKUP(A1433,Raw_Alerts!$B:$B,Raw_Alerts!$A:$A),"No Alert")</f>
        <v/>
      </c>
      <c r="M1433" s="4">
        <f>IFERROR(XLOOKUP(A1433,Raw_Alerts!$B:$B,Raw_Alerts!$C:$C),"")</f>
        <v/>
      </c>
      <c r="N1433" s="4">
        <f>IFERROR(XLOOKUP(A1433,Raw_Alerts!$B:$B,Raw_Alerts!$D:$D),"")</f>
        <v/>
      </c>
      <c r="O1433" s="4">
        <f>IFERROR(XLOOKUP(A1433,Raw_Alerts!$B:$B,Raw_Alerts!$F:$F),"")</f>
        <v/>
      </c>
      <c r="P1433" s="4">
        <f>IF(H1433="Not Found","CRITICAL: No Risk Profile",IF(I1433="Missing","WARN: Missing KYC",IF(I1433="Expired","WARN: KYC Expired",IF(I1433="Pending","INFO: KYC Pending","OK"))))</f>
        <v/>
      </c>
    </row>
    <row r="1434">
      <c r="A1434" s="2">
        <f>Raw_Transactions!A1434</f>
        <v/>
      </c>
      <c r="B1434" s="2">
        <f>Raw_Transactions!B1434</f>
        <v/>
      </c>
      <c r="C1434" s="2">
        <f>Raw_Transactions!C1434</f>
        <v/>
      </c>
      <c r="D1434" s="3">
        <f>Raw_Transactions!D1434</f>
        <v/>
      </c>
      <c r="E1434" s="2">
        <f>Raw_Transactions!E1434</f>
        <v/>
      </c>
      <c r="F1434" s="2">
        <f>Raw_Transactions!F1434</f>
        <v/>
      </c>
      <c r="G1434" s="2">
        <f>Raw_Transactions!G1434</f>
        <v/>
      </c>
      <c r="H1434" s="2">
        <f>XLOOKUP(B1434,Raw_Risk_Profiles!$A:$A,Raw_Risk_Profiles!$B:$B,"Not Found")</f>
        <v/>
      </c>
      <c r="I1434" s="2">
        <f>XLOOKUP(B1434,Raw_Risk_Profiles!$A:$A,Raw_Risk_Profiles!$C:$C,"Missing")</f>
        <v/>
      </c>
      <c r="J1434" s="2">
        <f>XLOOKUP(B1434,Raw_Risk_Profiles!$A:$A,Raw_Risk_Profiles!$D:$D,"")</f>
        <v/>
      </c>
      <c r="K1434" s="2">
        <f>IFERROR(INDEX(Raw_Risk_Profiles!$E:$E,MATCH(B1434,Raw_Risk_Profiles!$A:$A,0)),"Unknown")</f>
        <v/>
      </c>
      <c r="L1434" s="2">
        <f>IFERROR(XLOOKUP(A1434,Raw_Alerts!$B:$B,Raw_Alerts!$A:$A),"No Alert")</f>
        <v/>
      </c>
      <c r="M1434" s="2">
        <f>IFERROR(XLOOKUP(A1434,Raw_Alerts!$B:$B,Raw_Alerts!$C:$C),"")</f>
        <v/>
      </c>
      <c r="N1434" s="2">
        <f>IFERROR(XLOOKUP(A1434,Raw_Alerts!$B:$B,Raw_Alerts!$D:$D),"")</f>
        <v/>
      </c>
      <c r="O1434" s="2">
        <f>IFERROR(XLOOKUP(A1434,Raw_Alerts!$B:$B,Raw_Alerts!$F:$F),"")</f>
        <v/>
      </c>
      <c r="P1434" s="2">
        <f>IF(H1434="Not Found","CRITICAL: No Risk Profile",IF(I1434="Missing","WARN: Missing KYC",IF(I1434="Expired","WARN: KYC Expired",IF(I1434="Pending","INFO: KYC Pending","OK"))))</f>
        <v/>
      </c>
    </row>
    <row r="1435">
      <c r="A1435" s="4">
        <f>Raw_Transactions!A1435</f>
        <v/>
      </c>
      <c r="B1435" s="4">
        <f>Raw_Transactions!B1435</f>
        <v/>
      </c>
      <c r="C1435" s="4">
        <f>Raw_Transactions!C1435</f>
        <v/>
      </c>
      <c r="D1435" s="5">
        <f>Raw_Transactions!D1435</f>
        <v/>
      </c>
      <c r="E1435" s="4">
        <f>Raw_Transactions!E1435</f>
        <v/>
      </c>
      <c r="F1435" s="4">
        <f>Raw_Transactions!F1435</f>
        <v/>
      </c>
      <c r="G1435" s="4">
        <f>Raw_Transactions!G1435</f>
        <v/>
      </c>
      <c r="H1435" s="4">
        <f>XLOOKUP(B1435,Raw_Risk_Profiles!$A:$A,Raw_Risk_Profiles!$B:$B,"Not Found")</f>
        <v/>
      </c>
      <c r="I1435" s="4">
        <f>XLOOKUP(B1435,Raw_Risk_Profiles!$A:$A,Raw_Risk_Profiles!$C:$C,"Missing")</f>
        <v/>
      </c>
      <c r="J1435" s="4">
        <f>XLOOKUP(B1435,Raw_Risk_Profiles!$A:$A,Raw_Risk_Profiles!$D:$D,"")</f>
        <v/>
      </c>
      <c r="K1435" s="4">
        <f>IFERROR(INDEX(Raw_Risk_Profiles!$E:$E,MATCH(B1435,Raw_Risk_Profiles!$A:$A,0)),"Unknown")</f>
        <v/>
      </c>
      <c r="L1435" s="4">
        <f>IFERROR(XLOOKUP(A1435,Raw_Alerts!$B:$B,Raw_Alerts!$A:$A),"No Alert")</f>
        <v/>
      </c>
      <c r="M1435" s="4">
        <f>IFERROR(XLOOKUP(A1435,Raw_Alerts!$B:$B,Raw_Alerts!$C:$C),"")</f>
        <v/>
      </c>
      <c r="N1435" s="4">
        <f>IFERROR(XLOOKUP(A1435,Raw_Alerts!$B:$B,Raw_Alerts!$D:$D),"")</f>
        <v/>
      </c>
      <c r="O1435" s="4">
        <f>IFERROR(XLOOKUP(A1435,Raw_Alerts!$B:$B,Raw_Alerts!$F:$F),"")</f>
        <v/>
      </c>
      <c r="P1435" s="4">
        <f>IF(H1435="Not Found","CRITICAL: No Risk Profile",IF(I1435="Missing","WARN: Missing KYC",IF(I1435="Expired","WARN: KYC Expired",IF(I1435="Pending","INFO: KYC Pending","OK"))))</f>
        <v/>
      </c>
    </row>
    <row r="1436">
      <c r="A1436" s="2">
        <f>Raw_Transactions!A1436</f>
        <v/>
      </c>
      <c r="B1436" s="2">
        <f>Raw_Transactions!B1436</f>
        <v/>
      </c>
      <c r="C1436" s="2">
        <f>Raw_Transactions!C1436</f>
        <v/>
      </c>
      <c r="D1436" s="3">
        <f>Raw_Transactions!D1436</f>
        <v/>
      </c>
      <c r="E1436" s="2">
        <f>Raw_Transactions!E1436</f>
        <v/>
      </c>
      <c r="F1436" s="2">
        <f>Raw_Transactions!F1436</f>
        <v/>
      </c>
      <c r="G1436" s="2">
        <f>Raw_Transactions!G1436</f>
        <v/>
      </c>
      <c r="H1436" s="2">
        <f>XLOOKUP(B1436,Raw_Risk_Profiles!$A:$A,Raw_Risk_Profiles!$B:$B,"Not Found")</f>
        <v/>
      </c>
      <c r="I1436" s="2">
        <f>XLOOKUP(B1436,Raw_Risk_Profiles!$A:$A,Raw_Risk_Profiles!$C:$C,"Missing")</f>
        <v/>
      </c>
      <c r="J1436" s="2">
        <f>XLOOKUP(B1436,Raw_Risk_Profiles!$A:$A,Raw_Risk_Profiles!$D:$D,"")</f>
        <v/>
      </c>
      <c r="K1436" s="2">
        <f>IFERROR(INDEX(Raw_Risk_Profiles!$E:$E,MATCH(B1436,Raw_Risk_Profiles!$A:$A,0)),"Unknown")</f>
        <v/>
      </c>
      <c r="L1436" s="2">
        <f>IFERROR(XLOOKUP(A1436,Raw_Alerts!$B:$B,Raw_Alerts!$A:$A),"No Alert")</f>
        <v/>
      </c>
      <c r="M1436" s="2">
        <f>IFERROR(XLOOKUP(A1436,Raw_Alerts!$B:$B,Raw_Alerts!$C:$C),"")</f>
        <v/>
      </c>
      <c r="N1436" s="2">
        <f>IFERROR(XLOOKUP(A1436,Raw_Alerts!$B:$B,Raw_Alerts!$D:$D),"")</f>
        <v/>
      </c>
      <c r="O1436" s="2">
        <f>IFERROR(XLOOKUP(A1436,Raw_Alerts!$B:$B,Raw_Alerts!$F:$F),"")</f>
        <v/>
      </c>
      <c r="P1436" s="2">
        <f>IF(H1436="Not Found","CRITICAL: No Risk Profile",IF(I1436="Missing","WARN: Missing KYC",IF(I1436="Expired","WARN: KYC Expired",IF(I1436="Pending","INFO: KYC Pending","OK"))))</f>
        <v/>
      </c>
    </row>
    <row r="1437">
      <c r="A1437" s="4">
        <f>Raw_Transactions!A1437</f>
        <v/>
      </c>
      <c r="B1437" s="4">
        <f>Raw_Transactions!B1437</f>
        <v/>
      </c>
      <c r="C1437" s="4">
        <f>Raw_Transactions!C1437</f>
        <v/>
      </c>
      <c r="D1437" s="5">
        <f>Raw_Transactions!D1437</f>
        <v/>
      </c>
      <c r="E1437" s="4">
        <f>Raw_Transactions!E1437</f>
        <v/>
      </c>
      <c r="F1437" s="4">
        <f>Raw_Transactions!F1437</f>
        <v/>
      </c>
      <c r="G1437" s="4">
        <f>Raw_Transactions!G1437</f>
        <v/>
      </c>
      <c r="H1437" s="4">
        <f>XLOOKUP(B1437,Raw_Risk_Profiles!$A:$A,Raw_Risk_Profiles!$B:$B,"Not Found")</f>
        <v/>
      </c>
      <c r="I1437" s="4">
        <f>XLOOKUP(B1437,Raw_Risk_Profiles!$A:$A,Raw_Risk_Profiles!$C:$C,"Missing")</f>
        <v/>
      </c>
      <c r="J1437" s="4">
        <f>XLOOKUP(B1437,Raw_Risk_Profiles!$A:$A,Raw_Risk_Profiles!$D:$D,"")</f>
        <v/>
      </c>
      <c r="K1437" s="4">
        <f>IFERROR(INDEX(Raw_Risk_Profiles!$E:$E,MATCH(B1437,Raw_Risk_Profiles!$A:$A,0)),"Unknown")</f>
        <v/>
      </c>
      <c r="L1437" s="4">
        <f>IFERROR(XLOOKUP(A1437,Raw_Alerts!$B:$B,Raw_Alerts!$A:$A),"No Alert")</f>
        <v/>
      </c>
      <c r="M1437" s="4">
        <f>IFERROR(XLOOKUP(A1437,Raw_Alerts!$B:$B,Raw_Alerts!$C:$C),"")</f>
        <v/>
      </c>
      <c r="N1437" s="4">
        <f>IFERROR(XLOOKUP(A1437,Raw_Alerts!$B:$B,Raw_Alerts!$D:$D),"")</f>
        <v/>
      </c>
      <c r="O1437" s="4">
        <f>IFERROR(XLOOKUP(A1437,Raw_Alerts!$B:$B,Raw_Alerts!$F:$F),"")</f>
        <v/>
      </c>
      <c r="P1437" s="4">
        <f>IF(H1437="Not Found","CRITICAL: No Risk Profile",IF(I1437="Missing","WARN: Missing KYC",IF(I1437="Expired","WARN: KYC Expired",IF(I1437="Pending","INFO: KYC Pending","OK"))))</f>
        <v/>
      </c>
    </row>
    <row r="1438">
      <c r="A1438" s="2">
        <f>Raw_Transactions!A1438</f>
        <v/>
      </c>
      <c r="B1438" s="2">
        <f>Raw_Transactions!B1438</f>
        <v/>
      </c>
      <c r="C1438" s="2">
        <f>Raw_Transactions!C1438</f>
        <v/>
      </c>
      <c r="D1438" s="3">
        <f>Raw_Transactions!D1438</f>
        <v/>
      </c>
      <c r="E1438" s="2">
        <f>Raw_Transactions!E1438</f>
        <v/>
      </c>
      <c r="F1438" s="2">
        <f>Raw_Transactions!F1438</f>
        <v/>
      </c>
      <c r="G1438" s="2">
        <f>Raw_Transactions!G1438</f>
        <v/>
      </c>
      <c r="H1438" s="2">
        <f>XLOOKUP(B1438,Raw_Risk_Profiles!$A:$A,Raw_Risk_Profiles!$B:$B,"Not Found")</f>
        <v/>
      </c>
      <c r="I1438" s="2">
        <f>XLOOKUP(B1438,Raw_Risk_Profiles!$A:$A,Raw_Risk_Profiles!$C:$C,"Missing")</f>
        <v/>
      </c>
      <c r="J1438" s="2">
        <f>XLOOKUP(B1438,Raw_Risk_Profiles!$A:$A,Raw_Risk_Profiles!$D:$D,"")</f>
        <v/>
      </c>
      <c r="K1438" s="2">
        <f>IFERROR(INDEX(Raw_Risk_Profiles!$E:$E,MATCH(B1438,Raw_Risk_Profiles!$A:$A,0)),"Unknown")</f>
        <v/>
      </c>
      <c r="L1438" s="2">
        <f>IFERROR(XLOOKUP(A1438,Raw_Alerts!$B:$B,Raw_Alerts!$A:$A),"No Alert")</f>
        <v/>
      </c>
      <c r="M1438" s="2">
        <f>IFERROR(XLOOKUP(A1438,Raw_Alerts!$B:$B,Raw_Alerts!$C:$C),"")</f>
        <v/>
      </c>
      <c r="N1438" s="2">
        <f>IFERROR(XLOOKUP(A1438,Raw_Alerts!$B:$B,Raw_Alerts!$D:$D),"")</f>
        <v/>
      </c>
      <c r="O1438" s="2">
        <f>IFERROR(XLOOKUP(A1438,Raw_Alerts!$B:$B,Raw_Alerts!$F:$F),"")</f>
        <v/>
      </c>
      <c r="P1438" s="2">
        <f>IF(H1438="Not Found","CRITICAL: No Risk Profile",IF(I1438="Missing","WARN: Missing KYC",IF(I1438="Expired","WARN: KYC Expired",IF(I1438="Pending","INFO: KYC Pending","OK"))))</f>
        <v/>
      </c>
    </row>
    <row r="1439">
      <c r="A1439" s="4">
        <f>Raw_Transactions!A1439</f>
        <v/>
      </c>
      <c r="B1439" s="4">
        <f>Raw_Transactions!B1439</f>
        <v/>
      </c>
      <c r="C1439" s="4">
        <f>Raw_Transactions!C1439</f>
        <v/>
      </c>
      <c r="D1439" s="5">
        <f>Raw_Transactions!D1439</f>
        <v/>
      </c>
      <c r="E1439" s="4">
        <f>Raw_Transactions!E1439</f>
        <v/>
      </c>
      <c r="F1439" s="4">
        <f>Raw_Transactions!F1439</f>
        <v/>
      </c>
      <c r="G1439" s="4">
        <f>Raw_Transactions!G1439</f>
        <v/>
      </c>
      <c r="H1439" s="4">
        <f>XLOOKUP(B1439,Raw_Risk_Profiles!$A:$A,Raw_Risk_Profiles!$B:$B,"Not Found")</f>
        <v/>
      </c>
      <c r="I1439" s="4">
        <f>XLOOKUP(B1439,Raw_Risk_Profiles!$A:$A,Raw_Risk_Profiles!$C:$C,"Missing")</f>
        <v/>
      </c>
      <c r="J1439" s="4">
        <f>XLOOKUP(B1439,Raw_Risk_Profiles!$A:$A,Raw_Risk_Profiles!$D:$D,"")</f>
        <v/>
      </c>
      <c r="K1439" s="4">
        <f>IFERROR(INDEX(Raw_Risk_Profiles!$E:$E,MATCH(B1439,Raw_Risk_Profiles!$A:$A,0)),"Unknown")</f>
        <v/>
      </c>
      <c r="L1439" s="4">
        <f>IFERROR(XLOOKUP(A1439,Raw_Alerts!$B:$B,Raw_Alerts!$A:$A),"No Alert")</f>
        <v/>
      </c>
      <c r="M1439" s="4">
        <f>IFERROR(XLOOKUP(A1439,Raw_Alerts!$B:$B,Raw_Alerts!$C:$C),"")</f>
        <v/>
      </c>
      <c r="N1439" s="4">
        <f>IFERROR(XLOOKUP(A1439,Raw_Alerts!$B:$B,Raw_Alerts!$D:$D),"")</f>
        <v/>
      </c>
      <c r="O1439" s="4">
        <f>IFERROR(XLOOKUP(A1439,Raw_Alerts!$B:$B,Raw_Alerts!$F:$F),"")</f>
        <v/>
      </c>
      <c r="P1439" s="4">
        <f>IF(H1439="Not Found","CRITICAL: No Risk Profile",IF(I1439="Missing","WARN: Missing KYC",IF(I1439="Expired","WARN: KYC Expired",IF(I1439="Pending","INFO: KYC Pending","OK"))))</f>
        <v/>
      </c>
    </row>
    <row r="1440">
      <c r="A1440" s="2">
        <f>Raw_Transactions!A1440</f>
        <v/>
      </c>
      <c r="B1440" s="2">
        <f>Raw_Transactions!B1440</f>
        <v/>
      </c>
      <c r="C1440" s="2">
        <f>Raw_Transactions!C1440</f>
        <v/>
      </c>
      <c r="D1440" s="3">
        <f>Raw_Transactions!D1440</f>
        <v/>
      </c>
      <c r="E1440" s="2">
        <f>Raw_Transactions!E1440</f>
        <v/>
      </c>
      <c r="F1440" s="2">
        <f>Raw_Transactions!F1440</f>
        <v/>
      </c>
      <c r="G1440" s="2">
        <f>Raw_Transactions!G1440</f>
        <v/>
      </c>
      <c r="H1440" s="2">
        <f>XLOOKUP(B1440,Raw_Risk_Profiles!$A:$A,Raw_Risk_Profiles!$B:$B,"Not Found")</f>
        <v/>
      </c>
      <c r="I1440" s="2">
        <f>XLOOKUP(B1440,Raw_Risk_Profiles!$A:$A,Raw_Risk_Profiles!$C:$C,"Missing")</f>
        <v/>
      </c>
      <c r="J1440" s="2">
        <f>XLOOKUP(B1440,Raw_Risk_Profiles!$A:$A,Raw_Risk_Profiles!$D:$D,"")</f>
        <v/>
      </c>
      <c r="K1440" s="2">
        <f>IFERROR(INDEX(Raw_Risk_Profiles!$E:$E,MATCH(B1440,Raw_Risk_Profiles!$A:$A,0)),"Unknown")</f>
        <v/>
      </c>
      <c r="L1440" s="2">
        <f>IFERROR(XLOOKUP(A1440,Raw_Alerts!$B:$B,Raw_Alerts!$A:$A),"No Alert")</f>
        <v/>
      </c>
      <c r="M1440" s="2">
        <f>IFERROR(XLOOKUP(A1440,Raw_Alerts!$B:$B,Raw_Alerts!$C:$C),"")</f>
        <v/>
      </c>
      <c r="N1440" s="2">
        <f>IFERROR(XLOOKUP(A1440,Raw_Alerts!$B:$B,Raw_Alerts!$D:$D),"")</f>
        <v/>
      </c>
      <c r="O1440" s="2">
        <f>IFERROR(XLOOKUP(A1440,Raw_Alerts!$B:$B,Raw_Alerts!$F:$F),"")</f>
        <v/>
      </c>
      <c r="P1440" s="2">
        <f>IF(H1440="Not Found","CRITICAL: No Risk Profile",IF(I1440="Missing","WARN: Missing KYC",IF(I1440="Expired","WARN: KYC Expired",IF(I1440="Pending","INFO: KYC Pending","OK"))))</f>
        <v/>
      </c>
    </row>
    <row r="1441">
      <c r="A1441" s="4">
        <f>Raw_Transactions!A1441</f>
        <v/>
      </c>
      <c r="B1441" s="4">
        <f>Raw_Transactions!B1441</f>
        <v/>
      </c>
      <c r="C1441" s="4">
        <f>Raw_Transactions!C1441</f>
        <v/>
      </c>
      <c r="D1441" s="5">
        <f>Raw_Transactions!D1441</f>
        <v/>
      </c>
      <c r="E1441" s="4">
        <f>Raw_Transactions!E1441</f>
        <v/>
      </c>
      <c r="F1441" s="4">
        <f>Raw_Transactions!F1441</f>
        <v/>
      </c>
      <c r="G1441" s="4">
        <f>Raw_Transactions!G1441</f>
        <v/>
      </c>
      <c r="H1441" s="4">
        <f>XLOOKUP(B1441,Raw_Risk_Profiles!$A:$A,Raw_Risk_Profiles!$B:$B,"Not Found")</f>
        <v/>
      </c>
      <c r="I1441" s="4">
        <f>XLOOKUP(B1441,Raw_Risk_Profiles!$A:$A,Raw_Risk_Profiles!$C:$C,"Missing")</f>
        <v/>
      </c>
      <c r="J1441" s="4">
        <f>XLOOKUP(B1441,Raw_Risk_Profiles!$A:$A,Raw_Risk_Profiles!$D:$D,"")</f>
        <v/>
      </c>
      <c r="K1441" s="4">
        <f>IFERROR(INDEX(Raw_Risk_Profiles!$E:$E,MATCH(B1441,Raw_Risk_Profiles!$A:$A,0)),"Unknown")</f>
        <v/>
      </c>
      <c r="L1441" s="4">
        <f>IFERROR(XLOOKUP(A1441,Raw_Alerts!$B:$B,Raw_Alerts!$A:$A),"No Alert")</f>
        <v/>
      </c>
      <c r="M1441" s="4">
        <f>IFERROR(XLOOKUP(A1441,Raw_Alerts!$B:$B,Raw_Alerts!$C:$C),"")</f>
        <v/>
      </c>
      <c r="N1441" s="4">
        <f>IFERROR(XLOOKUP(A1441,Raw_Alerts!$B:$B,Raw_Alerts!$D:$D),"")</f>
        <v/>
      </c>
      <c r="O1441" s="4">
        <f>IFERROR(XLOOKUP(A1441,Raw_Alerts!$B:$B,Raw_Alerts!$F:$F),"")</f>
        <v/>
      </c>
      <c r="P1441" s="4">
        <f>IF(H1441="Not Found","CRITICAL: No Risk Profile",IF(I1441="Missing","WARN: Missing KYC",IF(I1441="Expired","WARN: KYC Expired",IF(I1441="Pending","INFO: KYC Pending","OK"))))</f>
        <v/>
      </c>
    </row>
    <row r="1442">
      <c r="A1442" s="2">
        <f>Raw_Transactions!A1442</f>
        <v/>
      </c>
      <c r="B1442" s="2">
        <f>Raw_Transactions!B1442</f>
        <v/>
      </c>
      <c r="C1442" s="2">
        <f>Raw_Transactions!C1442</f>
        <v/>
      </c>
      <c r="D1442" s="3">
        <f>Raw_Transactions!D1442</f>
        <v/>
      </c>
      <c r="E1442" s="2">
        <f>Raw_Transactions!E1442</f>
        <v/>
      </c>
      <c r="F1442" s="2">
        <f>Raw_Transactions!F1442</f>
        <v/>
      </c>
      <c r="G1442" s="2">
        <f>Raw_Transactions!G1442</f>
        <v/>
      </c>
      <c r="H1442" s="2">
        <f>XLOOKUP(B1442,Raw_Risk_Profiles!$A:$A,Raw_Risk_Profiles!$B:$B,"Not Found")</f>
        <v/>
      </c>
      <c r="I1442" s="2">
        <f>XLOOKUP(B1442,Raw_Risk_Profiles!$A:$A,Raw_Risk_Profiles!$C:$C,"Missing")</f>
        <v/>
      </c>
      <c r="J1442" s="2">
        <f>XLOOKUP(B1442,Raw_Risk_Profiles!$A:$A,Raw_Risk_Profiles!$D:$D,"")</f>
        <v/>
      </c>
      <c r="K1442" s="2">
        <f>IFERROR(INDEX(Raw_Risk_Profiles!$E:$E,MATCH(B1442,Raw_Risk_Profiles!$A:$A,0)),"Unknown")</f>
        <v/>
      </c>
      <c r="L1442" s="2">
        <f>IFERROR(XLOOKUP(A1442,Raw_Alerts!$B:$B,Raw_Alerts!$A:$A),"No Alert")</f>
        <v/>
      </c>
      <c r="M1442" s="2">
        <f>IFERROR(XLOOKUP(A1442,Raw_Alerts!$B:$B,Raw_Alerts!$C:$C),"")</f>
        <v/>
      </c>
      <c r="N1442" s="2">
        <f>IFERROR(XLOOKUP(A1442,Raw_Alerts!$B:$B,Raw_Alerts!$D:$D),"")</f>
        <v/>
      </c>
      <c r="O1442" s="2">
        <f>IFERROR(XLOOKUP(A1442,Raw_Alerts!$B:$B,Raw_Alerts!$F:$F),"")</f>
        <v/>
      </c>
      <c r="P1442" s="2">
        <f>IF(H1442="Not Found","CRITICAL: No Risk Profile",IF(I1442="Missing","WARN: Missing KYC",IF(I1442="Expired","WARN: KYC Expired",IF(I1442="Pending","INFO: KYC Pending","OK"))))</f>
        <v/>
      </c>
    </row>
    <row r="1443">
      <c r="A1443" s="4">
        <f>Raw_Transactions!A1443</f>
        <v/>
      </c>
      <c r="B1443" s="4">
        <f>Raw_Transactions!B1443</f>
        <v/>
      </c>
      <c r="C1443" s="4">
        <f>Raw_Transactions!C1443</f>
        <v/>
      </c>
      <c r="D1443" s="5">
        <f>Raw_Transactions!D1443</f>
        <v/>
      </c>
      <c r="E1443" s="4">
        <f>Raw_Transactions!E1443</f>
        <v/>
      </c>
      <c r="F1443" s="4">
        <f>Raw_Transactions!F1443</f>
        <v/>
      </c>
      <c r="G1443" s="4">
        <f>Raw_Transactions!G1443</f>
        <v/>
      </c>
      <c r="H1443" s="4">
        <f>XLOOKUP(B1443,Raw_Risk_Profiles!$A:$A,Raw_Risk_Profiles!$B:$B,"Not Found")</f>
        <v/>
      </c>
      <c r="I1443" s="4">
        <f>XLOOKUP(B1443,Raw_Risk_Profiles!$A:$A,Raw_Risk_Profiles!$C:$C,"Missing")</f>
        <v/>
      </c>
      <c r="J1443" s="4">
        <f>XLOOKUP(B1443,Raw_Risk_Profiles!$A:$A,Raw_Risk_Profiles!$D:$D,"")</f>
        <v/>
      </c>
      <c r="K1443" s="4">
        <f>IFERROR(INDEX(Raw_Risk_Profiles!$E:$E,MATCH(B1443,Raw_Risk_Profiles!$A:$A,0)),"Unknown")</f>
        <v/>
      </c>
      <c r="L1443" s="4">
        <f>IFERROR(XLOOKUP(A1443,Raw_Alerts!$B:$B,Raw_Alerts!$A:$A),"No Alert")</f>
        <v/>
      </c>
      <c r="M1443" s="4">
        <f>IFERROR(XLOOKUP(A1443,Raw_Alerts!$B:$B,Raw_Alerts!$C:$C),"")</f>
        <v/>
      </c>
      <c r="N1443" s="4">
        <f>IFERROR(XLOOKUP(A1443,Raw_Alerts!$B:$B,Raw_Alerts!$D:$D),"")</f>
        <v/>
      </c>
      <c r="O1443" s="4">
        <f>IFERROR(XLOOKUP(A1443,Raw_Alerts!$B:$B,Raw_Alerts!$F:$F),"")</f>
        <v/>
      </c>
      <c r="P1443" s="4">
        <f>IF(H1443="Not Found","CRITICAL: No Risk Profile",IF(I1443="Missing","WARN: Missing KYC",IF(I1443="Expired","WARN: KYC Expired",IF(I1443="Pending","INFO: KYC Pending","OK"))))</f>
        <v/>
      </c>
    </row>
    <row r="1444">
      <c r="A1444" s="2">
        <f>Raw_Transactions!A1444</f>
        <v/>
      </c>
      <c r="B1444" s="2">
        <f>Raw_Transactions!B1444</f>
        <v/>
      </c>
      <c r="C1444" s="2">
        <f>Raw_Transactions!C1444</f>
        <v/>
      </c>
      <c r="D1444" s="3">
        <f>Raw_Transactions!D1444</f>
        <v/>
      </c>
      <c r="E1444" s="2">
        <f>Raw_Transactions!E1444</f>
        <v/>
      </c>
      <c r="F1444" s="2">
        <f>Raw_Transactions!F1444</f>
        <v/>
      </c>
      <c r="G1444" s="2">
        <f>Raw_Transactions!G1444</f>
        <v/>
      </c>
      <c r="H1444" s="2">
        <f>XLOOKUP(B1444,Raw_Risk_Profiles!$A:$A,Raw_Risk_Profiles!$B:$B,"Not Found")</f>
        <v/>
      </c>
      <c r="I1444" s="2">
        <f>XLOOKUP(B1444,Raw_Risk_Profiles!$A:$A,Raw_Risk_Profiles!$C:$C,"Missing")</f>
        <v/>
      </c>
      <c r="J1444" s="2">
        <f>XLOOKUP(B1444,Raw_Risk_Profiles!$A:$A,Raw_Risk_Profiles!$D:$D,"")</f>
        <v/>
      </c>
      <c r="K1444" s="2">
        <f>IFERROR(INDEX(Raw_Risk_Profiles!$E:$E,MATCH(B1444,Raw_Risk_Profiles!$A:$A,0)),"Unknown")</f>
        <v/>
      </c>
      <c r="L1444" s="2">
        <f>IFERROR(XLOOKUP(A1444,Raw_Alerts!$B:$B,Raw_Alerts!$A:$A),"No Alert")</f>
        <v/>
      </c>
      <c r="M1444" s="2">
        <f>IFERROR(XLOOKUP(A1444,Raw_Alerts!$B:$B,Raw_Alerts!$C:$C),"")</f>
        <v/>
      </c>
      <c r="N1444" s="2">
        <f>IFERROR(XLOOKUP(A1444,Raw_Alerts!$B:$B,Raw_Alerts!$D:$D),"")</f>
        <v/>
      </c>
      <c r="O1444" s="2">
        <f>IFERROR(XLOOKUP(A1444,Raw_Alerts!$B:$B,Raw_Alerts!$F:$F),"")</f>
        <v/>
      </c>
      <c r="P1444" s="2">
        <f>IF(H1444="Not Found","CRITICAL: No Risk Profile",IF(I1444="Missing","WARN: Missing KYC",IF(I1444="Expired","WARN: KYC Expired",IF(I1444="Pending","INFO: KYC Pending","OK"))))</f>
        <v/>
      </c>
    </row>
    <row r="1445">
      <c r="A1445" s="4">
        <f>Raw_Transactions!A1445</f>
        <v/>
      </c>
      <c r="B1445" s="4">
        <f>Raw_Transactions!B1445</f>
        <v/>
      </c>
      <c r="C1445" s="4">
        <f>Raw_Transactions!C1445</f>
        <v/>
      </c>
      <c r="D1445" s="5">
        <f>Raw_Transactions!D1445</f>
        <v/>
      </c>
      <c r="E1445" s="4">
        <f>Raw_Transactions!E1445</f>
        <v/>
      </c>
      <c r="F1445" s="4">
        <f>Raw_Transactions!F1445</f>
        <v/>
      </c>
      <c r="G1445" s="4">
        <f>Raw_Transactions!G1445</f>
        <v/>
      </c>
      <c r="H1445" s="4">
        <f>XLOOKUP(B1445,Raw_Risk_Profiles!$A:$A,Raw_Risk_Profiles!$B:$B,"Not Found")</f>
        <v/>
      </c>
      <c r="I1445" s="4">
        <f>XLOOKUP(B1445,Raw_Risk_Profiles!$A:$A,Raw_Risk_Profiles!$C:$C,"Missing")</f>
        <v/>
      </c>
      <c r="J1445" s="4">
        <f>XLOOKUP(B1445,Raw_Risk_Profiles!$A:$A,Raw_Risk_Profiles!$D:$D,"")</f>
        <v/>
      </c>
      <c r="K1445" s="4">
        <f>IFERROR(INDEX(Raw_Risk_Profiles!$E:$E,MATCH(B1445,Raw_Risk_Profiles!$A:$A,0)),"Unknown")</f>
        <v/>
      </c>
      <c r="L1445" s="4">
        <f>IFERROR(XLOOKUP(A1445,Raw_Alerts!$B:$B,Raw_Alerts!$A:$A),"No Alert")</f>
        <v/>
      </c>
      <c r="M1445" s="4">
        <f>IFERROR(XLOOKUP(A1445,Raw_Alerts!$B:$B,Raw_Alerts!$C:$C),"")</f>
        <v/>
      </c>
      <c r="N1445" s="4">
        <f>IFERROR(XLOOKUP(A1445,Raw_Alerts!$B:$B,Raw_Alerts!$D:$D),"")</f>
        <v/>
      </c>
      <c r="O1445" s="4">
        <f>IFERROR(XLOOKUP(A1445,Raw_Alerts!$B:$B,Raw_Alerts!$F:$F),"")</f>
        <v/>
      </c>
      <c r="P1445" s="4">
        <f>IF(H1445="Not Found","CRITICAL: No Risk Profile",IF(I1445="Missing","WARN: Missing KYC",IF(I1445="Expired","WARN: KYC Expired",IF(I1445="Pending","INFO: KYC Pending","OK"))))</f>
        <v/>
      </c>
    </row>
    <row r="1446">
      <c r="A1446" s="2">
        <f>Raw_Transactions!A1446</f>
        <v/>
      </c>
      <c r="B1446" s="2">
        <f>Raw_Transactions!B1446</f>
        <v/>
      </c>
      <c r="C1446" s="2">
        <f>Raw_Transactions!C1446</f>
        <v/>
      </c>
      <c r="D1446" s="3">
        <f>Raw_Transactions!D1446</f>
        <v/>
      </c>
      <c r="E1446" s="2">
        <f>Raw_Transactions!E1446</f>
        <v/>
      </c>
      <c r="F1446" s="2">
        <f>Raw_Transactions!F1446</f>
        <v/>
      </c>
      <c r="G1446" s="2">
        <f>Raw_Transactions!G1446</f>
        <v/>
      </c>
      <c r="H1446" s="2">
        <f>XLOOKUP(B1446,Raw_Risk_Profiles!$A:$A,Raw_Risk_Profiles!$B:$B,"Not Found")</f>
        <v/>
      </c>
      <c r="I1446" s="2">
        <f>XLOOKUP(B1446,Raw_Risk_Profiles!$A:$A,Raw_Risk_Profiles!$C:$C,"Missing")</f>
        <v/>
      </c>
      <c r="J1446" s="2">
        <f>XLOOKUP(B1446,Raw_Risk_Profiles!$A:$A,Raw_Risk_Profiles!$D:$D,"")</f>
        <v/>
      </c>
      <c r="K1446" s="2">
        <f>IFERROR(INDEX(Raw_Risk_Profiles!$E:$E,MATCH(B1446,Raw_Risk_Profiles!$A:$A,0)),"Unknown")</f>
        <v/>
      </c>
      <c r="L1446" s="2">
        <f>IFERROR(XLOOKUP(A1446,Raw_Alerts!$B:$B,Raw_Alerts!$A:$A),"No Alert")</f>
        <v/>
      </c>
      <c r="M1446" s="2">
        <f>IFERROR(XLOOKUP(A1446,Raw_Alerts!$B:$B,Raw_Alerts!$C:$C),"")</f>
        <v/>
      </c>
      <c r="N1446" s="2">
        <f>IFERROR(XLOOKUP(A1446,Raw_Alerts!$B:$B,Raw_Alerts!$D:$D),"")</f>
        <v/>
      </c>
      <c r="O1446" s="2">
        <f>IFERROR(XLOOKUP(A1446,Raw_Alerts!$B:$B,Raw_Alerts!$F:$F),"")</f>
        <v/>
      </c>
      <c r="P1446" s="2">
        <f>IF(H1446="Not Found","CRITICAL: No Risk Profile",IF(I1446="Missing","WARN: Missing KYC",IF(I1446="Expired","WARN: KYC Expired",IF(I1446="Pending","INFO: KYC Pending","OK"))))</f>
        <v/>
      </c>
    </row>
    <row r="1447">
      <c r="A1447" s="4">
        <f>Raw_Transactions!A1447</f>
        <v/>
      </c>
      <c r="B1447" s="4">
        <f>Raw_Transactions!B1447</f>
        <v/>
      </c>
      <c r="C1447" s="4">
        <f>Raw_Transactions!C1447</f>
        <v/>
      </c>
      <c r="D1447" s="5">
        <f>Raw_Transactions!D1447</f>
        <v/>
      </c>
      <c r="E1447" s="4">
        <f>Raw_Transactions!E1447</f>
        <v/>
      </c>
      <c r="F1447" s="4">
        <f>Raw_Transactions!F1447</f>
        <v/>
      </c>
      <c r="G1447" s="4">
        <f>Raw_Transactions!G1447</f>
        <v/>
      </c>
      <c r="H1447" s="4">
        <f>XLOOKUP(B1447,Raw_Risk_Profiles!$A:$A,Raw_Risk_Profiles!$B:$B,"Not Found")</f>
        <v/>
      </c>
      <c r="I1447" s="4">
        <f>XLOOKUP(B1447,Raw_Risk_Profiles!$A:$A,Raw_Risk_Profiles!$C:$C,"Missing")</f>
        <v/>
      </c>
      <c r="J1447" s="4">
        <f>XLOOKUP(B1447,Raw_Risk_Profiles!$A:$A,Raw_Risk_Profiles!$D:$D,"")</f>
        <v/>
      </c>
      <c r="K1447" s="4">
        <f>IFERROR(INDEX(Raw_Risk_Profiles!$E:$E,MATCH(B1447,Raw_Risk_Profiles!$A:$A,0)),"Unknown")</f>
        <v/>
      </c>
      <c r="L1447" s="4">
        <f>IFERROR(XLOOKUP(A1447,Raw_Alerts!$B:$B,Raw_Alerts!$A:$A),"No Alert")</f>
        <v/>
      </c>
      <c r="M1447" s="4">
        <f>IFERROR(XLOOKUP(A1447,Raw_Alerts!$B:$B,Raw_Alerts!$C:$C),"")</f>
        <v/>
      </c>
      <c r="N1447" s="4">
        <f>IFERROR(XLOOKUP(A1447,Raw_Alerts!$B:$B,Raw_Alerts!$D:$D),"")</f>
        <v/>
      </c>
      <c r="O1447" s="4">
        <f>IFERROR(XLOOKUP(A1447,Raw_Alerts!$B:$B,Raw_Alerts!$F:$F),"")</f>
        <v/>
      </c>
      <c r="P1447" s="4">
        <f>IF(H1447="Not Found","CRITICAL: No Risk Profile",IF(I1447="Missing","WARN: Missing KYC",IF(I1447="Expired","WARN: KYC Expired",IF(I1447="Pending","INFO: KYC Pending","OK"))))</f>
        <v/>
      </c>
    </row>
    <row r="1448">
      <c r="A1448" s="2">
        <f>Raw_Transactions!A1448</f>
        <v/>
      </c>
      <c r="B1448" s="2">
        <f>Raw_Transactions!B1448</f>
        <v/>
      </c>
      <c r="C1448" s="2">
        <f>Raw_Transactions!C1448</f>
        <v/>
      </c>
      <c r="D1448" s="3">
        <f>Raw_Transactions!D1448</f>
        <v/>
      </c>
      <c r="E1448" s="2">
        <f>Raw_Transactions!E1448</f>
        <v/>
      </c>
      <c r="F1448" s="2">
        <f>Raw_Transactions!F1448</f>
        <v/>
      </c>
      <c r="G1448" s="2">
        <f>Raw_Transactions!G1448</f>
        <v/>
      </c>
      <c r="H1448" s="2">
        <f>XLOOKUP(B1448,Raw_Risk_Profiles!$A:$A,Raw_Risk_Profiles!$B:$B,"Not Found")</f>
        <v/>
      </c>
      <c r="I1448" s="2">
        <f>XLOOKUP(B1448,Raw_Risk_Profiles!$A:$A,Raw_Risk_Profiles!$C:$C,"Missing")</f>
        <v/>
      </c>
      <c r="J1448" s="2">
        <f>XLOOKUP(B1448,Raw_Risk_Profiles!$A:$A,Raw_Risk_Profiles!$D:$D,"")</f>
        <v/>
      </c>
      <c r="K1448" s="2">
        <f>IFERROR(INDEX(Raw_Risk_Profiles!$E:$E,MATCH(B1448,Raw_Risk_Profiles!$A:$A,0)),"Unknown")</f>
        <v/>
      </c>
      <c r="L1448" s="2">
        <f>IFERROR(XLOOKUP(A1448,Raw_Alerts!$B:$B,Raw_Alerts!$A:$A),"No Alert")</f>
        <v/>
      </c>
      <c r="M1448" s="2">
        <f>IFERROR(XLOOKUP(A1448,Raw_Alerts!$B:$B,Raw_Alerts!$C:$C),"")</f>
        <v/>
      </c>
      <c r="N1448" s="2">
        <f>IFERROR(XLOOKUP(A1448,Raw_Alerts!$B:$B,Raw_Alerts!$D:$D),"")</f>
        <v/>
      </c>
      <c r="O1448" s="2">
        <f>IFERROR(XLOOKUP(A1448,Raw_Alerts!$B:$B,Raw_Alerts!$F:$F),"")</f>
        <v/>
      </c>
      <c r="P1448" s="2">
        <f>IF(H1448="Not Found","CRITICAL: No Risk Profile",IF(I1448="Missing","WARN: Missing KYC",IF(I1448="Expired","WARN: KYC Expired",IF(I1448="Pending","INFO: KYC Pending","OK"))))</f>
        <v/>
      </c>
    </row>
    <row r="1449">
      <c r="A1449" s="4">
        <f>Raw_Transactions!A1449</f>
        <v/>
      </c>
      <c r="B1449" s="4">
        <f>Raw_Transactions!B1449</f>
        <v/>
      </c>
      <c r="C1449" s="4">
        <f>Raw_Transactions!C1449</f>
        <v/>
      </c>
      <c r="D1449" s="5">
        <f>Raw_Transactions!D1449</f>
        <v/>
      </c>
      <c r="E1449" s="4">
        <f>Raw_Transactions!E1449</f>
        <v/>
      </c>
      <c r="F1449" s="4">
        <f>Raw_Transactions!F1449</f>
        <v/>
      </c>
      <c r="G1449" s="4">
        <f>Raw_Transactions!G1449</f>
        <v/>
      </c>
      <c r="H1449" s="4">
        <f>XLOOKUP(B1449,Raw_Risk_Profiles!$A:$A,Raw_Risk_Profiles!$B:$B,"Not Found")</f>
        <v/>
      </c>
      <c r="I1449" s="4">
        <f>XLOOKUP(B1449,Raw_Risk_Profiles!$A:$A,Raw_Risk_Profiles!$C:$C,"Missing")</f>
        <v/>
      </c>
      <c r="J1449" s="4">
        <f>XLOOKUP(B1449,Raw_Risk_Profiles!$A:$A,Raw_Risk_Profiles!$D:$D,"")</f>
        <v/>
      </c>
      <c r="K1449" s="4">
        <f>IFERROR(INDEX(Raw_Risk_Profiles!$E:$E,MATCH(B1449,Raw_Risk_Profiles!$A:$A,0)),"Unknown")</f>
        <v/>
      </c>
      <c r="L1449" s="4">
        <f>IFERROR(XLOOKUP(A1449,Raw_Alerts!$B:$B,Raw_Alerts!$A:$A),"No Alert")</f>
        <v/>
      </c>
      <c r="M1449" s="4">
        <f>IFERROR(XLOOKUP(A1449,Raw_Alerts!$B:$B,Raw_Alerts!$C:$C),"")</f>
        <v/>
      </c>
      <c r="N1449" s="4">
        <f>IFERROR(XLOOKUP(A1449,Raw_Alerts!$B:$B,Raw_Alerts!$D:$D),"")</f>
        <v/>
      </c>
      <c r="O1449" s="4">
        <f>IFERROR(XLOOKUP(A1449,Raw_Alerts!$B:$B,Raw_Alerts!$F:$F),"")</f>
        <v/>
      </c>
      <c r="P1449" s="4">
        <f>IF(H1449="Not Found","CRITICAL: No Risk Profile",IF(I1449="Missing","WARN: Missing KYC",IF(I1449="Expired","WARN: KYC Expired",IF(I1449="Pending","INFO: KYC Pending","OK"))))</f>
        <v/>
      </c>
    </row>
    <row r="1450">
      <c r="A1450" s="2">
        <f>Raw_Transactions!A1450</f>
        <v/>
      </c>
      <c r="B1450" s="2">
        <f>Raw_Transactions!B1450</f>
        <v/>
      </c>
      <c r="C1450" s="2">
        <f>Raw_Transactions!C1450</f>
        <v/>
      </c>
      <c r="D1450" s="3">
        <f>Raw_Transactions!D1450</f>
        <v/>
      </c>
      <c r="E1450" s="2">
        <f>Raw_Transactions!E1450</f>
        <v/>
      </c>
      <c r="F1450" s="2">
        <f>Raw_Transactions!F1450</f>
        <v/>
      </c>
      <c r="G1450" s="2">
        <f>Raw_Transactions!G1450</f>
        <v/>
      </c>
      <c r="H1450" s="2">
        <f>XLOOKUP(B1450,Raw_Risk_Profiles!$A:$A,Raw_Risk_Profiles!$B:$B,"Not Found")</f>
        <v/>
      </c>
      <c r="I1450" s="2">
        <f>XLOOKUP(B1450,Raw_Risk_Profiles!$A:$A,Raw_Risk_Profiles!$C:$C,"Missing")</f>
        <v/>
      </c>
      <c r="J1450" s="2">
        <f>XLOOKUP(B1450,Raw_Risk_Profiles!$A:$A,Raw_Risk_Profiles!$D:$D,"")</f>
        <v/>
      </c>
      <c r="K1450" s="2">
        <f>IFERROR(INDEX(Raw_Risk_Profiles!$E:$E,MATCH(B1450,Raw_Risk_Profiles!$A:$A,0)),"Unknown")</f>
        <v/>
      </c>
      <c r="L1450" s="2">
        <f>IFERROR(XLOOKUP(A1450,Raw_Alerts!$B:$B,Raw_Alerts!$A:$A),"No Alert")</f>
        <v/>
      </c>
      <c r="M1450" s="2">
        <f>IFERROR(XLOOKUP(A1450,Raw_Alerts!$B:$B,Raw_Alerts!$C:$C),"")</f>
        <v/>
      </c>
      <c r="N1450" s="2">
        <f>IFERROR(XLOOKUP(A1450,Raw_Alerts!$B:$B,Raw_Alerts!$D:$D),"")</f>
        <v/>
      </c>
      <c r="O1450" s="2">
        <f>IFERROR(XLOOKUP(A1450,Raw_Alerts!$B:$B,Raw_Alerts!$F:$F),"")</f>
        <v/>
      </c>
      <c r="P1450" s="2">
        <f>IF(H1450="Not Found","CRITICAL: No Risk Profile",IF(I1450="Missing","WARN: Missing KYC",IF(I1450="Expired","WARN: KYC Expired",IF(I1450="Pending","INFO: KYC Pending","OK"))))</f>
        <v/>
      </c>
    </row>
    <row r="1451">
      <c r="A1451" s="4">
        <f>Raw_Transactions!A1451</f>
        <v/>
      </c>
      <c r="B1451" s="4">
        <f>Raw_Transactions!B1451</f>
        <v/>
      </c>
      <c r="C1451" s="4">
        <f>Raw_Transactions!C1451</f>
        <v/>
      </c>
      <c r="D1451" s="5">
        <f>Raw_Transactions!D1451</f>
        <v/>
      </c>
      <c r="E1451" s="4">
        <f>Raw_Transactions!E1451</f>
        <v/>
      </c>
      <c r="F1451" s="4">
        <f>Raw_Transactions!F1451</f>
        <v/>
      </c>
      <c r="G1451" s="4">
        <f>Raw_Transactions!G1451</f>
        <v/>
      </c>
      <c r="H1451" s="4">
        <f>XLOOKUP(B1451,Raw_Risk_Profiles!$A:$A,Raw_Risk_Profiles!$B:$B,"Not Found")</f>
        <v/>
      </c>
      <c r="I1451" s="4">
        <f>XLOOKUP(B1451,Raw_Risk_Profiles!$A:$A,Raw_Risk_Profiles!$C:$C,"Missing")</f>
        <v/>
      </c>
      <c r="J1451" s="4">
        <f>XLOOKUP(B1451,Raw_Risk_Profiles!$A:$A,Raw_Risk_Profiles!$D:$D,"")</f>
        <v/>
      </c>
      <c r="K1451" s="4">
        <f>IFERROR(INDEX(Raw_Risk_Profiles!$E:$E,MATCH(B1451,Raw_Risk_Profiles!$A:$A,0)),"Unknown")</f>
        <v/>
      </c>
      <c r="L1451" s="4">
        <f>IFERROR(XLOOKUP(A1451,Raw_Alerts!$B:$B,Raw_Alerts!$A:$A),"No Alert")</f>
        <v/>
      </c>
      <c r="M1451" s="4">
        <f>IFERROR(XLOOKUP(A1451,Raw_Alerts!$B:$B,Raw_Alerts!$C:$C),"")</f>
        <v/>
      </c>
      <c r="N1451" s="4">
        <f>IFERROR(XLOOKUP(A1451,Raw_Alerts!$B:$B,Raw_Alerts!$D:$D),"")</f>
        <v/>
      </c>
      <c r="O1451" s="4">
        <f>IFERROR(XLOOKUP(A1451,Raw_Alerts!$B:$B,Raw_Alerts!$F:$F),"")</f>
        <v/>
      </c>
      <c r="P1451" s="4">
        <f>IF(H1451="Not Found","CRITICAL: No Risk Profile",IF(I1451="Missing","WARN: Missing KYC",IF(I1451="Expired","WARN: KYC Expired",IF(I1451="Pending","INFO: KYC Pending","OK"))))</f>
        <v/>
      </c>
    </row>
    <row r="1452">
      <c r="A1452" s="2">
        <f>Raw_Transactions!A1452</f>
        <v/>
      </c>
      <c r="B1452" s="2">
        <f>Raw_Transactions!B1452</f>
        <v/>
      </c>
      <c r="C1452" s="2">
        <f>Raw_Transactions!C1452</f>
        <v/>
      </c>
      <c r="D1452" s="3">
        <f>Raw_Transactions!D1452</f>
        <v/>
      </c>
      <c r="E1452" s="2">
        <f>Raw_Transactions!E1452</f>
        <v/>
      </c>
      <c r="F1452" s="2">
        <f>Raw_Transactions!F1452</f>
        <v/>
      </c>
      <c r="G1452" s="2">
        <f>Raw_Transactions!G1452</f>
        <v/>
      </c>
      <c r="H1452" s="2">
        <f>XLOOKUP(B1452,Raw_Risk_Profiles!$A:$A,Raw_Risk_Profiles!$B:$B,"Not Found")</f>
        <v/>
      </c>
      <c r="I1452" s="2">
        <f>XLOOKUP(B1452,Raw_Risk_Profiles!$A:$A,Raw_Risk_Profiles!$C:$C,"Missing")</f>
        <v/>
      </c>
      <c r="J1452" s="2">
        <f>XLOOKUP(B1452,Raw_Risk_Profiles!$A:$A,Raw_Risk_Profiles!$D:$D,"")</f>
        <v/>
      </c>
      <c r="K1452" s="2">
        <f>IFERROR(INDEX(Raw_Risk_Profiles!$E:$E,MATCH(B1452,Raw_Risk_Profiles!$A:$A,0)),"Unknown")</f>
        <v/>
      </c>
      <c r="L1452" s="2">
        <f>IFERROR(XLOOKUP(A1452,Raw_Alerts!$B:$B,Raw_Alerts!$A:$A),"No Alert")</f>
        <v/>
      </c>
      <c r="M1452" s="2">
        <f>IFERROR(XLOOKUP(A1452,Raw_Alerts!$B:$B,Raw_Alerts!$C:$C),"")</f>
        <v/>
      </c>
      <c r="N1452" s="2">
        <f>IFERROR(XLOOKUP(A1452,Raw_Alerts!$B:$B,Raw_Alerts!$D:$D),"")</f>
        <v/>
      </c>
      <c r="O1452" s="2">
        <f>IFERROR(XLOOKUP(A1452,Raw_Alerts!$B:$B,Raw_Alerts!$F:$F),"")</f>
        <v/>
      </c>
      <c r="P1452" s="2">
        <f>IF(H1452="Not Found","CRITICAL: No Risk Profile",IF(I1452="Missing","WARN: Missing KYC",IF(I1452="Expired","WARN: KYC Expired",IF(I1452="Pending","INFO: KYC Pending","OK"))))</f>
        <v/>
      </c>
    </row>
    <row r="1453">
      <c r="A1453" s="4">
        <f>Raw_Transactions!A1453</f>
        <v/>
      </c>
      <c r="B1453" s="4">
        <f>Raw_Transactions!B1453</f>
        <v/>
      </c>
      <c r="C1453" s="4">
        <f>Raw_Transactions!C1453</f>
        <v/>
      </c>
      <c r="D1453" s="5">
        <f>Raw_Transactions!D1453</f>
        <v/>
      </c>
      <c r="E1453" s="4">
        <f>Raw_Transactions!E1453</f>
        <v/>
      </c>
      <c r="F1453" s="4">
        <f>Raw_Transactions!F1453</f>
        <v/>
      </c>
      <c r="G1453" s="4">
        <f>Raw_Transactions!G1453</f>
        <v/>
      </c>
      <c r="H1453" s="4">
        <f>XLOOKUP(B1453,Raw_Risk_Profiles!$A:$A,Raw_Risk_Profiles!$B:$B,"Not Found")</f>
        <v/>
      </c>
      <c r="I1453" s="4">
        <f>XLOOKUP(B1453,Raw_Risk_Profiles!$A:$A,Raw_Risk_Profiles!$C:$C,"Missing")</f>
        <v/>
      </c>
      <c r="J1453" s="4">
        <f>XLOOKUP(B1453,Raw_Risk_Profiles!$A:$A,Raw_Risk_Profiles!$D:$D,"")</f>
        <v/>
      </c>
      <c r="K1453" s="4">
        <f>IFERROR(INDEX(Raw_Risk_Profiles!$E:$E,MATCH(B1453,Raw_Risk_Profiles!$A:$A,0)),"Unknown")</f>
        <v/>
      </c>
      <c r="L1453" s="4">
        <f>IFERROR(XLOOKUP(A1453,Raw_Alerts!$B:$B,Raw_Alerts!$A:$A),"No Alert")</f>
        <v/>
      </c>
      <c r="M1453" s="4">
        <f>IFERROR(XLOOKUP(A1453,Raw_Alerts!$B:$B,Raw_Alerts!$C:$C),"")</f>
        <v/>
      </c>
      <c r="N1453" s="4">
        <f>IFERROR(XLOOKUP(A1453,Raw_Alerts!$B:$B,Raw_Alerts!$D:$D),"")</f>
        <v/>
      </c>
      <c r="O1453" s="4">
        <f>IFERROR(XLOOKUP(A1453,Raw_Alerts!$B:$B,Raw_Alerts!$F:$F),"")</f>
        <v/>
      </c>
      <c r="P1453" s="4">
        <f>IF(H1453="Not Found","CRITICAL: No Risk Profile",IF(I1453="Missing","WARN: Missing KYC",IF(I1453="Expired","WARN: KYC Expired",IF(I1453="Pending","INFO: KYC Pending","OK"))))</f>
        <v/>
      </c>
    </row>
    <row r="1454">
      <c r="A1454" s="2">
        <f>Raw_Transactions!A1454</f>
        <v/>
      </c>
      <c r="B1454" s="2">
        <f>Raw_Transactions!B1454</f>
        <v/>
      </c>
      <c r="C1454" s="2">
        <f>Raw_Transactions!C1454</f>
        <v/>
      </c>
      <c r="D1454" s="3">
        <f>Raw_Transactions!D1454</f>
        <v/>
      </c>
      <c r="E1454" s="2">
        <f>Raw_Transactions!E1454</f>
        <v/>
      </c>
      <c r="F1454" s="2">
        <f>Raw_Transactions!F1454</f>
        <v/>
      </c>
      <c r="G1454" s="2">
        <f>Raw_Transactions!G1454</f>
        <v/>
      </c>
      <c r="H1454" s="2">
        <f>XLOOKUP(B1454,Raw_Risk_Profiles!$A:$A,Raw_Risk_Profiles!$B:$B,"Not Found")</f>
        <v/>
      </c>
      <c r="I1454" s="2">
        <f>XLOOKUP(B1454,Raw_Risk_Profiles!$A:$A,Raw_Risk_Profiles!$C:$C,"Missing")</f>
        <v/>
      </c>
      <c r="J1454" s="2">
        <f>XLOOKUP(B1454,Raw_Risk_Profiles!$A:$A,Raw_Risk_Profiles!$D:$D,"")</f>
        <v/>
      </c>
      <c r="K1454" s="2">
        <f>IFERROR(INDEX(Raw_Risk_Profiles!$E:$E,MATCH(B1454,Raw_Risk_Profiles!$A:$A,0)),"Unknown")</f>
        <v/>
      </c>
      <c r="L1454" s="2">
        <f>IFERROR(XLOOKUP(A1454,Raw_Alerts!$B:$B,Raw_Alerts!$A:$A),"No Alert")</f>
        <v/>
      </c>
      <c r="M1454" s="2">
        <f>IFERROR(XLOOKUP(A1454,Raw_Alerts!$B:$B,Raw_Alerts!$C:$C),"")</f>
        <v/>
      </c>
      <c r="N1454" s="2">
        <f>IFERROR(XLOOKUP(A1454,Raw_Alerts!$B:$B,Raw_Alerts!$D:$D),"")</f>
        <v/>
      </c>
      <c r="O1454" s="2">
        <f>IFERROR(XLOOKUP(A1454,Raw_Alerts!$B:$B,Raw_Alerts!$F:$F),"")</f>
        <v/>
      </c>
      <c r="P1454" s="2">
        <f>IF(H1454="Not Found","CRITICAL: No Risk Profile",IF(I1454="Missing","WARN: Missing KYC",IF(I1454="Expired","WARN: KYC Expired",IF(I1454="Pending","INFO: KYC Pending","OK"))))</f>
        <v/>
      </c>
    </row>
    <row r="1455">
      <c r="A1455" s="4">
        <f>Raw_Transactions!A1455</f>
        <v/>
      </c>
      <c r="B1455" s="4">
        <f>Raw_Transactions!B1455</f>
        <v/>
      </c>
      <c r="C1455" s="4">
        <f>Raw_Transactions!C1455</f>
        <v/>
      </c>
      <c r="D1455" s="5">
        <f>Raw_Transactions!D1455</f>
        <v/>
      </c>
      <c r="E1455" s="4">
        <f>Raw_Transactions!E1455</f>
        <v/>
      </c>
      <c r="F1455" s="4">
        <f>Raw_Transactions!F1455</f>
        <v/>
      </c>
      <c r="G1455" s="4">
        <f>Raw_Transactions!G1455</f>
        <v/>
      </c>
      <c r="H1455" s="4">
        <f>XLOOKUP(B1455,Raw_Risk_Profiles!$A:$A,Raw_Risk_Profiles!$B:$B,"Not Found")</f>
        <v/>
      </c>
      <c r="I1455" s="4">
        <f>XLOOKUP(B1455,Raw_Risk_Profiles!$A:$A,Raw_Risk_Profiles!$C:$C,"Missing")</f>
        <v/>
      </c>
      <c r="J1455" s="4">
        <f>XLOOKUP(B1455,Raw_Risk_Profiles!$A:$A,Raw_Risk_Profiles!$D:$D,"")</f>
        <v/>
      </c>
      <c r="K1455" s="4">
        <f>IFERROR(INDEX(Raw_Risk_Profiles!$E:$E,MATCH(B1455,Raw_Risk_Profiles!$A:$A,0)),"Unknown")</f>
        <v/>
      </c>
      <c r="L1455" s="4">
        <f>IFERROR(XLOOKUP(A1455,Raw_Alerts!$B:$B,Raw_Alerts!$A:$A),"No Alert")</f>
        <v/>
      </c>
      <c r="M1455" s="4">
        <f>IFERROR(XLOOKUP(A1455,Raw_Alerts!$B:$B,Raw_Alerts!$C:$C),"")</f>
        <v/>
      </c>
      <c r="N1455" s="4">
        <f>IFERROR(XLOOKUP(A1455,Raw_Alerts!$B:$B,Raw_Alerts!$D:$D),"")</f>
        <v/>
      </c>
      <c r="O1455" s="4">
        <f>IFERROR(XLOOKUP(A1455,Raw_Alerts!$B:$B,Raw_Alerts!$F:$F),"")</f>
        <v/>
      </c>
      <c r="P1455" s="4">
        <f>IF(H1455="Not Found","CRITICAL: No Risk Profile",IF(I1455="Missing","WARN: Missing KYC",IF(I1455="Expired","WARN: KYC Expired",IF(I1455="Pending","INFO: KYC Pending","OK"))))</f>
        <v/>
      </c>
    </row>
    <row r="1456">
      <c r="A1456" s="2">
        <f>Raw_Transactions!A1456</f>
        <v/>
      </c>
      <c r="B1456" s="2">
        <f>Raw_Transactions!B1456</f>
        <v/>
      </c>
      <c r="C1456" s="2">
        <f>Raw_Transactions!C1456</f>
        <v/>
      </c>
      <c r="D1456" s="3">
        <f>Raw_Transactions!D1456</f>
        <v/>
      </c>
      <c r="E1456" s="2">
        <f>Raw_Transactions!E1456</f>
        <v/>
      </c>
      <c r="F1456" s="2">
        <f>Raw_Transactions!F1456</f>
        <v/>
      </c>
      <c r="G1456" s="2">
        <f>Raw_Transactions!G1456</f>
        <v/>
      </c>
      <c r="H1456" s="2">
        <f>XLOOKUP(B1456,Raw_Risk_Profiles!$A:$A,Raw_Risk_Profiles!$B:$B,"Not Found")</f>
        <v/>
      </c>
      <c r="I1456" s="2">
        <f>XLOOKUP(B1456,Raw_Risk_Profiles!$A:$A,Raw_Risk_Profiles!$C:$C,"Missing")</f>
        <v/>
      </c>
      <c r="J1456" s="2">
        <f>XLOOKUP(B1456,Raw_Risk_Profiles!$A:$A,Raw_Risk_Profiles!$D:$D,"")</f>
        <v/>
      </c>
      <c r="K1456" s="2">
        <f>IFERROR(INDEX(Raw_Risk_Profiles!$E:$E,MATCH(B1456,Raw_Risk_Profiles!$A:$A,0)),"Unknown")</f>
        <v/>
      </c>
      <c r="L1456" s="2">
        <f>IFERROR(XLOOKUP(A1456,Raw_Alerts!$B:$B,Raw_Alerts!$A:$A),"No Alert")</f>
        <v/>
      </c>
      <c r="M1456" s="2">
        <f>IFERROR(XLOOKUP(A1456,Raw_Alerts!$B:$B,Raw_Alerts!$C:$C),"")</f>
        <v/>
      </c>
      <c r="N1456" s="2">
        <f>IFERROR(XLOOKUP(A1456,Raw_Alerts!$B:$B,Raw_Alerts!$D:$D),"")</f>
        <v/>
      </c>
      <c r="O1456" s="2">
        <f>IFERROR(XLOOKUP(A1456,Raw_Alerts!$B:$B,Raw_Alerts!$F:$F),"")</f>
        <v/>
      </c>
      <c r="P1456" s="2">
        <f>IF(H1456="Not Found","CRITICAL: No Risk Profile",IF(I1456="Missing","WARN: Missing KYC",IF(I1456="Expired","WARN: KYC Expired",IF(I1456="Pending","INFO: KYC Pending","OK"))))</f>
        <v/>
      </c>
    </row>
    <row r="1457">
      <c r="A1457" s="4">
        <f>Raw_Transactions!A1457</f>
        <v/>
      </c>
      <c r="B1457" s="4">
        <f>Raw_Transactions!B1457</f>
        <v/>
      </c>
      <c r="C1457" s="4">
        <f>Raw_Transactions!C1457</f>
        <v/>
      </c>
      <c r="D1457" s="5">
        <f>Raw_Transactions!D1457</f>
        <v/>
      </c>
      <c r="E1457" s="4">
        <f>Raw_Transactions!E1457</f>
        <v/>
      </c>
      <c r="F1457" s="4">
        <f>Raw_Transactions!F1457</f>
        <v/>
      </c>
      <c r="G1457" s="4">
        <f>Raw_Transactions!G1457</f>
        <v/>
      </c>
      <c r="H1457" s="4">
        <f>XLOOKUP(B1457,Raw_Risk_Profiles!$A:$A,Raw_Risk_Profiles!$B:$B,"Not Found")</f>
        <v/>
      </c>
      <c r="I1457" s="4">
        <f>XLOOKUP(B1457,Raw_Risk_Profiles!$A:$A,Raw_Risk_Profiles!$C:$C,"Missing")</f>
        <v/>
      </c>
      <c r="J1457" s="4">
        <f>XLOOKUP(B1457,Raw_Risk_Profiles!$A:$A,Raw_Risk_Profiles!$D:$D,"")</f>
        <v/>
      </c>
      <c r="K1457" s="4">
        <f>IFERROR(INDEX(Raw_Risk_Profiles!$E:$E,MATCH(B1457,Raw_Risk_Profiles!$A:$A,0)),"Unknown")</f>
        <v/>
      </c>
      <c r="L1457" s="4">
        <f>IFERROR(XLOOKUP(A1457,Raw_Alerts!$B:$B,Raw_Alerts!$A:$A),"No Alert")</f>
        <v/>
      </c>
      <c r="M1457" s="4">
        <f>IFERROR(XLOOKUP(A1457,Raw_Alerts!$B:$B,Raw_Alerts!$C:$C),"")</f>
        <v/>
      </c>
      <c r="N1457" s="4">
        <f>IFERROR(XLOOKUP(A1457,Raw_Alerts!$B:$B,Raw_Alerts!$D:$D),"")</f>
        <v/>
      </c>
      <c r="O1457" s="4">
        <f>IFERROR(XLOOKUP(A1457,Raw_Alerts!$B:$B,Raw_Alerts!$F:$F),"")</f>
        <v/>
      </c>
      <c r="P1457" s="4">
        <f>IF(H1457="Not Found","CRITICAL: No Risk Profile",IF(I1457="Missing","WARN: Missing KYC",IF(I1457="Expired","WARN: KYC Expired",IF(I1457="Pending","INFO: KYC Pending","OK"))))</f>
        <v/>
      </c>
    </row>
    <row r="1458">
      <c r="A1458" s="2">
        <f>Raw_Transactions!A1458</f>
        <v/>
      </c>
      <c r="B1458" s="2">
        <f>Raw_Transactions!B1458</f>
        <v/>
      </c>
      <c r="C1458" s="2">
        <f>Raw_Transactions!C1458</f>
        <v/>
      </c>
      <c r="D1458" s="3">
        <f>Raw_Transactions!D1458</f>
        <v/>
      </c>
      <c r="E1458" s="2">
        <f>Raw_Transactions!E1458</f>
        <v/>
      </c>
      <c r="F1458" s="2">
        <f>Raw_Transactions!F1458</f>
        <v/>
      </c>
      <c r="G1458" s="2">
        <f>Raw_Transactions!G1458</f>
        <v/>
      </c>
      <c r="H1458" s="2">
        <f>XLOOKUP(B1458,Raw_Risk_Profiles!$A:$A,Raw_Risk_Profiles!$B:$B,"Not Found")</f>
        <v/>
      </c>
      <c r="I1458" s="2">
        <f>XLOOKUP(B1458,Raw_Risk_Profiles!$A:$A,Raw_Risk_Profiles!$C:$C,"Missing")</f>
        <v/>
      </c>
      <c r="J1458" s="2">
        <f>XLOOKUP(B1458,Raw_Risk_Profiles!$A:$A,Raw_Risk_Profiles!$D:$D,"")</f>
        <v/>
      </c>
      <c r="K1458" s="2">
        <f>IFERROR(INDEX(Raw_Risk_Profiles!$E:$E,MATCH(B1458,Raw_Risk_Profiles!$A:$A,0)),"Unknown")</f>
        <v/>
      </c>
      <c r="L1458" s="2">
        <f>IFERROR(XLOOKUP(A1458,Raw_Alerts!$B:$B,Raw_Alerts!$A:$A),"No Alert")</f>
        <v/>
      </c>
      <c r="M1458" s="2">
        <f>IFERROR(XLOOKUP(A1458,Raw_Alerts!$B:$B,Raw_Alerts!$C:$C),"")</f>
        <v/>
      </c>
      <c r="N1458" s="2">
        <f>IFERROR(XLOOKUP(A1458,Raw_Alerts!$B:$B,Raw_Alerts!$D:$D),"")</f>
        <v/>
      </c>
      <c r="O1458" s="2">
        <f>IFERROR(XLOOKUP(A1458,Raw_Alerts!$B:$B,Raw_Alerts!$F:$F),"")</f>
        <v/>
      </c>
      <c r="P1458" s="2">
        <f>IF(H1458="Not Found","CRITICAL: No Risk Profile",IF(I1458="Missing","WARN: Missing KYC",IF(I1458="Expired","WARN: KYC Expired",IF(I1458="Pending","INFO: KYC Pending","OK"))))</f>
        <v/>
      </c>
    </row>
    <row r="1459">
      <c r="A1459" s="4">
        <f>Raw_Transactions!A1459</f>
        <v/>
      </c>
      <c r="B1459" s="4">
        <f>Raw_Transactions!B1459</f>
        <v/>
      </c>
      <c r="C1459" s="4">
        <f>Raw_Transactions!C1459</f>
        <v/>
      </c>
      <c r="D1459" s="5">
        <f>Raw_Transactions!D1459</f>
        <v/>
      </c>
      <c r="E1459" s="4">
        <f>Raw_Transactions!E1459</f>
        <v/>
      </c>
      <c r="F1459" s="4">
        <f>Raw_Transactions!F1459</f>
        <v/>
      </c>
      <c r="G1459" s="4">
        <f>Raw_Transactions!G1459</f>
        <v/>
      </c>
      <c r="H1459" s="4">
        <f>XLOOKUP(B1459,Raw_Risk_Profiles!$A:$A,Raw_Risk_Profiles!$B:$B,"Not Found")</f>
        <v/>
      </c>
      <c r="I1459" s="4">
        <f>XLOOKUP(B1459,Raw_Risk_Profiles!$A:$A,Raw_Risk_Profiles!$C:$C,"Missing")</f>
        <v/>
      </c>
      <c r="J1459" s="4">
        <f>XLOOKUP(B1459,Raw_Risk_Profiles!$A:$A,Raw_Risk_Profiles!$D:$D,"")</f>
        <v/>
      </c>
      <c r="K1459" s="4">
        <f>IFERROR(INDEX(Raw_Risk_Profiles!$E:$E,MATCH(B1459,Raw_Risk_Profiles!$A:$A,0)),"Unknown")</f>
        <v/>
      </c>
      <c r="L1459" s="4">
        <f>IFERROR(XLOOKUP(A1459,Raw_Alerts!$B:$B,Raw_Alerts!$A:$A),"No Alert")</f>
        <v/>
      </c>
      <c r="M1459" s="4">
        <f>IFERROR(XLOOKUP(A1459,Raw_Alerts!$B:$B,Raw_Alerts!$C:$C),"")</f>
        <v/>
      </c>
      <c r="N1459" s="4">
        <f>IFERROR(XLOOKUP(A1459,Raw_Alerts!$B:$B,Raw_Alerts!$D:$D),"")</f>
        <v/>
      </c>
      <c r="O1459" s="4">
        <f>IFERROR(XLOOKUP(A1459,Raw_Alerts!$B:$B,Raw_Alerts!$F:$F),"")</f>
        <v/>
      </c>
      <c r="P1459" s="4">
        <f>IF(H1459="Not Found","CRITICAL: No Risk Profile",IF(I1459="Missing","WARN: Missing KYC",IF(I1459="Expired","WARN: KYC Expired",IF(I1459="Pending","INFO: KYC Pending","OK"))))</f>
        <v/>
      </c>
    </row>
    <row r="1460">
      <c r="A1460" s="2">
        <f>Raw_Transactions!A1460</f>
        <v/>
      </c>
      <c r="B1460" s="2">
        <f>Raw_Transactions!B1460</f>
        <v/>
      </c>
      <c r="C1460" s="2">
        <f>Raw_Transactions!C1460</f>
        <v/>
      </c>
      <c r="D1460" s="3">
        <f>Raw_Transactions!D1460</f>
        <v/>
      </c>
      <c r="E1460" s="2">
        <f>Raw_Transactions!E1460</f>
        <v/>
      </c>
      <c r="F1460" s="2">
        <f>Raw_Transactions!F1460</f>
        <v/>
      </c>
      <c r="G1460" s="2">
        <f>Raw_Transactions!G1460</f>
        <v/>
      </c>
      <c r="H1460" s="2">
        <f>XLOOKUP(B1460,Raw_Risk_Profiles!$A:$A,Raw_Risk_Profiles!$B:$B,"Not Found")</f>
        <v/>
      </c>
      <c r="I1460" s="2">
        <f>XLOOKUP(B1460,Raw_Risk_Profiles!$A:$A,Raw_Risk_Profiles!$C:$C,"Missing")</f>
        <v/>
      </c>
      <c r="J1460" s="2">
        <f>XLOOKUP(B1460,Raw_Risk_Profiles!$A:$A,Raw_Risk_Profiles!$D:$D,"")</f>
        <v/>
      </c>
      <c r="K1460" s="2">
        <f>IFERROR(INDEX(Raw_Risk_Profiles!$E:$E,MATCH(B1460,Raw_Risk_Profiles!$A:$A,0)),"Unknown")</f>
        <v/>
      </c>
      <c r="L1460" s="2">
        <f>IFERROR(XLOOKUP(A1460,Raw_Alerts!$B:$B,Raw_Alerts!$A:$A),"No Alert")</f>
        <v/>
      </c>
      <c r="M1460" s="2">
        <f>IFERROR(XLOOKUP(A1460,Raw_Alerts!$B:$B,Raw_Alerts!$C:$C),"")</f>
        <v/>
      </c>
      <c r="N1460" s="2">
        <f>IFERROR(XLOOKUP(A1460,Raw_Alerts!$B:$B,Raw_Alerts!$D:$D),"")</f>
        <v/>
      </c>
      <c r="O1460" s="2">
        <f>IFERROR(XLOOKUP(A1460,Raw_Alerts!$B:$B,Raw_Alerts!$F:$F),"")</f>
        <v/>
      </c>
      <c r="P1460" s="2">
        <f>IF(H1460="Not Found","CRITICAL: No Risk Profile",IF(I1460="Missing","WARN: Missing KYC",IF(I1460="Expired","WARN: KYC Expired",IF(I1460="Pending","INFO: KYC Pending","OK"))))</f>
        <v/>
      </c>
    </row>
    <row r="1461">
      <c r="A1461" s="4">
        <f>Raw_Transactions!A1461</f>
        <v/>
      </c>
      <c r="B1461" s="4">
        <f>Raw_Transactions!B1461</f>
        <v/>
      </c>
      <c r="C1461" s="4">
        <f>Raw_Transactions!C1461</f>
        <v/>
      </c>
      <c r="D1461" s="5">
        <f>Raw_Transactions!D1461</f>
        <v/>
      </c>
      <c r="E1461" s="4">
        <f>Raw_Transactions!E1461</f>
        <v/>
      </c>
      <c r="F1461" s="4">
        <f>Raw_Transactions!F1461</f>
        <v/>
      </c>
      <c r="G1461" s="4">
        <f>Raw_Transactions!G1461</f>
        <v/>
      </c>
      <c r="H1461" s="4">
        <f>XLOOKUP(B1461,Raw_Risk_Profiles!$A:$A,Raw_Risk_Profiles!$B:$B,"Not Found")</f>
        <v/>
      </c>
      <c r="I1461" s="4">
        <f>XLOOKUP(B1461,Raw_Risk_Profiles!$A:$A,Raw_Risk_Profiles!$C:$C,"Missing")</f>
        <v/>
      </c>
      <c r="J1461" s="4">
        <f>XLOOKUP(B1461,Raw_Risk_Profiles!$A:$A,Raw_Risk_Profiles!$D:$D,"")</f>
        <v/>
      </c>
      <c r="K1461" s="4">
        <f>IFERROR(INDEX(Raw_Risk_Profiles!$E:$E,MATCH(B1461,Raw_Risk_Profiles!$A:$A,0)),"Unknown")</f>
        <v/>
      </c>
      <c r="L1461" s="4">
        <f>IFERROR(XLOOKUP(A1461,Raw_Alerts!$B:$B,Raw_Alerts!$A:$A),"No Alert")</f>
        <v/>
      </c>
      <c r="M1461" s="4">
        <f>IFERROR(XLOOKUP(A1461,Raw_Alerts!$B:$B,Raw_Alerts!$C:$C),"")</f>
        <v/>
      </c>
      <c r="N1461" s="4">
        <f>IFERROR(XLOOKUP(A1461,Raw_Alerts!$B:$B,Raw_Alerts!$D:$D),"")</f>
        <v/>
      </c>
      <c r="O1461" s="4">
        <f>IFERROR(XLOOKUP(A1461,Raw_Alerts!$B:$B,Raw_Alerts!$F:$F),"")</f>
        <v/>
      </c>
      <c r="P1461" s="4">
        <f>IF(H1461="Not Found","CRITICAL: No Risk Profile",IF(I1461="Missing","WARN: Missing KYC",IF(I1461="Expired","WARN: KYC Expired",IF(I1461="Pending","INFO: KYC Pending","OK"))))</f>
        <v/>
      </c>
    </row>
    <row r="1462">
      <c r="A1462" s="2">
        <f>Raw_Transactions!A1462</f>
        <v/>
      </c>
      <c r="B1462" s="2">
        <f>Raw_Transactions!B1462</f>
        <v/>
      </c>
      <c r="C1462" s="2">
        <f>Raw_Transactions!C1462</f>
        <v/>
      </c>
      <c r="D1462" s="3">
        <f>Raw_Transactions!D1462</f>
        <v/>
      </c>
      <c r="E1462" s="2">
        <f>Raw_Transactions!E1462</f>
        <v/>
      </c>
      <c r="F1462" s="2">
        <f>Raw_Transactions!F1462</f>
        <v/>
      </c>
      <c r="G1462" s="2">
        <f>Raw_Transactions!G1462</f>
        <v/>
      </c>
      <c r="H1462" s="2">
        <f>XLOOKUP(B1462,Raw_Risk_Profiles!$A:$A,Raw_Risk_Profiles!$B:$B,"Not Found")</f>
        <v/>
      </c>
      <c r="I1462" s="2">
        <f>XLOOKUP(B1462,Raw_Risk_Profiles!$A:$A,Raw_Risk_Profiles!$C:$C,"Missing")</f>
        <v/>
      </c>
      <c r="J1462" s="2">
        <f>XLOOKUP(B1462,Raw_Risk_Profiles!$A:$A,Raw_Risk_Profiles!$D:$D,"")</f>
        <v/>
      </c>
      <c r="K1462" s="2">
        <f>IFERROR(INDEX(Raw_Risk_Profiles!$E:$E,MATCH(B1462,Raw_Risk_Profiles!$A:$A,0)),"Unknown")</f>
        <v/>
      </c>
      <c r="L1462" s="2">
        <f>IFERROR(XLOOKUP(A1462,Raw_Alerts!$B:$B,Raw_Alerts!$A:$A),"No Alert")</f>
        <v/>
      </c>
      <c r="M1462" s="2">
        <f>IFERROR(XLOOKUP(A1462,Raw_Alerts!$B:$B,Raw_Alerts!$C:$C),"")</f>
        <v/>
      </c>
      <c r="N1462" s="2">
        <f>IFERROR(XLOOKUP(A1462,Raw_Alerts!$B:$B,Raw_Alerts!$D:$D),"")</f>
        <v/>
      </c>
      <c r="O1462" s="2">
        <f>IFERROR(XLOOKUP(A1462,Raw_Alerts!$B:$B,Raw_Alerts!$F:$F),"")</f>
        <v/>
      </c>
      <c r="P1462" s="2">
        <f>IF(H1462="Not Found","CRITICAL: No Risk Profile",IF(I1462="Missing","WARN: Missing KYC",IF(I1462="Expired","WARN: KYC Expired",IF(I1462="Pending","INFO: KYC Pending","OK"))))</f>
        <v/>
      </c>
    </row>
    <row r="1463">
      <c r="A1463" s="4">
        <f>Raw_Transactions!A1463</f>
        <v/>
      </c>
      <c r="B1463" s="4">
        <f>Raw_Transactions!B1463</f>
        <v/>
      </c>
      <c r="C1463" s="4">
        <f>Raw_Transactions!C1463</f>
        <v/>
      </c>
      <c r="D1463" s="5">
        <f>Raw_Transactions!D1463</f>
        <v/>
      </c>
      <c r="E1463" s="4">
        <f>Raw_Transactions!E1463</f>
        <v/>
      </c>
      <c r="F1463" s="4">
        <f>Raw_Transactions!F1463</f>
        <v/>
      </c>
      <c r="G1463" s="4">
        <f>Raw_Transactions!G1463</f>
        <v/>
      </c>
      <c r="H1463" s="4">
        <f>XLOOKUP(B1463,Raw_Risk_Profiles!$A:$A,Raw_Risk_Profiles!$B:$B,"Not Found")</f>
        <v/>
      </c>
      <c r="I1463" s="4">
        <f>XLOOKUP(B1463,Raw_Risk_Profiles!$A:$A,Raw_Risk_Profiles!$C:$C,"Missing")</f>
        <v/>
      </c>
      <c r="J1463" s="4">
        <f>XLOOKUP(B1463,Raw_Risk_Profiles!$A:$A,Raw_Risk_Profiles!$D:$D,"")</f>
        <v/>
      </c>
      <c r="K1463" s="4">
        <f>IFERROR(INDEX(Raw_Risk_Profiles!$E:$E,MATCH(B1463,Raw_Risk_Profiles!$A:$A,0)),"Unknown")</f>
        <v/>
      </c>
      <c r="L1463" s="4">
        <f>IFERROR(XLOOKUP(A1463,Raw_Alerts!$B:$B,Raw_Alerts!$A:$A),"No Alert")</f>
        <v/>
      </c>
      <c r="M1463" s="4">
        <f>IFERROR(XLOOKUP(A1463,Raw_Alerts!$B:$B,Raw_Alerts!$C:$C),"")</f>
        <v/>
      </c>
      <c r="N1463" s="4">
        <f>IFERROR(XLOOKUP(A1463,Raw_Alerts!$B:$B,Raw_Alerts!$D:$D),"")</f>
        <v/>
      </c>
      <c r="O1463" s="4">
        <f>IFERROR(XLOOKUP(A1463,Raw_Alerts!$B:$B,Raw_Alerts!$F:$F),"")</f>
        <v/>
      </c>
      <c r="P1463" s="4">
        <f>IF(H1463="Not Found","CRITICAL: No Risk Profile",IF(I1463="Missing","WARN: Missing KYC",IF(I1463="Expired","WARN: KYC Expired",IF(I1463="Pending","INFO: KYC Pending","OK"))))</f>
        <v/>
      </c>
    </row>
    <row r="1464">
      <c r="A1464" s="2">
        <f>Raw_Transactions!A1464</f>
        <v/>
      </c>
      <c r="B1464" s="2">
        <f>Raw_Transactions!B1464</f>
        <v/>
      </c>
      <c r="C1464" s="2">
        <f>Raw_Transactions!C1464</f>
        <v/>
      </c>
      <c r="D1464" s="3">
        <f>Raw_Transactions!D1464</f>
        <v/>
      </c>
      <c r="E1464" s="2">
        <f>Raw_Transactions!E1464</f>
        <v/>
      </c>
      <c r="F1464" s="2">
        <f>Raw_Transactions!F1464</f>
        <v/>
      </c>
      <c r="G1464" s="2">
        <f>Raw_Transactions!G1464</f>
        <v/>
      </c>
      <c r="H1464" s="2">
        <f>XLOOKUP(B1464,Raw_Risk_Profiles!$A:$A,Raw_Risk_Profiles!$B:$B,"Not Found")</f>
        <v/>
      </c>
      <c r="I1464" s="2">
        <f>XLOOKUP(B1464,Raw_Risk_Profiles!$A:$A,Raw_Risk_Profiles!$C:$C,"Missing")</f>
        <v/>
      </c>
      <c r="J1464" s="2">
        <f>XLOOKUP(B1464,Raw_Risk_Profiles!$A:$A,Raw_Risk_Profiles!$D:$D,"")</f>
        <v/>
      </c>
      <c r="K1464" s="2">
        <f>IFERROR(INDEX(Raw_Risk_Profiles!$E:$E,MATCH(B1464,Raw_Risk_Profiles!$A:$A,0)),"Unknown")</f>
        <v/>
      </c>
      <c r="L1464" s="2">
        <f>IFERROR(XLOOKUP(A1464,Raw_Alerts!$B:$B,Raw_Alerts!$A:$A),"No Alert")</f>
        <v/>
      </c>
      <c r="M1464" s="2">
        <f>IFERROR(XLOOKUP(A1464,Raw_Alerts!$B:$B,Raw_Alerts!$C:$C),"")</f>
        <v/>
      </c>
      <c r="N1464" s="2">
        <f>IFERROR(XLOOKUP(A1464,Raw_Alerts!$B:$B,Raw_Alerts!$D:$D),"")</f>
        <v/>
      </c>
      <c r="O1464" s="2">
        <f>IFERROR(XLOOKUP(A1464,Raw_Alerts!$B:$B,Raw_Alerts!$F:$F),"")</f>
        <v/>
      </c>
      <c r="P1464" s="2">
        <f>IF(H1464="Not Found","CRITICAL: No Risk Profile",IF(I1464="Missing","WARN: Missing KYC",IF(I1464="Expired","WARN: KYC Expired",IF(I1464="Pending","INFO: KYC Pending","OK"))))</f>
        <v/>
      </c>
    </row>
    <row r="1465">
      <c r="A1465" s="4">
        <f>Raw_Transactions!A1465</f>
        <v/>
      </c>
      <c r="B1465" s="4">
        <f>Raw_Transactions!B1465</f>
        <v/>
      </c>
      <c r="C1465" s="4">
        <f>Raw_Transactions!C1465</f>
        <v/>
      </c>
      <c r="D1465" s="5">
        <f>Raw_Transactions!D1465</f>
        <v/>
      </c>
      <c r="E1465" s="4">
        <f>Raw_Transactions!E1465</f>
        <v/>
      </c>
      <c r="F1465" s="4">
        <f>Raw_Transactions!F1465</f>
        <v/>
      </c>
      <c r="G1465" s="4">
        <f>Raw_Transactions!G1465</f>
        <v/>
      </c>
      <c r="H1465" s="4">
        <f>XLOOKUP(B1465,Raw_Risk_Profiles!$A:$A,Raw_Risk_Profiles!$B:$B,"Not Found")</f>
        <v/>
      </c>
      <c r="I1465" s="4">
        <f>XLOOKUP(B1465,Raw_Risk_Profiles!$A:$A,Raw_Risk_Profiles!$C:$C,"Missing")</f>
        <v/>
      </c>
      <c r="J1465" s="4">
        <f>XLOOKUP(B1465,Raw_Risk_Profiles!$A:$A,Raw_Risk_Profiles!$D:$D,"")</f>
        <v/>
      </c>
      <c r="K1465" s="4">
        <f>IFERROR(INDEX(Raw_Risk_Profiles!$E:$E,MATCH(B1465,Raw_Risk_Profiles!$A:$A,0)),"Unknown")</f>
        <v/>
      </c>
      <c r="L1465" s="4">
        <f>IFERROR(XLOOKUP(A1465,Raw_Alerts!$B:$B,Raw_Alerts!$A:$A),"No Alert")</f>
        <v/>
      </c>
      <c r="M1465" s="4">
        <f>IFERROR(XLOOKUP(A1465,Raw_Alerts!$B:$B,Raw_Alerts!$C:$C),"")</f>
        <v/>
      </c>
      <c r="N1465" s="4">
        <f>IFERROR(XLOOKUP(A1465,Raw_Alerts!$B:$B,Raw_Alerts!$D:$D),"")</f>
        <v/>
      </c>
      <c r="O1465" s="4">
        <f>IFERROR(XLOOKUP(A1465,Raw_Alerts!$B:$B,Raw_Alerts!$F:$F),"")</f>
        <v/>
      </c>
      <c r="P1465" s="4">
        <f>IF(H1465="Not Found","CRITICAL: No Risk Profile",IF(I1465="Missing","WARN: Missing KYC",IF(I1465="Expired","WARN: KYC Expired",IF(I1465="Pending","INFO: KYC Pending","OK"))))</f>
        <v/>
      </c>
    </row>
    <row r="1466">
      <c r="A1466" s="2">
        <f>Raw_Transactions!A1466</f>
        <v/>
      </c>
      <c r="B1466" s="2">
        <f>Raw_Transactions!B1466</f>
        <v/>
      </c>
      <c r="C1466" s="2">
        <f>Raw_Transactions!C1466</f>
        <v/>
      </c>
      <c r="D1466" s="3">
        <f>Raw_Transactions!D1466</f>
        <v/>
      </c>
      <c r="E1466" s="2">
        <f>Raw_Transactions!E1466</f>
        <v/>
      </c>
      <c r="F1466" s="2">
        <f>Raw_Transactions!F1466</f>
        <v/>
      </c>
      <c r="G1466" s="2">
        <f>Raw_Transactions!G1466</f>
        <v/>
      </c>
      <c r="H1466" s="2">
        <f>XLOOKUP(B1466,Raw_Risk_Profiles!$A:$A,Raw_Risk_Profiles!$B:$B,"Not Found")</f>
        <v/>
      </c>
      <c r="I1466" s="2">
        <f>XLOOKUP(B1466,Raw_Risk_Profiles!$A:$A,Raw_Risk_Profiles!$C:$C,"Missing")</f>
        <v/>
      </c>
      <c r="J1466" s="2">
        <f>XLOOKUP(B1466,Raw_Risk_Profiles!$A:$A,Raw_Risk_Profiles!$D:$D,"")</f>
        <v/>
      </c>
      <c r="K1466" s="2">
        <f>IFERROR(INDEX(Raw_Risk_Profiles!$E:$E,MATCH(B1466,Raw_Risk_Profiles!$A:$A,0)),"Unknown")</f>
        <v/>
      </c>
      <c r="L1466" s="2">
        <f>IFERROR(XLOOKUP(A1466,Raw_Alerts!$B:$B,Raw_Alerts!$A:$A),"No Alert")</f>
        <v/>
      </c>
      <c r="M1466" s="2">
        <f>IFERROR(XLOOKUP(A1466,Raw_Alerts!$B:$B,Raw_Alerts!$C:$C),"")</f>
        <v/>
      </c>
      <c r="N1466" s="2">
        <f>IFERROR(XLOOKUP(A1466,Raw_Alerts!$B:$B,Raw_Alerts!$D:$D),"")</f>
        <v/>
      </c>
      <c r="O1466" s="2">
        <f>IFERROR(XLOOKUP(A1466,Raw_Alerts!$B:$B,Raw_Alerts!$F:$F),"")</f>
        <v/>
      </c>
      <c r="P1466" s="2">
        <f>IF(H1466="Not Found","CRITICAL: No Risk Profile",IF(I1466="Missing","WARN: Missing KYC",IF(I1466="Expired","WARN: KYC Expired",IF(I1466="Pending","INFO: KYC Pending","OK"))))</f>
        <v/>
      </c>
    </row>
    <row r="1467">
      <c r="A1467" s="4">
        <f>Raw_Transactions!A1467</f>
        <v/>
      </c>
      <c r="B1467" s="4">
        <f>Raw_Transactions!B1467</f>
        <v/>
      </c>
      <c r="C1467" s="4">
        <f>Raw_Transactions!C1467</f>
        <v/>
      </c>
      <c r="D1467" s="5">
        <f>Raw_Transactions!D1467</f>
        <v/>
      </c>
      <c r="E1467" s="4">
        <f>Raw_Transactions!E1467</f>
        <v/>
      </c>
      <c r="F1467" s="4">
        <f>Raw_Transactions!F1467</f>
        <v/>
      </c>
      <c r="G1467" s="4">
        <f>Raw_Transactions!G1467</f>
        <v/>
      </c>
      <c r="H1467" s="4">
        <f>XLOOKUP(B1467,Raw_Risk_Profiles!$A:$A,Raw_Risk_Profiles!$B:$B,"Not Found")</f>
        <v/>
      </c>
      <c r="I1467" s="4">
        <f>XLOOKUP(B1467,Raw_Risk_Profiles!$A:$A,Raw_Risk_Profiles!$C:$C,"Missing")</f>
        <v/>
      </c>
      <c r="J1467" s="4">
        <f>XLOOKUP(B1467,Raw_Risk_Profiles!$A:$A,Raw_Risk_Profiles!$D:$D,"")</f>
        <v/>
      </c>
      <c r="K1467" s="4">
        <f>IFERROR(INDEX(Raw_Risk_Profiles!$E:$E,MATCH(B1467,Raw_Risk_Profiles!$A:$A,0)),"Unknown")</f>
        <v/>
      </c>
      <c r="L1467" s="4">
        <f>IFERROR(XLOOKUP(A1467,Raw_Alerts!$B:$B,Raw_Alerts!$A:$A),"No Alert")</f>
        <v/>
      </c>
      <c r="M1467" s="4">
        <f>IFERROR(XLOOKUP(A1467,Raw_Alerts!$B:$B,Raw_Alerts!$C:$C),"")</f>
        <v/>
      </c>
      <c r="N1467" s="4">
        <f>IFERROR(XLOOKUP(A1467,Raw_Alerts!$B:$B,Raw_Alerts!$D:$D),"")</f>
        <v/>
      </c>
      <c r="O1467" s="4">
        <f>IFERROR(XLOOKUP(A1467,Raw_Alerts!$B:$B,Raw_Alerts!$F:$F),"")</f>
        <v/>
      </c>
      <c r="P1467" s="4">
        <f>IF(H1467="Not Found","CRITICAL: No Risk Profile",IF(I1467="Missing","WARN: Missing KYC",IF(I1467="Expired","WARN: KYC Expired",IF(I1467="Pending","INFO: KYC Pending","OK"))))</f>
        <v/>
      </c>
    </row>
    <row r="1468">
      <c r="A1468" s="2">
        <f>Raw_Transactions!A1468</f>
        <v/>
      </c>
      <c r="B1468" s="2">
        <f>Raw_Transactions!B1468</f>
        <v/>
      </c>
      <c r="C1468" s="2">
        <f>Raw_Transactions!C1468</f>
        <v/>
      </c>
      <c r="D1468" s="3">
        <f>Raw_Transactions!D1468</f>
        <v/>
      </c>
      <c r="E1468" s="2">
        <f>Raw_Transactions!E1468</f>
        <v/>
      </c>
      <c r="F1468" s="2">
        <f>Raw_Transactions!F1468</f>
        <v/>
      </c>
      <c r="G1468" s="2">
        <f>Raw_Transactions!G1468</f>
        <v/>
      </c>
      <c r="H1468" s="2">
        <f>XLOOKUP(B1468,Raw_Risk_Profiles!$A:$A,Raw_Risk_Profiles!$B:$B,"Not Found")</f>
        <v/>
      </c>
      <c r="I1468" s="2">
        <f>XLOOKUP(B1468,Raw_Risk_Profiles!$A:$A,Raw_Risk_Profiles!$C:$C,"Missing")</f>
        <v/>
      </c>
      <c r="J1468" s="2">
        <f>XLOOKUP(B1468,Raw_Risk_Profiles!$A:$A,Raw_Risk_Profiles!$D:$D,"")</f>
        <v/>
      </c>
      <c r="K1468" s="2">
        <f>IFERROR(INDEX(Raw_Risk_Profiles!$E:$E,MATCH(B1468,Raw_Risk_Profiles!$A:$A,0)),"Unknown")</f>
        <v/>
      </c>
      <c r="L1468" s="2">
        <f>IFERROR(XLOOKUP(A1468,Raw_Alerts!$B:$B,Raw_Alerts!$A:$A),"No Alert")</f>
        <v/>
      </c>
      <c r="M1468" s="2">
        <f>IFERROR(XLOOKUP(A1468,Raw_Alerts!$B:$B,Raw_Alerts!$C:$C),"")</f>
        <v/>
      </c>
      <c r="N1468" s="2">
        <f>IFERROR(XLOOKUP(A1468,Raw_Alerts!$B:$B,Raw_Alerts!$D:$D),"")</f>
        <v/>
      </c>
      <c r="O1468" s="2">
        <f>IFERROR(XLOOKUP(A1468,Raw_Alerts!$B:$B,Raw_Alerts!$F:$F),"")</f>
        <v/>
      </c>
      <c r="P1468" s="2">
        <f>IF(H1468="Not Found","CRITICAL: No Risk Profile",IF(I1468="Missing","WARN: Missing KYC",IF(I1468="Expired","WARN: KYC Expired",IF(I1468="Pending","INFO: KYC Pending","OK"))))</f>
        <v/>
      </c>
    </row>
    <row r="1469">
      <c r="A1469" s="4">
        <f>Raw_Transactions!A1469</f>
        <v/>
      </c>
      <c r="B1469" s="4">
        <f>Raw_Transactions!B1469</f>
        <v/>
      </c>
      <c r="C1469" s="4">
        <f>Raw_Transactions!C1469</f>
        <v/>
      </c>
      <c r="D1469" s="5">
        <f>Raw_Transactions!D1469</f>
        <v/>
      </c>
      <c r="E1469" s="4">
        <f>Raw_Transactions!E1469</f>
        <v/>
      </c>
      <c r="F1469" s="4">
        <f>Raw_Transactions!F1469</f>
        <v/>
      </c>
      <c r="G1469" s="4">
        <f>Raw_Transactions!G1469</f>
        <v/>
      </c>
      <c r="H1469" s="4">
        <f>XLOOKUP(B1469,Raw_Risk_Profiles!$A:$A,Raw_Risk_Profiles!$B:$B,"Not Found")</f>
        <v/>
      </c>
      <c r="I1469" s="4">
        <f>XLOOKUP(B1469,Raw_Risk_Profiles!$A:$A,Raw_Risk_Profiles!$C:$C,"Missing")</f>
        <v/>
      </c>
      <c r="J1469" s="4">
        <f>XLOOKUP(B1469,Raw_Risk_Profiles!$A:$A,Raw_Risk_Profiles!$D:$D,"")</f>
        <v/>
      </c>
      <c r="K1469" s="4">
        <f>IFERROR(INDEX(Raw_Risk_Profiles!$E:$E,MATCH(B1469,Raw_Risk_Profiles!$A:$A,0)),"Unknown")</f>
        <v/>
      </c>
      <c r="L1469" s="4">
        <f>IFERROR(XLOOKUP(A1469,Raw_Alerts!$B:$B,Raw_Alerts!$A:$A),"No Alert")</f>
        <v/>
      </c>
      <c r="M1469" s="4">
        <f>IFERROR(XLOOKUP(A1469,Raw_Alerts!$B:$B,Raw_Alerts!$C:$C),"")</f>
        <v/>
      </c>
      <c r="N1469" s="4">
        <f>IFERROR(XLOOKUP(A1469,Raw_Alerts!$B:$B,Raw_Alerts!$D:$D),"")</f>
        <v/>
      </c>
      <c r="O1469" s="4">
        <f>IFERROR(XLOOKUP(A1469,Raw_Alerts!$B:$B,Raw_Alerts!$F:$F),"")</f>
        <v/>
      </c>
      <c r="P1469" s="4">
        <f>IF(H1469="Not Found","CRITICAL: No Risk Profile",IF(I1469="Missing","WARN: Missing KYC",IF(I1469="Expired","WARN: KYC Expired",IF(I1469="Pending","INFO: KYC Pending","OK"))))</f>
        <v/>
      </c>
    </row>
    <row r="1470">
      <c r="A1470" s="2">
        <f>Raw_Transactions!A1470</f>
        <v/>
      </c>
      <c r="B1470" s="2">
        <f>Raw_Transactions!B1470</f>
        <v/>
      </c>
      <c r="C1470" s="2">
        <f>Raw_Transactions!C1470</f>
        <v/>
      </c>
      <c r="D1470" s="3">
        <f>Raw_Transactions!D1470</f>
        <v/>
      </c>
      <c r="E1470" s="2">
        <f>Raw_Transactions!E1470</f>
        <v/>
      </c>
      <c r="F1470" s="2">
        <f>Raw_Transactions!F1470</f>
        <v/>
      </c>
      <c r="G1470" s="2">
        <f>Raw_Transactions!G1470</f>
        <v/>
      </c>
      <c r="H1470" s="2">
        <f>XLOOKUP(B1470,Raw_Risk_Profiles!$A:$A,Raw_Risk_Profiles!$B:$B,"Not Found")</f>
        <v/>
      </c>
      <c r="I1470" s="2">
        <f>XLOOKUP(B1470,Raw_Risk_Profiles!$A:$A,Raw_Risk_Profiles!$C:$C,"Missing")</f>
        <v/>
      </c>
      <c r="J1470" s="2">
        <f>XLOOKUP(B1470,Raw_Risk_Profiles!$A:$A,Raw_Risk_Profiles!$D:$D,"")</f>
        <v/>
      </c>
      <c r="K1470" s="2">
        <f>IFERROR(INDEX(Raw_Risk_Profiles!$E:$E,MATCH(B1470,Raw_Risk_Profiles!$A:$A,0)),"Unknown")</f>
        <v/>
      </c>
      <c r="L1470" s="2">
        <f>IFERROR(XLOOKUP(A1470,Raw_Alerts!$B:$B,Raw_Alerts!$A:$A),"No Alert")</f>
        <v/>
      </c>
      <c r="M1470" s="2">
        <f>IFERROR(XLOOKUP(A1470,Raw_Alerts!$B:$B,Raw_Alerts!$C:$C),"")</f>
        <v/>
      </c>
      <c r="N1470" s="2">
        <f>IFERROR(XLOOKUP(A1470,Raw_Alerts!$B:$B,Raw_Alerts!$D:$D),"")</f>
        <v/>
      </c>
      <c r="O1470" s="2">
        <f>IFERROR(XLOOKUP(A1470,Raw_Alerts!$B:$B,Raw_Alerts!$F:$F),"")</f>
        <v/>
      </c>
      <c r="P1470" s="2">
        <f>IF(H1470="Not Found","CRITICAL: No Risk Profile",IF(I1470="Missing","WARN: Missing KYC",IF(I1470="Expired","WARN: KYC Expired",IF(I1470="Pending","INFO: KYC Pending","OK"))))</f>
        <v/>
      </c>
    </row>
    <row r="1471">
      <c r="A1471" s="4">
        <f>Raw_Transactions!A1471</f>
        <v/>
      </c>
      <c r="B1471" s="4">
        <f>Raw_Transactions!B1471</f>
        <v/>
      </c>
      <c r="C1471" s="4">
        <f>Raw_Transactions!C1471</f>
        <v/>
      </c>
      <c r="D1471" s="5">
        <f>Raw_Transactions!D1471</f>
        <v/>
      </c>
      <c r="E1471" s="4">
        <f>Raw_Transactions!E1471</f>
        <v/>
      </c>
      <c r="F1471" s="4">
        <f>Raw_Transactions!F1471</f>
        <v/>
      </c>
      <c r="G1471" s="4">
        <f>Raw_Transactions!G1471</f>
        <v/>
      </c>
      <c r="H1471" s="4">
        <f>XLOOKUP(B1471,Raw_Risk_Profiles!$A:$A,Raw_Risk_Profiles!$B:$B,"Not Found")</f>
        <v/>
      </c>
      <c r="I1471" s="4">
        <f>XLOOKUP(B1471,Raw_Risk_Profiles!$A:$A,Raw_Risk_Profiles!$C:$C,"Missing")</f>
        <v/>
      </c>
      <c r="J1471" s="4">
        <f>XLOOKUP(B1471,Raw_Risk_Profiles!$A:$A,Raw_Risk_Profiles!$D:$D,"")</f>
        <v/>
      </c>
      <c r="K1471" s="4">
        <f>IFERROR(INDEX(Raw_Risk_Profiles!$E:$E,MATCH(B1471,Raw_Risk_Profiles!$A:$A,0)),"Unknown")</f>
        <v/>
      </c>
      <c r="L1471" s="4">
        <f>IFERROR(XLOOKUP(A1471,Raw_Alerts!$B:$B,Raw_Alerts!$A:$A),"No Alert")</f>
        <v/>
      </c>
      <c r="M1471" s="4">
        <f>IFERROR(XLOOKUP(A1471,Raw_Alerts!$B:$B,Raw_Alerts!$C:$C),"")</f>
        <v/>
      </c>
      <c r="N1471" s="4">
        <f>IFERROR(XLOOKUP(A1471,Raw_Alerts!$B:$B,Raw_Alerts!$D:$D),"")</f>
        <v/>
      </c>
      <c r="O1471" s="4">
        <f>IFERROR(XLOOKUP(A1471,Raw_Alerts!$B:$B,Raw_Alerts!$F:$F),"")</f>
        <v/>
      </c>
      <c r="P1471" s="4">
        <f>IF(H1471="Not Found","CRITICAL: No Risk Profile",IF(I1471="Missing","WARN: Missing KYC",IF(I1471="Expired","WARN: KYC Expired",IF(I1471="Pending","INFO: KYC Pending","OK"))))</f>
        <v/>
      </c>
    </row>
    <row r="1472">
      <c r="A1472" s="2">
        <f>Raw_Transactions!A1472</f>
        <v/>
      </c>
      <c r="B1472" s="2">
        <f>Raw_Transactions!B1472</f>
        <v/>
      </c>
      <c r="C1472" s="2">
        <f>Raw_Transactions!C1472</f>
        <v/>
      </c>
      <c r="D1472" s="3">
        <f>Raw_Transactions!D1472</f>
        <v/>
      </c>
      <c r="E1472" s="2">
        <f>Raw_Transactions!E1472</f>
        <v/>
      </c>
      <c r="F1472" s="2">
        <f>Raw_Transactions!F1472</f>
        <v/>
      </c>
      <c r="G1472" s="2">
        <f>Raw_Transactions!G1472</f>
        <v/>
      </c>
      <c r="H1472" s="2">
        <f>XLOOKUP(B1472,Raw_Risk_Profiles!$A:$A,Raw_Risk_Profiles!$B:$B,"Not Found")</f>
        <v/>
      </c>
      <c r="I1472" s="2">
        <f>XLOOKUP(B1472,Raw_Risk_Profiles!$A:$A,Raw_Risk_Profiles!$C:$C,"Missing")</f>
        <v/>
      </c>
      <c r="J1472" s="2">
        <f>XLOOKUP(B1472,Raw_Risk_Profiles!$A:$A,Raw_Risk_Profiles!$D:$D,"")</f>
        <v/>
      </c>
      <c r="K1472" s="2">
        <f>IFERROR(INDEX(Raw_Risk_Profiles!$E:$E,MATCH(B1472,Raw_Risk_Profiles!$A:$A,0)),"Unknown")</f>
        <v/>
      </c>
      <c r="L1472" s="2">
        <f>IFERROR(XLOOKUP(A1472,Raw_Alerts!$B:$B,Raw_Alerts!$A:$A),"No Alert")</f>
        <v/>
      </c>
      <c r="M1472" s="2">
        <f>IFERROR(XLOOKUP(A1472,Raw_Alerts!$B:$B,Raw_Alerts!$C:$C),"")</f>
        <v/>
      </c>
      <c r="N1472" s="2">
        <f>IFERROR(XLOOKUP(A1472,Raw_Alerts!$B:$B,Raw_Alerts!$D:$D),"")</f>
        <v/>
      </c>
      <c r="O1472" s="2">
        <f>IFERROR(XLOOKUP(A1472,Raw_Alerts!$B:$B,Raw_Alerts!$F:$F),"")</f>
        <v/>
      </c>
      <c r="P1472" s="2">
        <f>IF(H1472="Not Found","CRITICAL: No Risk Profile",IF(I1472="Missing","WARN: Missing KYC",IF(I1472="Expired","WARN: KYC Expired",IF(I1472="Pending","INFO: KYC Pending","OK"))))</f>
        <v/>
      </c>
    </row>
    <row r="1473">
      <c r="A1473" s="4">
        <f>Raw_Transactions!A1473</f>
        <v/>
      </c>
      <c r="B1473" s="4">
        <f>Raw_Transactions!B1473</f>
        <v/>
      </c>
      <c r="C1473" s="4">
        <f>Raw_Transactions!C1473</f>
        <v/>
      </c>
      <c r="D1473" s="5">
        <f>Raw_Transactions!D1473</f>
        <v/>
      </c>
      <c r="E1473" s="4">
        <f>Raw_Transactions!E1473</f>
        <v/>
      </c>
      <c r="F1473" s="4">
        <f>Raw_Transactions!F1473</f>
        <v/>
      </c>
      <c r="G1473" s="4">
        <f>Raw_Transactions!G1473</f>
        <v/>
      </c>
      <c r="H1473" s="4">
        <f>XLOOKUP(B1473,Raw_Risk_Profiles!$A:$A,Raw_Risk_Profiles!$B:$B,"Not Found")</f>
        <v/>
      </c>
      <c r="I1473" s="4">
        <f>XLOOKUP(B1473,Raw_Risk_Profiles!$A:$A,Raw_Risk_Profiles!$C:$C,"Missing")</f>
        <v/>
      </c>
      <c r="J1473" s="4">
        <f>XLOOKUP(B1473,Raw_Risk_Profiles!$A:$A,Raw_Risk_Profiles!$D:$D,"")</f>
        <v/>
      </c>
      <c r="K1473" s="4">
        <f>IFERROR(INDEX(Raw_Risk_Profiles!$E:$E,MATCH(B1473,Raw_Risk_Profiles!$A:$A,0)),"Unknown")</f>
        <v/>
      </c>
      <c r="L1473" s="4">
        <f>IFERROR(XLOOKUP(A1473,Raw_Alerts!$B:$B,Raw_Alerts!$A:$A),"No Alert")</f>
        <v/>
      </c>
      <c r="M1473" s="4">
        <f>IFERROR(XLOOKUP(A1473,Raw_Alerts!$B:$B,Raw_Alerts!$C:$C),"")</f>
        <v/>
      </c>
      <c r="N1473" s="4">
        <f>IFERROR(XLOOKUP(A1473,Raw_Alerts!$B:$B,Raw_Alerts!$D:$D),"")</f>
        <v/>
      </c>
      <c r="O1473" s="4">
        <f>IFERROR(XLOOKUP(A1473,Raw_Alerts!$B:$B,Raw_Alerts!$F:$F),"")</f>
        <v/>
      </c>
      <c r="P1473" s="4">
        <f>IF(H1473="Not Found","CRITICAL: No Risk Profile",IF(I1473="Missing","WARN: Missing KYC",IF(I1473="Expired","WARN: KYC Expired",IF(I1473="Pending","INFO: KYC Pending","OK"))))</f>
        <v/>
      </c>
    </row>
    <row r="1474">
      <c r="A1474" s="2">
        <f>Raw_Transactions!A1474</f>
        <v/>
      </c>
      <c r="B1474" s="2">
        <f>Raw_Transactions!B1474</f>
        <v/>
      </c>
      <c r="C1474" s="2">
        <f>Raw_Transactions!C1474</f>
        <v/>
      </c>
      <c r="D1474" s="3">
        <f>Raw_Transactions!D1474</f>
        <v/>
      </c>
      <c r="E1474" s="2">
        <f>Raw_Transactions!E1474</f>
        <v/>
      </c>
      <c r="F1474" s="2">
        <f>Raw_Transactions!F1474</f>
        <v/>
      </c>
      <c r="G1474" s="2">
        <f>Raw_Transactions!G1474</f>
        <v/>
      </c>
      <c r="H1474" s="2">
        <f>XLOOKUP(B1474,Raw_Risk_Profiles!$A:$A,Raw_Risk_Profiles!$B:$B,"Not Found")</f>
        <v/>
      </c>
      <c r="I1474" s="2">
        <f>XLOOKUP(B1474,Raw_Risk_Profiles!$A:$A,Raw_Risk_Profiles!$C:$C,"Missing")</f>
        <v/>
      </c>
      <c r="J1474" s="2">
        <f>XLOOKUP(B1474,Raw_Risk_Profiles!$A:$A,Raw_Risk_Profiles!$D:$D,"")</f>
        <v/>
      </c>
      <c r="K1474" s="2">
        <f>IFERROR(INDEX(Raw_Risk_Profiles!$E:$E,MATCH(B1474,Raw_Risk_Profiles!$A:$A,0)),"Unknown")</f>
        <v/>
      </c>
      <c r="L1474" s="2">
        <f>IFERROR(XLOOKUP(A1474,Raw_Alerts!$B:$B,Raw_Alerts!$A:$A),"No Alert")</f>
        <v/>
      </c>
      <c r="M1474" s="2">
        <f>IFERROR(XLOOKUP(A1474,Raw_Alerts!$B:$B,Raw_Alerts!$C:$C),"")</f>
        <v/>
      </c>
      <c r="N1474" s="2">
        <f>IFERROR(XLOOKUP(A1474,Raw_Alerts!$B:$B,Raw_Alerts!$D:$D),"")</f>
        <v/>
      </c>
      <c r="O1474" s="2">
        <f>IFERROR(XLOOKUP(A1474,Raw_Alerts!$B:$B,Raw_Alerts!$F:$F),"")</f>
        <v/>
      </c>
      <c r="P1474" s="2">
        <f>IF(H1474="Not Found","CRITICAL: No Risk Profile",IF(I1474="Missing","WARN: Missing KYC",IF(I1474="Expired","WARN: KYC Expired",IF(I1474="Pending","INFO: KYC Pending","OK"))))</f>
        <v/>
      </c>
    </row>
    <row r="1475">
      <c r="A1475" s="4">
        <f>Raw_Transactions!A1475</f>
        <v/>
      </c>
      <c r="B1475" s="4">
        <f>Raw_Transactions!B1475</f>
        <v/>
      </c>
      <c r="C1475" s="4">
        <f>Raw_Transactions!C1475</f>
        <v/>
      </c>
      <c r="D1475" s="5">
        <f>Raw_Transactions!D1475</f>
        <v/>
      </c>
      <c r="E1475" s="4">
        <f>Raw_Transactions!E1475</f>
        <v/>
      </c>
      <c r="F1475" s="4">
        <f>Raw_Transactions!F1475</f>
        <v/>
      </c>
      <c r="G1475" s="4">
        <f>Raw_Transactions!G1475</f>
        <v/>
      </c>
      <c r="H1475" s="4">
        <f>XLOOKUP(B1475,Raw_Risk_Profiles!$A:$A,Raw_Risk_Profiles!$B:$B,"Not Found")</f>
        <v/>
      </c>
      <c r="I1475" s="4">
        <f>XLOOKUP(B1475,Raw_Risk_Profiles!$A:$A,Raw_Risk_Profiles!$C:$C,"Missing")</f>
        <v/>
      </c>
      <c r="J1475" s="4">
        <f>XLOOKUP(B1475,Raw_Risk_Profiles!$A:$A,Raw_Risk_Profiles!$D:$D,"")</f>
        <v/>
      </c>
      <c r="K1475" s="4">
        <f>IFERROR(INDEX(Raw_Risk_Profiles!$E:$E,MATCH(B1475,Raw_Risk_Profiles!$A:$A,0)),"Unknown")</f>
        <v/>
      </c>
      <c r="L1475" s="4">
        <f>IFERROR(XLOOKUP(A1475,Raw_Alerts!$B:$B,Raw_Alerts!$A:$A),"No Alert")</f>
        <v/>
      </c>
      <c r="M1475" s="4">
        <f>IFERROR(XLOOKUP(A1475,Raw_Alerts!$B:$B,Raw_Alerts!$C:$C),"")</f>
        <v/>
      </c>
      <c r="N1475" s="4">
        <f>IFERROR(XLOOKUP(A1475,Raw_Alerts!$B:$B,Raw_Alerts!$D:$D),"")</f>
        <v/>
      </c>
      <c r="O1475" s="4">
        <f>IFERROR(XLOOKUP(A1475,Raw_Alerts!$B:$B,Raw_Alerts!$F:$F),"")</f>
        <v/>
      </c>
      <c r="P1475" s="4">
        <f>IF(H1475="Not Found","CRITICAL: No Risk Profile",IF(I1475="Missing","WARN: Missing KYC",IF(I1475="Expired","WARN: KYC Expired",IF(I1475="Pending","INFO: KYC Pending","OK"))))</f>
        <v/>
      </c>
    </row>
    <row r="1476">
      <c r="A1476" s="2">
        <f>Raw_Transactions!A1476</f>
        <v/>
      </c>
      <c r="B1476" s="2">
        <f>Raw_Transactions!B1476</f>
        <v/>
      </c>
      <c r="C1476" s="2">
        <f>Raw_Transactions!C1476</f>
        <v/>
      </c>
      <c r="D1476" s="3">
        <f>Raw_Transactions!D1476</f>
        <v/>
      </c>
      <c r="E1476" s="2">
        <f>Raw_Transactions!E1476</f>
        <v/>
      </c>
      <c r="F1476" s="2">
        <f>Raw_Transactions!F1476</f>
        <v/>
      </c>
      <c r="G1476" s="2">
        <f>Raw_Transactions!G1476</f>
        <v/>
      </c>
      <c r="H1476" s="2">
        <f>XLOOKUP(B1476,Raw_Risk_Profiles!$A:$A,Raw_Risk_Profiles!$B:$B,"Not Found")</f>
        <v/>
      </c>
      <c r="I1476" s="2">
        <f>XLOOKUP(B1476,Raw_Risk_Profiles!$A:$A,Raw_Risk_Profiles!$C:$C,"Missing")</f>
        <v/>
      </c>
      <c r="J1476" s="2">
        <f>XLOOKUP(B1476,Raw_Risk_Profiles!$A:$A,Raw_Risk_Profiles!$D:$D,"")</f>
        <v/>
      </c>
      <c r="K1476" s="2">
        <f>IFERROR(INDEX(Raw_Risk_Profiles!$E:$E,MATCH(B1476,Raw_Risk_Profiles!$A:$A,0)),"Unknown")</f>
        <v/>
      </c>
      <c r="L1476" s="2">
        <f>IFERROR(XLOOKUP(A1476,Raw_Alerts!$B:$B,Raw_Alerts!$A:$A),"No Alert")</f>
        <v/>
      </c>
      <c r="M1476" s="2">
        <f>IFERROR(XLOOKUP(A1476,Raw_Alerts!$B:$B,Raw_Alerts!$C:$C),"")</f>
        <v/>
      </c>
      <c r="N1476" s="2">
        <f>IFERROR(XLOOKUP(A1476,Raw_Alerts!$B:$B,Raw_Alerts!$D:$D),"")</f>
        <v/>
      </c>
      <c r="O1476" s="2">
        <f>IFERROR(XLOOKUP(A1476,Raw_Alerts!$B:$B,Raw_Alerts!$F:$F),"")</f>
        <v/>
      </c>
      <c r="P1476" s="2">
        <f>IF(H1476="Not Found","CRITICAL: No Risk Profile",IF(I1476="Missing","WARN: Missing KYC",IF(I1476="Expired","WARN: KYC Expired",IF(I1476="Pending","INFO: KYC Pending","OK"))))</f>
        <v/>
      </c>
    </row>
    <row r="1477">
      <c r="A1477" s="4">
        <f>Raw_Transactions!A1477</f>
        <v/>
      </c>
      <c r="B1477" s="4">
        <f>Raw_Transactions!B1477</f>
        <v/>
      </c>
      <c r="C1477" s="4">
        <f>Raw_Transactions!C1477</f>
        <v/>
      </c>
      <c r="D1477" s="5">
        <f>Raw_Transactions!D1477</f>
        <v/>
      </c>
      <c r="E1477" s="4">
        <f>Raw_Transactions!E1477</f>
        <v/>
      </c>
      <c r="F1477" s="4">
        <f>Raw_Transactions!F1477</f>
        <v/>
      </c>
      <c r="G1477" s="4">
        <f>Raw_Transactions!G1477</f>
        <v/>
      </c>
      <c r="H1477" s="4">
        <f>XLOOKUP(B1477,Raw_Risk_Profiles!$A:$A,Raw_Risk_Profiles!$B:$B,"Not Found")</f>
        <v/>
      </c>
      <c r="I1477" s="4">
        <f>XLOOKUP(B1477,Raw_Risk_Profiles!$A:$A,Raw_Risk_Profiles!$C:$C,"Missing")</f>
        <v/>
      </c>
      <c r="J1477" s="4">
        <f>XLOOKUP(B1477,Raw_Risk_Profiles!$A:$A,Raw_Risk_Profiles!$D:$D,"")</f>
        <v/>
      </c>
      <c r="K1477" s="4">
        <f>IFERROR(INDEX(Raw_Risk_Profiles!$E:$E,MATCH(B1477,Raw_Risk_Profiles!$A:$A,0)),"Unknown")</f>
        <v/>
      </c>
      <c r="L1477" s="4">
        <f>IFERROR(XLOOKUP(A1477,Raw_Alerts!$B:$B,Raw_Alerts!$A:$A),"No Alert")</f>
        <v/>
      </c>
      <c r="M1477" s="4">
        <f>IFERROR(XLOOKUP(A1477,Raw_Alerts!$B:$B,Raw_Alerts!$C:$C),"")</f>
        <v/>
      </c>
      <c r="N1477" s="4">
        <f>IFERROR(XLOOKUP(A1477,Raw_Alerts!$B:$B,Raw_Alerts!$D:$D),"")</f>
        <v/>
      </c>
      <c r="O1477" s="4">
        <f>IFERROR(XLOOKUP(A1477,Raw_Alerts!$B:$B,Raw_Alerts!$F:$F),"")</f>
        <v/>
      </c>
      <c r="P1477" s="4">
        <f>IF(H1477="Not Found","CRITICAL: No Risk Profile",IF(I1477="Missing","WARN: Missing KYC",IF(I1477="Expired","WARN: KYC Expired",IF(I1477="Pending","INFO: KYC Pending","OK"))))</f>
        <v/>
      </c>
    </row>
    <row r="1478">
      <c r="A1478" s="2">
        <f>Raw_Transactions!A1478</f>
        <v/>
      </c>
      <c r="B1478" s="2">
        <f>Raw_Transactions!B1478</f>
        <v/>
      </c>
      <c r="C1478" s="2">
        <f>Raw_Transactions!C1478</f>
        <v/>
      </c>
      <c r="D1478" s="3">
        <f>Raw_Transactions!D1478</f>
        <v/>
      </c>
      <c r="E1478" s="2">
        <f>Raw_Transactions!E1478</f>
        <v/>
      </c>
      <c r="F1478" s="2">
        <f>Raw_Transactions!F1478</f>
        <v/>
      </c>
      <c r="G1478" s="2">
        <f>Raw_Transactions!G1478</f>
        <v/>
      </c>
      <c r="H1478" s="2">
        <f>XLOOKUP(B1478,Raw_Risk_Profiles!$A:$A,Raw_Risk_Profiles!$B:$B,"Not Found")</f>
        <v/>
      </c>
      <c r="I1478" s="2">
        <f>XLOOKUP(B1478,Raw_Risk_Profiles!$A:$A,Raw_Risk_Profiles!$C:$C,"Missing")</f>
        <v/>
      </c>
      <c r="J1478" s="2">
        <f>XLOOKUP(B1478,Raw_Risk_Profiles!$A:$A,Raw_Risk_Profiles!$D:$D,"")</f>
        <v/>
      </c>
      <c r="K1478" s="2">
        <f>IFERROR(INDEX(Raw_Risk_Profiles!$E:$E,MATCH(B1478,Raw_Risk_Profiles!$A:$A,0)),"Unknown")</f>
        <v/>
      </c>
      <c r="L1478" s="2">
        <f>IFERROR(XLOOKUP(A1478,Raw_Alerts!$B:$B,Raw_Alerts!$A:$A),"No Alert")</f>
        <v/>
      </c>
      <c r="M1478" s="2">
        <f>IFERROR(XLOOKUP(A1478,Raw_Alerts!$B:$B,Raw_Alerts!$C:$C),"")</f>
        <v/>
      </c>
      <c r="N1478" s="2">
        <f>IFERROR(XLOOKUP(A1478,Raw_Alerts!$B:$B,Raw_Alerts!$D:$D),"")</f>
        <v/>
      </c>
      <c r="O1478" s="2">
        <f>IFERROR(XLOOKUP(A1478,Raw_Alerts!$B:$B,Raw_Alerts!$F:$F),"")</f>
        <v/>
      </c>
      <c r="P1478" s="2">
        <f>IF(H1478="Not Found","CRITICAL: No Risk Profile",IF(I1478="Missing","WARN: Missing KYC",IF(I1478="Expired","WARN: KYC Expired",IF(I1478="Pending","INFO: KYC Pending","OK"))))</f>
        <v/>
      </c>
    </row>
    <row r="1479">
      <c r="A1479" s="4">
        <f>Raw_Transactions!A1479</f>
        <v/>
      </c>
      <c r="B1479" s="4">
        <f>Raw_Transactions!B1479</f>
        <v/>
      </c>
      <c r="C1479" s="4">
        <f>Raw_Transactions!C1479</f>
        <v/>
      </c>
      <c r="D1479" s="5">
        <f>Raw_Transactions!D1479</f>
        <v/>
      </c>
      <c r="E1479" s="4">
        <f>Raw_Transactions!E1479</f>
        <v/>
      </c>
      <c r="F1479" s="4">
        <f>Raw_Transactions!F1479</f>
        <v/>
      </c>
      <c r="G1479" s="4">
        <f>Raw_Transactions!G1479</f>
        <v/>
      </c>
      <c r="H1479" s="4">
        <f>XLOOKUP(B1479,Raw_Risk_Profiles!$A:$A,Raw_Risk_Profiles!$B:$B,"Not Found")</f>
        <v/>
      </c>
      <c r="I1479" s="4">
        <f>XLOOKUP(B1479,Raw_Risk_Profiles!$A:$A,Raw_Risk_Profiles!$C:$C,"Missing")</f>
        <v/>
      </c>
      <c r="J1479" s="4">
        <f>XLOOKUP(B1479,Raw_Risk_Profiles!$A:$A,Raw_Risk_Profiles!$D:$D,"")</f>
        <v/>
      </c>
      <c r="K1479" s="4">
        <f>IFERROR(INDEX(Raw_Risk_Profiles!$E:$E,MATCH(B1479,Raw_Risk_Profiles!$A:$A,0)),"Unknown")</f>
        <v/>
      </c>
      <c r="L1479" s="4">
        <f>IFERROR(XLOOKUP(A1479,Raw_Alerts!$B:$B,Raw_Alerts!$A:$A),"No Alert")</f>
        <v/>
      </c>
      <c r="M1479" s="4">
        <f>IFERROR(XLOOKUP(A1479,Raw_Alerts!$B:$B,Raw_Alerts!$C:$C),"")</f>
        <v/>
      </c>
      <c r="N1479" s="4">
        <f>IFERROR(XLOOKUP(A1479,Raw_Alerts!$B:$B,Raw_Alerts!$D:$D),"")</f>
        <v/>
      </c>
      <c r="O1479" s="4">
        <f>IFERROR(XLOOKUP(A1479,Raw_Alerts!$B:$B,Raw_Alerts!$F:$F),"")</f>
        <v/>
      </c>
      <c r="P1479" s="4">
        <f>IF(H1479="Not Found","CRITICAL: No Risk Profile",IF(I1479="Missing","WARN: Missing KYC",IF(I1479="Expired","WARN: KYC Expired",IF(I1479="Pending","INFO: KYC Pending","OK"))))</f>
        <v/>
      </c>
    </row>
    <row r="1480">
      <c r="A1480" s="2">
        <f>Raw_Transactions!A1480</f>
        <v/>
      </c>
      <c r="B1480" s="2">
        <f>Raw_Transactions!B1480</f>
        <v/>
      </c>
      <c r="C1480" s="2">
        <f>Raw_Transactions!C1480</f>
        <v/>
      </c>
      <c r="D1480" s="3">
        <f>Raw_Transactions!D1480</f>
        <v/>
      </c>
      <c r="E1480" s="2">
        <f>Raw_Transactions!E1480</f>
        <v/>
      </c>
      <c r="F1480" s="2">
        <f>Raw_Transactions!F1480</f>
        <v/>
      </c>
      <c r="G1480" s="2">
        <f>Raw_Transactions!G1480</f>
        <v/>
      </c>
      <c r="H1480" s="2">
        <f>XLOOKUP(B1480,Raw_Risk_Profiles!$A:$A,Raw_Risk_Profiles!$B:$B,"Not Found")</f>
        <v/>
      </c>
      <c r="I1480" s="2">
        <f>XLOOKUP(B1480,Raw_Risk_Profiles!$A:$A,Raw_Risk_Profiles!$C:$C,"Missing")</f>
        <v/>
      </c>
      <c r="J1480" s="2">
        <f>XLOOKUP(B1480,Raw_Risk_Profiles!$A:$A,Raw_Risk_Profiles!$D:$D,"")</f>
        <v/>
      </c>
      <c r="K1480" s="2">
        <f>IFERROR(INDEX(Raw_Risk_Profiles!$E:$E,MATCH(B1480,Raw_Risk_Profiles!$A:$A,0)),"Unknown")</f>
        <v/>
      </c>
      <c r="L1480" s="2">
        <f>IFERROR(XLOOKUP(A1480,Raw_Alerts!$B:$B,Raw_Alerts!$A:$A),"No Alert")</f>
        <v/>
      </c>
      <c r="M1480" s="2">
        <f>IFERROR(XLOOKUP(A1480,Raw_Alerts!$B:$B,Raw_Alerts!$C:$C),"")</f>
        <v/>
      </c>
      <c r="N1480" s="2">
        <f>IFERROR(XLOOKUP(A1480,Raw_Alerts!$B:$B,Raw_Alerts!$D:$D),"")</f>
        <v/>
      </c>
      <c r="O1480" s="2">
        <f>IFERROR(XLOOKUP(A1480,Raw_Alerts!$B:$B,Raw_Alerts!$F:$F),"")</f>
        <v/>
      </c>
      <c r="P1480" s="2">
        <f>IF(H1480="Not Found","CRITICAL: No Risk Profile",IF(I1480="Missing","WARN: Missing KYC",IF(I1480="Expired","WARN: KYC Expired",IF(I1480="Pending","INFO: KYC Pending","OK"))))</f>
        <v/>
      </c>
    </row>
    <row r="1481">
      <c r="A1481" s="4">
        <f>Raw_Transactions!A1481</f>
        <v/>
      </c>
      <c r="B1481" s="4">
        <f>Raw_Transactions!B1481</f>
        <v/>
      </c>
      <c r="C1481" s="4">
        <f>Raw_Transactions!C1481</f>
        <v/>
      </c>
      <c r="D1481" s="5">
        <f>Raw_Transactions!D1481</f>
        <v/>
      </c>
      <c r="E1481" s="4">
        <f>Raw_Transactions!E1481</f>
        <v/>
      </c>
      <c r="F1481" s="4">
        <f>Raw_Transactions!F1481</f>
        <v/>
      </c>
      <c r="G1481" s="4">
        <f>Raw_Transactions!G1481</f>
        <v/>
      </c>
      <c r="H1481" s="4">
        <f>XLOOKUP(B1481,Raw_Risk_Profiles!$A:$A,Raw_Risk_Profiles!$B:$B,"Not Found")</f>
        <v/>
      </c>
      <c r="I1481" s="4">
        <f>XLOOKUP(B1481,Raw_Risk_Profiles!$A:$A,Raw_Risk_Profiles!$C:$C,"Missing")</f>
        <v/>
      </c>
      <c r="J1481" s="4">
        <f>XLOOKUP(B1481,Raw_Risk_Profiles!$A:$A,Raw_Risk_Profiles!$D:$D,"")</f>
        <v/>
      </c>
      <c r="K1481" s="4">
        <f>IFERROR(INDEX(Raw_Risk_Profiles!$E:$E,MATCH(B1481,Raw_Risk_Profiles!$A:$A,0)),"Unknown")</f>
        <v/>
      </c>
      <c r="L1481" s="4">
        <f>IFERROR(XLOOKUP(A1481,Raw_Alerts!$B:$B,Raw_Alerts!$A:$A),"No Alert")</f>
        <v/>
      </c>
      <c r="M1481" s="4">
        <f>IFERROR(XLOOKUP(A1481,Raw_Alerts!$B:$B,Raw_Alerts!$C:$C),"")</f>
        <v/>
      </c>
      <c r="N1481" s="4">
        <f>IFERROR(XLOOKUP(A1481,Raw_Alerts!$B:$B,Raw_Alerts!$D:$D),"")</f>
        <v/>
      </c>
      <c r="O1481" s="4">
        <f>IFERROR(XLOOKUP(A1481,Raw_Alerts!$B:$B,Raw_Alerts!$F:$F),"")</f>
        <v/>
      </c>
      <c r="P1481" s="4">
        <f>IF(H1481="Not Found","CRITICAL: No Risk Profile",IF(I1481="Missing","WARN: Missing KYC",IF(I1481="Expired","WARN: KYC Expired",IF(I1481="Pending","INFO: KYC Pending","OK"))))</f>
        <v/>
      </c>
    </row>
    <row r="1482">
      <c r="A1482" s="2">
        <f>Raw_Transactions!A1482</f>
        <v/>
      </c>
      <c r="B1482" s="2">
        <f>Raw_Transactions!B1482</f>
        <v/>
      </c>
      <c r="C1482" s="2">
        <f>Raw_Transactions!C1482</f>
        <v/>
      </c>
      <c r="D1482" s="3">
        <f>Raw_Transactions!D1482</f>
        <v/>
      </c>
      <c r="E1482" s="2">
        <f>Raw_Transactions!E1482</f>
        <v/>
      </c>
      <c r="F1482" s="2">
        <f>Raw_Transactions!F1482</f>
        <v/>
      </c>
      <c r="G1482" s="2">
        <f>Raw_Transactions!G1482</f>
        <v/>
      </c>
      <c r="H1482" s="2">
        <f>XLOOKUP(B1482,Raw_Risk_Profiles!$A:$A,Raw_Risk_Profiles!$B:$B,"Not Found")</f>
        <v/>
      </c>
      <c r="I1482" s="2">
        <f>XLOOKUP(B1482,Raw_Risk_Profiles!$A:$A,Raw_Risk_Profiles!$C:$C,"Missing")</f>
        <v/>
      </c>
      <c r="J1482" s="2">
        <f>XLOOKUP(B1482,Raw_Risk_Profiles!$A:$A,Raw_Risk_Profiles!$D:$D,"")</f>
        <v/>
      </c>
      <c r="K1482" s="2">
        <f>IFERROR(INDEX(Raw_Risk_Profiles!$E:$E,MATCH(B1482,Raw_Risk_Profiles!$A:$A,0)),"Unknown")</f>
        <v/>
      </c>
      <c r="L1482" s="2">
        <f>IFERROR(XLOOKUP(A1482,Raw_Alerts!$B:$B,Raw_Alerts!$A:$A),"No Alert")</f>
        <v/>
      </c>
      <c r="M1482" s="2">
        <f>IFERROR(XLOOKUP(A1482,Raw_Alerts!$B:$B,Raw_Alerts!$C:$C),"")</f>
        <v/>
      </c>
      <c r="N1482" s="2">
        <f>IFERROR(XLOOKUP(A1482,Raw_Alerts!$B:$B,Raw_Alerts!$D:$D),"")</f>
        <v/>
      </c>
      <c r="O1482" s="2">
        <f>IFERROR(XLOOKUP(A1482,Raw_Alerts!$B:$B,Raw_Alerts!$F:$F),"")</f>
        <v/>
      </c>
      <c r="P1482" s="2">
        <f>IF(H1482="Not Found","CRITICAL: No Risk Profile",IF(I1482="Missing","WARN: Missing KYC",IF(I1482="Expired","WARN: KYC Expired",IF(I1482="Pending","INFO: KYC Pending","OK"))))</f>
        <v/>
      </c>
    </row>
    <row r="1483">
      <c r="A1483" s="4">
        <f>Raw_Transactions!A1483</f>
        <v/>
      </c>
      <c r="B1483" s="4">
        <f>Raw_Transactions!B1483</f>
        <v/>
      </c>
      <c r="C1483" s="4">
        <f>Raw_Transactions!C1483</f>
        <v/>
      </c>
      <c r="D1483" s="5">
        <f>Raw_Transactions!D1483</f>
        <v/>
      </c>
      <c r="E1483" s="4">
        <f>Raw_Transactions!E1483</f>
        <v/>
      </c>
      <c r="F1483" s="4">
        <f>Raw_Transactions!F1483</f>
        <v/>
      </c>
      <c r="G1483" s="4">
        <f>Raw_Transactions!G1483</f>
        <v/>
      </c>
      <c r="H1483" s="4">
        <f>XLOOKUP(B1483,Raw_Risk_Profiles!$A:$A,Raw_Risk_Profiles!$B:$B,"Not Found")</f>
        <v/>
      </c>
      <c r="I1483" s="4">
        <f>XLOOKUP(B1483,Raw_Risk_Profiles!$A:$A,Raw_Risk_Profiles!$C:$C,"Missing")</f>
        <v/>
      </c>
      <c r="J1483" s="4">
        <f>XLOOKUP(B1483,Raw_Risk_Profiles!$A:$A,Raw_Risk_Profiles!$D:$D,"")</f>
        <v/>
      </c>
      <c r="K1483" s="4">
        <f>IFERROR(INDEX(Raw_Risk_Profiles!$E:$E,MATCH(B1483,Raw_Risk_Profiles!$A:$A,0)),"Unknown")</f>
        <v/>
      </c>
      <c r="L1483" s="4">
        <f>IFERROR(XLOOKUP(A1483,Raw_Alerts!$B:$B,Raw_Alerts!$A:$A),"No Alert")</f>
        <v/>
      </c>
      <c r="M1483" s="4">
        <f>IFERROR(XLOOKUP(A1483,Raw_Alerts!$B:$B,Raw_Alerts!$C:$C),"")</f>
        <v/>
      </c>
      <c r="N1483" s="4">
        <f>IFERROR(XLOOKUP(A1483,Raw_Alerts!$B:$B,Raw_Alerts!$D:$D),"")</f>
        <v/>
      </c>
      <c r="O1483" s="4">
        <f>IFERROR(XLOOKUP(A1483,Raw_Alerts!$B:$B,Raw_Alerts!$F:$F),"")</f>
        <v/>
      </c>
      <c r="P1483" s="4">
        <f>IF(H1483="Not Found","CRITICAL: No Risk Profile",IF(I1483="Missing","WARN: Missing KYC",IF(I1483="Expired","WARN: KYC Expired",IF(I1483="Pending","INFO: KYC Pending","OK"))))</f>
        <v/>
      </c>
    </row>
    <row r="1484">
      <c r="A1484" s="2">
        <f>Raw_Transactions!A1484</f>
        <v/>
      </c>
      <c r="B1484" s="2">
        <f>Raw_Transactions!B1484</f>
        <v/>
      </c>
      <c r="C1484" s="2">
        <f>Raw_Transactions!C1484</f>
        <v/>
      </c>
      <c r="D1484" s="3">
        <f>Raw_Transactions!D1484</f>
        <v/>
      </c>
      <c r="E1484" s="2">
        <f>Raw_Transactions!E1484</f>
        <v/>
      </c>
      <c r="F1484" s="2">
        <f>Raw_Transactions!F1484</f>
        <v/>
      </c>
      <c r="G1484" s="2">
        <f>Raw_Transactions!G1484</f>
        <v/>
      </c>
      <c r="H1484" s="2">
        <f>XLOOKUP(B1484,Raw_Risk_Profiles!$A:$A,Raw_Risk_Profiles!$B:$B,"Not Found")</f>
        <v/>
      </c>
      <c r="I1484" s="2">
        <f>XLOOKUP(B1484,Raw_Risk_Profiles!$A:$A,Raw_Risk_Profiles!$C:$C,"Missing")</f>
        <v/>
      </c>
      <c r="J1484" s="2">
        <f>XLOOKUP(B1484,Raw_Risk_Profiles!$A:$A,Raw_Risk_Profiles!$D:$D,"")</f>
        <v/>
      </c>
      <c r="K1484" s="2">
        <f>IFERROR(INDEX(Raw_Risk_Profiles!$E:$E,MATCH(B1484,Raw_Risk_Profiles!$A:$A,0)),"Unknown")</f>
        <v/>
      </c>
      <c r="L1484" s="2">
        <f>IFERROR(XLOOKUP(A1484,Raw_Alerts!$B:$B,Raw_Alerts!$A:$A),"No Alert")</f>
        <v/>
      </c>
      <c r="M1484" s="2">
        <f>IFERROR(XLOOKUP(A1484,Raw_Alerts!$B:$B,Raw_Alerts!$C:$C),"")</f>
        <v/>
      </c>
      <c r="N1484" s="2">
        <f>IFERROR(XLOOKUP(A1484,Raw_Alerts!$B:$B,Raw_Alerts!$D:$D),"")</f>
        <v/>
      </c>
      <c r="O1484" s="2">
        <f>IFERROR(XLOOKUP(A1484,Raw_Alerts!$B:$B,Raw_Alerts!$F:$F),"")</f>
        <v/>
      </c>
      <c r="P1484" s="2">
        <f>IF(H1484="Not Found","CRITICAL: No Risk Profile",IF(I1484="Missing","WARN: Missing KYC",IF(I1484="Expired","WARN: KYC Expired",IF(I1484="Pending","INFO: KYC Pending","OK"))))</f>
        <v/>
      </c>
    </row>
    <row r="1485">
      <c r="A1485" s="4">
        <f>Raw_Transactions!A1485</f>
        <v/>
      </c>
      <c r="B1485" s="4">
        <f>Raw_Transactions!B1485</f>
        <v/>
      </c>
      <c r="C1485" s="4">
        <f>Raw_Transactions!C1485</f>
        <v/>
      </c>
      <c r="D1485" s="5">
        <f>Raw_Transactions!D1485</f>
        <v/>
      </c>
      <c r="E1485" s="4">
        <f>Raw_Transactions!E1485</f>
        <v/>
      </c>
      <c r="F1485" s="4">
        <f>Raw_Transactions!F1485</f>
        <v/>
      </c>
      <c r="G1485" s="4">
        <f>Raw_Transactions!G1485</f>
        <v/>
      </c>
      <c r="H1485" s="4">
        <f>XLOOKUP(B1485,Raw_Risk_Profiles!$A:$A,Raw_Risk_Profiles!$B:$B,"Not Found")</f>
        <v/>
      </c>
      <c r="I1485" s="4">
        <f>XLOOKUP(B1485,Raw_Risk_Profiles!$A:$A,Raw_Risk_Profiles!$C:$C,"Missing")</f>
        <v/>
      </c>
      <c r="J1485" s="4">
        <f>XLOOKUP(B1485,Raw_Risk_Profiles!$A:$A,Raw_Risk_Profiles!$D:$D,"")</f>
        <v/>
      </c>
      <c r="K1485" s="4">
        <f>IFERROR(INDEX(Raw_Risk_Profiles!$E:$E,MATCH(B1485,Raw_Risk_Profiles!$A:$A,0)),"Unknown")</f>
        <v/>
      </c>
      <c r="L1485" s="4">
        <f>IFERROR(XLOOKUP(A1485,Raw_Alerts!$B:$B,Raw_Alerts!$A:$A),"No Alert")</f>
        <v/>
      </c>
      <c r="M1485" s="4">
        <f>IFERROR(XLOOKUP(A1485,Raw_Alerts!$B:$B,Raw_Alerts!$C:$C),"")</f>
        <v/>
      </c>
      <c r="N1485" s="4">
        <f>IFERROR(XLOOKUP(A1485,Raw_Alerts!$B:$B,Raw_Alerts!$D:$D),"")</f>
        <v/>
      </c>
      <c r="O1485" s="4">
        <f>IFERROR(XLOOKUP(A1485,Raw_Alerts!$B:$B,Raw_Alerts!$F:$F),"")</f>
        <v/>
      </c>
      <c r="P1485" s="4">
        <f>IF(H1485="Not Found","CRITICAL: No Risk Profile",IF(I1485="Missing","WARN: Missing KYC",IF(I1485="Expired","WARN: KYC Expired",IF(I1485="Pending","INFO: KYC Pending","OK"))))</f>
        <v/>
      </c>
    </row>
    <row r="1486">
      <c r="A1486" s="2">
        <f>Raw_Transactions!A1486</f>
        <v/>
      </c>
      <c r="B1486" s="2">
        <f>Raw_Transactions!B1486</f>
        <v/>
      </c>
      <c r="C1486" s="2">
        <f>Raw_Transactions!C1486</f>
        <v/>
      </c>
      <c r="D1486" s="3">
        <f>Raw_Transactions!D1486</f>
        <v/>
      </c>
      <c r="E1486" s="2">
        <f>Raw_Transactions!E1486</f>
        <v/>
      </c>
      <c r="F1486" s="2">
        <f>Raw_Transactions!F1486</f>
        <v/>
      </c>
      <c r="G1486" s="2">
        <f>Raw_Transactions!G1486</f>
        <v/>
      </c>
      <c r="H1486" s="2">
        <f>XLOOKUP(B1486,Raw_Risk_Profiles!$A:$A,Raw_Risk_Profiles!$B:$B,"Not Found")</f>
        <v/>
      </c>
      <c r="I1486" s="2">
        <f>XLOOKUP(B1486,Raw_Risk_Profiles!$A:$A,Raw_Risk_Profiles!$C:$C,"Missing")</f>
        <v/>
      </c>
      <c r="J1486" s="2">
        <f>XLOOKUP(B1486,Raw_Risk_Profiles!$A:$A,Raw_Risk_Profiles!$D:$D,"")</f>
        <v/>
      </c>
      <c r="K1486" s="2">
        <f>IFERROR(INDEX(Raw_Risk_Profiles!$E:$E,MATCH(B1486,Raw_Risk_Profiles!$A:$A,0)),"Unknown")</f>
        <v/>
      </c>
      <c r="L1486" s="2">
        <f>IFERROR(XLOOKUP(A1486,Raw_Alerts!$B:$B,Raw_Alerts!$A:$A),"No Alert")</f>
        <v/>
      </c>
      <c r="M1486" s="2">
        <f>IFERROR(XLOOKUP(A1486,Raw_Alerts!$B:$B,Raw_Alerts!$C:$C),"")</f>
        <v/>
      </c>
      <c r="N1486" s="2">
        <f>IFERROR(XLOOKUP(A1486,Raw_Alerts!$B:$B,Raw_Alerts!$D:$D),"")</f>
        <v/>
      </c>
      <c r="O1486" s="2">
        <f>IFERROR(XLOOKUP(A1486,Raw_Alerts!$B:$B,Raw_Alerts!$F:$F),"")</f>
        <v/>
      </c>
      <c r="P1486" s="2">
        <f>IF(H1486="Not Found","CRITICAL: No Risk Profile",IF(I1486="Missing","WARN: Missing KYC",IF(I1486="Expired","WARN: KYC Expired",IF(I1486="Pending","INFO: KYC Pending","OK"))))</f>
        <v/>
      </c>
    </row>
    <row r="1487">
      <c r="A1487" s="4">
        <f>Raw_Transactions!A1487</f>
        <v/>
      </c>
      <c r="B1487" s="4">
        <f>Raw_Transactions!B1487</f>
        <v/>
      </c>
      <c r="C1487" s="4">
        <f>Raw_Transactions!C1487</f>
        <v/>
      </c>
      <c r="D1487" s="5">
        <f>Raw_Transactions!D1487</f>
        <v/>
      </c>
      <c r="E1487" s="4">
        <f>Raw_Transactions!E1487</f>
        <v/>
      </c>
      <c r="F1487" s="4">
        <f>Raw_Transactions!F1487</f>
        <v/>
      </c>
      <c r="G1487" s="4">
        <f>Raw_Transactions!G1487</f>
        <v/>
      </c>
      <c r="H1487" s="4">
        <f>XLOOKUP(B1487,Raw_Risk_Profiles!$A:$A,Raw_Risk_Profiles!$B:$B,"Not Found")</f>
        <v/>
      </c>
      <c r="I1487" s="4">
        <f>XLOOKUP(B1487,Raw_Risk_Profiles!$A:$A,Raw_Risk_Profiles!$C:$C,"Missing")</f>
        <v/>
      </c>
      <c r="J1487" s="4">
        <f>XLOOKUP(B1487,Raw_Risk_Profiles!$A:$A,Raw_Risk_Profiles!$D:$D,"")</f>
        <v/>
      </c>
      <c r="K1487" s="4">
        <f>IFERROR(INDEX(Raw_Risk_Profiles!$E:$E,MATCH(B1487,Raw_Risk_Profiles!$A:$A,0)),"Unknown")</f>
        <v/>
      </c>
      <c r="L1487" s="4">
        <f>IFERROR(XLOOKUP(A1487,Raw_Alerts!$B:$B,Raw_Alerts!$A:$A),"No Alert")</f>
        <v/>
      </c>
      <c r="M1487" s="4">
        <f>IFERROR(XLOOKUP(A1487,Raw_Alerts!$B:$B,Raw_Alerts!$C:$C),"")</f>
        <v/>
      </c>
      <c r="N1487" s="4">
        <f>IFERROR(XLOOKUP(A1487,Raw_Alerts!$B:$B,Raw_Alerts!$D:$D),"")</f>
        <v/>
      </c>
      <c r="O1487" s="4">
        <f>IFERROR(XLOOKUP(A1487,Raw_Alerts!$B:$B,Raw_Alerts!$F:$F),"")</f>
        <v/>
      </c>
      <c r="P1487" s="4">
        <f>IF(H1487="Not Found","CRITICAL: No Risk Profile",IF(I1487="Missing","WARN: Missing KYC",IF(I1487="Expired","WARN: KYC Expired",IF(I1487="Pending","INFO: KYC Pending","OK"))))</f>
        <v/>
      </c>
    </row>
    <row r="1488">
      <c r="A1488" s="2">
        <f>Raw_Transactions!A1488</f>
        <v/>
      </c>
      <c r="B1488" s="2">
        <f>Raw_Transactions!B1488</f>
        <v/>
      </c>
      <c r="C1488" s="2">
        <f>Raw_Transactions!C1488</f>
        <v/>
      </c>
      <c r="D1488" s="3">
        <f>Raw_Transactions!D1488</f>
        <v/>
      </c>
      <c r="E1488" s="2">
        <f>Raw_Transactions!E1488</f>
        <v/>
      </c>
      <c r="F1488" s="2">
        <f>Raw_Transactions!F1488</f>
        <v/>
      </c>
      <c r="G1488" s="2">
        <f>Raw_Transactions!G1488</f>
        <v/>
      </c>
      <c r="H1488" s="2">
        <f>XLOOKUP(B1488,Raw_Risk_Profiles!$A:$A,Raw_Risk_Profiles!$B:$B,"Not Found")</f>
        <v/>
      </c>
      <c r="I1488" s="2">
        <f>XLOOKUP(B1488,Raw_Risk_Profiles!$A:$A,Raw_Risk_Profiles!$C:$C,"Missing")</f>
        <v/>
      </c>
      <c r="J1488" s="2">
        <f>XLOOKUP(B1488,Raw_Risk_Profiles!$A:$A,Raw_Risk_Profiles!$D:$D,"")</f>
        <v/>
      </c>
      <c r="K1488" s="2">
        <f>IFERROR(INDEX(Raw_Risk_Profiles!$E:$E,MATCH(B1488,Raw_Risk_Profiles!$A:$A,0)),"Unknown")</f>
        <v/>
      </c>
      <c r="L1488" s="2">
        <f>IFERROR(XLOOKUP(A1488,Raw_Alerts!$B:$B,Raw_Alerts!$A:$A),"No Alert")</f>
        <v/>
      </c>
      <c r="M1488" s="2">
        <f>IFERROR(XLOOKUP(A1488,Raw_Alerts!$B:$B,Raw_Alerts!$C:$C),"")</f>
        <v/>
      </c>
      <c r="N1488" s="2">
        <f>IFERROR(XLOOKUP(A1488,Raw_Alerts!$B:$B,Raw_Alerts!$D:$D),"")</f>
        <v/>
      </c>
      <c r="O1488" s="2">
        <f>IFERROR(XLOOKUP(A1488,Raw_Alerts!$B:$B,Raw_Alerts!$F:$F),"")</f>
        <v/>
      </c>
      <c r="P1488" s="2">
        <f>IF(H1488="Not Found","CRITICAL: No Risk Profile",IF(I1488="Missing","WARN: Missing KYC",IF(I1488="Expired","WARN: KYC Expired",IF(I1488="Pending","INFO: KYC Pending","OK"))))</f>
        <v/>
      </c>
    </row>
    <row r="1489">
      <c r="A1489" s="4">
        <f>Raw_Transactions!A1489</f>
        <v/>
      </c>
      <c r="B1489" s="4">
        <f>Raw_Transactions!B1489</f>
        <v/>
      </c>
      <c r="C1489" s="4">
        <f>Raw_Transactions!C1489</f>
        <v/>
      </c>
      <c r="D1489" s="5">
        <f>Raw_Transactions!D1489</f>
        <v/>
      </c>
      <c r="E1489" s="4">
        <f>Raw_Transactions!E1489</f>
        <v/>
      </c>
      <c r="F1489" s="4">
        <f>Raw_Transactions!F1489</f>
        <v/>
      </c>
      <c r="G1489" s="4">
        <f>Raw_Transactions!G1489</f>
        <v/>
      </c>
      <c r="H1489" s="4">
        <f>XLOOKUP(B1489,Raw_Risk_Profiles!$A:$A,Raw_Risk_Profiles!$B:$B,"Not Found")</f>
        <v/>
      </c>
      <c r="I1489" s="4">
        <f>XLOOKUP(B1489,Raw_Risk_Profiles!$A:$A,Raw_Risk_Profiles!$C:$C,"Missing")</f>
        <v/>
      </c>
      <c r="J1489" s="4">
        <f>XLOOKUP(B1489,Raw_Risk_Profiles!$A:$A,Raw_Risk_Profiles!$D:$D,"")</f>
        <v/>
      </c>
      <c r="K1489" s="4">
        <f>IFERROR(INDEX(Raw_Risk_Profiles!$E:$E,MATCH(B1489,Raw_Risk_Profiles!$A:$A,0)),"Unknown")</f>
        <v/>
      </c>
      <c r="L1489" s="4">
        <f>IFERROR(XLOOKUP(A1489,Raw_Alerts!$B:$B,Raw_Alerts!$A:$A),"No Alert")</f>
        <v/>
      </c>
      <c r="M1489" s="4">
        <f>IFERROR(XLOOKUP(A1489,Raw_Alerts!$B:$B,Raw_Alerts!$C:$C),"")</f>
        <v/>
      </c>
      <c r="N1489" s="4">
        <f>IFERROR(XLOOKUP(A1489,Raw_Alerts!$B:$B,Raw_Alerts!$D:$D),"")</f>
        <v/>
      </c>
      <c r="O1489" s="4">
        <f>IFERROR(XLOOKUP(A1489,Raw_Alerts!$B:$B,Raw_Alerts!$F:$F),"")</f>
        <v/>
      </c>
      <c r="P1489" s="4">
        <f>IF(H1489="Not Found","CRITICAL: No Risk Profile",IF(I1489="Missing","WARN: Missing KYC",IF(I1489="Expired","WARN: KYC Expired",IF(I1489="Pending","INFO: KYC Pending","OK"))))</f>
        <v/>
      </c>
    </row>
    <row r="1490">
      <c r="A1490" s="2">
        <f>Raw_Transactions!A1490</f>
        <v/>
      </c>
      <c r="B1490" s="2">
        <f>Raw_Transactions!B1490</f>
        <v/>
      </c>
      <c r="C1490" s="2">
        <f>Raw_Transactions!C1490</f>
        <v/>
      </c>
      <c r="D1490" s="3">
        <f>Raw_Transactions!D1490</f>
        <v/>
      </c>
      <c r="E1490" s="2">
        <f>Raw_Transactions!E1490</f>
        <v/>
      </c>
      <c r="F1490" s="2">
        <f>Raw_Transactions!F1490</f>
        <v/>
      </c>
      <c r="G1490" s="2">
        <f>Raw_Transactions!G1490</f>
        <v/>
      </c>
      <c r="H1490" s="2">
        <f>XLOOKUP(B1490,Raw_Risk_Profiles!$A:$A,Raw_Risk_Profiles!$B:$B,"Not Found")</f>
        <v/>
      </c>
      <c r="I1490" s="2">
        <f>XLOOKUP(B1490,Raw_Risk_Profiles!$A:$A,Raw_Risk_Profiles!$C:$C,"Missing")</f>
        <v/>
      </c>
      <c r="J1490" s="2">
        <f>XLOOKUP(B1490,Raw_Risk_Profiles!$A:$A,Raw_Risk_Profiles!$D:$D,"")</f>
        <v/>
      </c>
      <c r="K1490" s="2">
        <f>IFERROR(INDEX(Raw_Risk_Profiles!$E:$E,MATCH(B1490,Raw_Risk_Profiles!$A:$A,0)),"Unknown")</f>
        <v/>
      </c>
      <c r="L1490" s="2">
        <f>IFERROR(XLOOKUP(A1490,Raw_Alerts!$B:$B,Raw_Alerts!$A:$A),"No Alert")</f>
        <v/>
      </c>
      <c r="M1490" s="2">
        <f>IFERROR(XLOOKUP(A1490,Raw_Alerts!$B:$B,Raw_Alerts!$C:$C),"")</f>
        <v/>
      </c>
      <c r="N1490" s="2">
        <f>IFERROR(XLOOKUP(A1490,Raw_Alerts!$B:$B,Raw_Alerts!$D:$D),"")</f>
        <v/>
      </c>
      <c r="O1490" s="2">
        <f>IFERROR(XLOOKUP(A1490,Raw_Alerts!$B:$B,Raw_Alerts!$F:$F),"")</f>
        <v/>
      </c>
      <c r="P1490" s="2">
        <f>IF(H1490="Not Found","CRITICAL: No Risk Profile",IF(I1490="Missing","WARN: Missing KYC",IF(I1490="Expired","WARN: KYC Expired",IF(I1490="Pending","INFO: KYC Pending","OK"))))</f>
        <v/>
      </c>
    </row>
    <row r="1491">
      <c r="A1491" s="4">
        <f>Raw_Transactions!A1491</f>
        <v/>
      </c>
      <c r="B1491" s="4">
        <f>Raw_Transactions!B1491</f>
        <v/>
      </c>
      <c r="C1491" s="4">
        <f>Raw_Transactions!C1491</f>
        <v/>
      </c>
      <c r="D1491" s="5">
        <f>Raw_Transactions!D1491</f>
        <v/>
      </c>
      <c r="E1491" s="4">
        <f>Raw_Transactions!E1491</f>
        <v/>
      </c>
      <c r="F1491" s="4">
        <f>Raw_Transactions!F1491</f>
        <v/>
      </c>
      <c r="G1491" s="4">
        <f>Raw_Transactions!G1491</f>
        <v/>
      </c>
      <c r="H1491" s="4">
        <f>XLOOKUP(B1491,Raw_Risk_Profiles!$A:$A,Raw_Risk_Profiles!$B:$B,"Not Found")</f>
        <v/>
      </c>
      <c r="I1491" s="4">
        <f>XLOOKUP(B1491,Raw_Risk_Profiles!$A:$A,Raw_Risk_Profiles!$C:$C,"Missing")</f>
        <v/>
      </c>
      <c r="J1491" s="4">
        <f>XLOOKUP(B1491,Raw_Risk_Profiles!$A:$A,Raw_Risk_Profiles!$D:$D,"")</f>
        <v/>
      </c>
      <c r="K1491" s="4">
        <f>IFERROR(INDEX(Raw_Risk_Profiles!$E:$E,MATCH(B1491,Raw_Risk_Profiles!$A:$A,0)),"Unknown")</f>
        <v/>
      </c>
      <c r="L1491" s="4">
        <f>IFERROR(XLOOKUP(A1491,Raw_Alerts!$B:$B,Raw_Alerts!$A:$A),"No Alert")</f>
        <v/>
      </c>
      <c r="M1491" s="4">
        <f>IFERROR(XLOOKUP(A1491,Raw_Alerts!$B:$B,Raw_Alerts!$C:$C),"")</f>
        <v/>
      </c>
      <c r="N1491" s="4">
        <f>IFERROR(XLOOKUP(A1491,Raw_Alerts!$B:$B,Raw_Alerts!$D:$D),"")</f>
        <v/>
      </c>
      <c r="O1491" s="4">
        <f>IFERROR(XLOOKUP(A1491,Raw_Alerts!$B:$B,Raw_Alerts!$F:$F),"")</f>
        <v/>
      </c>
      <c r="P1491" s="4">
        <f>IF(H1491="Not Found","CRITICAL: No Risk Profile",IF(I1491="Missing","WARN: Missing KYC",IF(I1491="Expired","WARN: KYC Expired",IF(I1491="Pending","INFO: KYC Pending","OK"))))</f>
        <v/>
      </c>
    </row>
    <row r="1492">
      <c r="A1492" s="2">
        <f>Raw_Transactions!A1492</f>
        <v/>
      </c>
      <c r="B1492" s="2">
        <f>Raw_Transactions!B1492</f>
        <v/>
      </c>
      <c r="C1492" s="2">
        <f>Raw_Transactions!C1492</f>
        <v/>
      </c>
      <c r="D1492" s="3">
        <f>Raw_Transactions!D1492</f>
        <v/>
      </c>
      <c r="E1492" s="2">
        <f>Raw_Transactions!E1492</f>
        <v/>
      </c>
      <c r="F1492" s="2">
        <f>Raw_Transactions!F1492</f>
        <v/>
      </c>
      <c r="G1492" s="2">
        <f>Raw_Transactions!G1492</f>
        <v/>
      </c>
      <c r="H1492" s="2">
        <f>XLOOKUP(B1492,Raw_Risk_Profiles!$A:$A,Raw_Risk_Profiles!$B:$B,"Not Found")</f>
        <v/>
      </c>
      <c r="I1492" s="2">
        <f>XLOOKUP(B1492,Raw_Risk_Profiles!$A:$A,Raw_Risk_Profiles!$C:$C,"Missing")</f>
        <v/>
      </c>
      <c r="J1492" s="2">
        <f>XLOOKUP(B1492,Raw_Risk_Profiles!$A:$A,Raw_Risk_Profiles!$D:$D,"")</f>
        <v/>
      </c>
      <c r="K1492" s="2">
        <f>IFERROR(INDEX(Raw_Risk_Profiles!$E:$E,MATCH(B1492,Raw_Risk_Profiles!$A:$A,0)),"Unknown")</f>
        <v/>
      </c>
      <c r="L1492" s="2">
        <f>IFERROR(XLOOKUP(A1492,Raw_Alerts!$B:$B,Raw_Alerts!$A:$A),"No Alert")</f>
        <v/>
      </c>
      <c r="M1492" s="2">
        <f>IFERROR(XLOOKUP(A1492,Raw_Alerts!$B:$B,Raw_Alerts!$C:$C),"")</f>
        <v/>
      </c>
      <c r="N1492" s="2">
        <f>IFERROR(XLOOKUP(A1492,Raw_Alerts!$B:$B,Raw_Alerts!$D:$D),"")</f>
        <v/>
      </c>
      <c r="O1492" s="2">
        <f>IFERROR(XLOOKUP(A1492,Raw_Alerts!$B:$B,Raw_Alerts!$F:$F),"")</f>
        <v/>
      </c>
      <c r="P1492" s="2">
        <f>IF(H1492="Not Found","CRITICAL: No Risk Profile",IF(I1492="Missing","WARN: Missing KYC",IF(I1492="Expired","WARN: KYC Expired",IF(I1492="Pending","INFO: KYC Pending","OK"))))</f>
        <v/>
      </c>
    </row>
    <row r="1493">
      <c r="A1493" s="4">
        <f>Raw_Transactions!A1493</f>
        <v/>
      </c>
      <c r="B1493" s="4">
        <f>Raw_Transactions!B1493</f>
        <v/>
      </c>
      <c r="C1493" s="4">
        <f>Raw_Transactions!C1493</f>
        <v/>
      </c>
      <c r="D1493" s="5">
        <f>Raw_Transactions!D1493</f>
        <v/>
      </c>
      <c r="E1493" s="4">
        <f>Raw_Transactions!E1493</f>
        <v/>
      </c>
      <c r="F1493" s="4">
        <f>Raw_Transactions!F1493</f>
        <v/>
      </c>
      <c r="G1493" s="4">
        <f>Raw_Transactions!G1493</f>
        <v/>
      </c>
      <c r="H1493" s="4">
        <f>XLOOKUP(B1493,Raw_Risk_Profiles!$A:$A,Raw_Risk_Profiles!$B:$B,"Not Found")</f>
        <v/>
      </c>
      <c r="I1493" s="4">
        <f>XLOOKUP(B1493,Raw_Risk_Profiles!$A:$A,Raw_Risk_Profiles!$C:$C,"Missing")</f>
        <v/>
      </c>
      <c r="J1493" s="4">
        <f>XLOOKUP(B1493,Raw_Risk_Profiles!$A:$A,Raw_Risk_Profiles!$D:$D,"")</f>
        <v/>
      </c>
      <c r="K1493" s="4">
        <f>IFERROR(INDEX(Raw_Risk_Profiles!$E:$E,MATCH(B1493,Raw_Risk_Profiles!$A:$A,0)),"Unknown")</f>
        <v/>
      </c>
      <c r="L1493" s="4">
        <f>IFERROR(XLOOKUP(A1493,Raw_Alerts!$B:$B,Raw_Alerts!$A:$A),"No Alert")</f>
        <v/>
      </c>
      <c r="M1493" s="4">
        <f>IFERROR(XLOOKUP(A1493,Raw_Alerts!$B:$B,Raw_Alerts!$C:$C),"")</f>
        <v/>
      </c>
      <c r="N1493" s="4">
        <f>IFERROR(XLOOKUP(A1493,Raw_Alerts!$B:$B,Raw_Alerts!$D:$D),"")</f>
        <v/>
      </c>
      <c r="O1493" s="4">
        <f>IFERROR(XLOOKUP(A1493,Raw_Alerts!$B:$B,Raw_Alerts!$F:$F),"")</f>
        <v/>
      </c>
      <c r="P1493" s="4">
        <f>IF(H1493="Not Found","CRITICAL: No Risk Profile",IF(I1493="Missing","WARN: Missing KYC",IF(I1493="Expired","WARN: KYC Expired",IF(I1493="Pending","INFO: KYC Pending","OK"))))</f>
        <v/>
      </c>
    </row>
    <row r="1494">
      <c r="A1494" s="2">
        <f>Raw_Transactions!A1494</f>
        <v/>
      </c>
      <c r="B1494" s="2">
        <f>Raw_Transactions!B1494</f>
        <v/>
      </c>
      <c r="C1494" s="2">
        <f>Raw_Transactions!C1494</f>
        <v/>
      </c>
      <c r="D1494" s="3">
        <f>Raw_Transactions!D1494</f>
        <v/>
      </c>
      <c r="E1494" s="2">
        <f>Raw_Transactions!E1494</f>
        <v/>
      </c>
      <c r="F1494" s="2">
        <f>Raw_Transactions!F1494</f>
        <v/>
      </c>
      <c r="G1494" s="2">
        <f>Raw_Transactions!G1494</f>
        <v/>
      </c>
      <c r="H1494" s="2">
        <f>XLOOKUP(B1494,Raw_Risk_Profiles!$A:$A,Raw_Risk_Profiles!$B:$B,"Not Found")</f>
        <v/>
      </c>
      <c r="I1494" s="2">
        <f>XLOOKUP(B1494,Raw_Risk_Profiles!$A:$A,Raw_Risk_Profiles!$C:$C,"Missing")</f>
        <v/>
      </c>
      <c r="J1494" s="2">
        <f>XLOOKUP(B1494,Raw_Risk_Profiles!$A:$A,Raw_Risk_Profiles!$D:$D,"")</f>
        <v/>
      </c>
      <c r="K1494" s="2">
        <f>IFERROR(INDEX(Raw_Risk_Profiles!$E:$E,MATCH(B1494,Raw_Risk_Profiles!$A:$A,0)),"Unknown")</f>
        <v/>
      </c>
      <c r="L1494" s="2">
        <f>IFERROR(XLOOKUP(A1494,Raw_Alerts!$B:$B,Raw_Alerts!$A:$A),"No Alert")</f>
        <v/>
      </c>
      <c r="M1494" s="2">
        <f>IFERROR(XLOOKUP(A1494,Raw_Alerts!$B:$B,Raw_Alerts!$C:$C),"")</f>
        <v/>
      </c>
      <c r="N1494" s="2">
        <f>IFERROR(XLOOKUP(A1494,Raw_Alerts!$B:$B,Raw_Alerts!$D:$D),"")</f>
        <v/>
      </c>
      <c r="O1494" s="2">
        <f>IFERROR(XLOOKUP(A1494,Raw_Alerts!$B:$B,Raw_Alerts!$F:$F),"")</f>
        <v/>
      </c>
      <c r="P1494" s="2">
        <f>IF(H1494="Not Found","CRITICAL: No Risk Profile",IF(I1494="Missing","WARN: Missing KYC",IF(I1494="Expired","WARN: KYC Expired",IF(I1494="Pending","INFO: KYC Pending","OK"))))</f>
        <v/>
      </c>
    </row>
    <row r="1495">
      <c r="A1495" s="4">
        <f>Raw_Transactions!A1495</f>
        <v/>
      </c>
      <c r="B1495" s="4">
        <f>Raw_Transactions!B1495</f>
        <v/>
      </c>
      <c r="C1495" s="4">
        <f>Raw_Transactions!C1495</f>
        <v/>
      </c>
      <c r="D1495" s="5">
        <f>Raw_Transactions!D1495</f>
        <v/>
      </c>
      <c r="E1495" s="4">
        <f>Raw_Transactions!E1495</f>
        <v/>
      </c>
      <c r="F1495" s="4">
        <f>Raw_Transactions!F1495</f>
        <v/>
      </c>
      <c r="G1495" s="4">
        <f>Raw_Transactions!G1495</f>
        <v/>
      </c>
      <c r="H1495" s="4">
        <f>XLOOKUP(B1495,Raw_Risk_Profiles!$A:$A,Raw_Risk_Profiles!$B:$B,"Not Found")</f>
        <v/>
      </c>
      <c r="I1495" s="4">
        <f>XLOOKUP(B1495,Raw_Risk_Profiles!$A:$A,Raw_Risk_Profiles!$C:$C,"Missing")</f>
        <v/>
      </c>
      <c r="J1495" s="4">
        <f>XLOOKUP(B1495,Raw_Risk_Profiles!$A:$A,Raw_Risk_Profiles!$D:$D,"")</f>
        <v/>
      </c>
      <c r="K1495" s="4">
        <f>IFERROR(INDEX(Raw_Risk_Profiles!$E:$E,MATCH(B1495,Raw_Risk_Profiles!$A:$A,0)),"Unknown")</f>
        <v/>
      </c>
      <c r="L1495" s="4">
        <f>IFERROR(XLOOKUP(A1495,Raw_Alerts!$B:$B,Raw_Alerts!$A:$A),"No Alert")</f>
        <v/>
      </c>
      <c r="M1495" s="4">
        <f>IFERROR(XLOOKUP(A1495,Raw_Alerts!$B:$B,Raw_Alerts!$C:$C),"")</f>
        <v/>
      </c>
      <c r="N1495" s="4">
        <f>IFERROR(XLOOKUP(A1495,Raw_Alerts!$B:$B,Raw_Alerts!$D:$D),"")</f>
        <v/>
      </c>
      <c r="O1495" s="4">
        <f>IFERROR(XLOOKUP(A1495,Raw_Alerts!$B:$B,Raw_Alerts!$F:$F),"")</f>
        <v/>
      </c>
      <c r="P1495" s="4">
        <f>IF(H1495="Not Found","CRITICAL: No Risk Profile",IF(I1495="Missing","WARN: Missing KYC",IF(I1495="Expired","WARN: KYC Expired",IF(I1495="Pending","INFO: KYC Pending","OK"))))</f>
        <v/>
      </c>
    </row>
    <row r="1496">
      <c r="A1496" s="2">
        <f>Raw_Transactions!A1496</f>
        <v/>
      </c>
      <c r="B1496" s="2">
        <f>Raw_Transactions!B1496</f>
        <v/>
      </c>
      <c r="C1496" s="2">
        <f>Raw_Transactions!C1496</f>
        <v/>
      </c>
      <c r="D1496" s="3">
        <f>Raw_Transactions!D1496</f>
        <v/>
      </c>
      <c r="E1496" s="2">
        <f>Raw_Transactions!E1496</f>
        <v/>
      </c>
      <c r="F1496" s="2">
        <f>Raw_Transactions!F1496</f>
        <v/>
      </c>
      <c r="G1496" s="2">
        <f>Raw_Transactions!G1496</f>
        <v/>
      </c>
      <c r="H1496" s="2">
        <f>XLOOKUP(B1496,Raw_Risk_Profiles!$A:$A,Raw_Risk_Profiles!$B:$B,"Not Found")</f>
        <v/>
      </c>
      <c r="I1496" s="2">
        <f>XLOOKUP(B1496,Raw_Risk_Profiles!$A:$A,Raw_Risk_Profiles!$C:$C,"Missing")</f>
        <v/>
      </c>
      <c r="J1496" s="2">
        <f>XLOOKUP(B1496,Raw_Risk_Profiles!$A:$A,Raw_Risk_Profiles!$D:$D,"")</f>
        <v/>
      </c>
      <c r="K1496" s="2">
        <f>IFERROR(INDEX(Raw_Risk_Profiles!$E:$E,MATCH(B1496,Raw_Risk_Profiles!$A:$A,0)),"Unknown")</f>
        <v/>
      </c>
      <c r="L1496" s="2">
        <f>IFERROR(XLOOKUP(A1496,Raw_Alerts!$B:$B,Raw_Alerts!$A:$A),"No Alert")</f>
        <v/>
      </c>
      <c r="M1496" s="2">
        <f>IFERROR(XLOOKUP(A1496,Raw_Alerts!$B:$B,Raw_Alerts!$C:$C),"")</f>
        <v/>
      </c>
      <c r="N1496" s="2">
        <f>IFERROR(XLOOKUP(A1496,Raw_Alerts!$B:$B,Raw_Alerts!$D:$D),"")</f>
        <v/>
      </c>
      <c r="O1496" s="2">
        <f>IFERROR(XLOOKUP(A1496,Raw_Alerts!$B:$B,Raw_Alerts!$F:$F),"")</f>
        <v/>
      </c>
      <c r="P1496" s="2">
        <f>IF(H1496="Not Found","CRITICAL: No Risk Profile",IF(I1496="Missing","WARN: Missing KYC",IF(I1496="Expired","WARN: KYC Expired",IF(I1496="Pending","INFO: KYC Pending","OK"))))</f>
        <v/>
      </c>
    </row>
    <row r="1497">
      <c r="A1497" s="4">
        <f>Raw_Transactions!A1497</f>
        <v/>
      </c>
      <c r="B1497" s="4">
        <f>Raw_Transactions!B1497</f>
        <v/>
      </c>
      <c r="C1497" s="4">
        <f>Raw_Transactions!C1497</f>
        <v/>
      </c>
      <c r="D1497" s="5">
        <f>Raw_Transactions!D1497</f>
        <v/>
      </c>
      <c r="E1497" s="4">
        <f>Raw_Transactions!E1497</f>
        <v/>
      </c>
      <c r="F1497" s="4">
        <f>Raw_Transactions!F1497</f>
        <v/>
      </c>
      <c r="G1497" s="4">
        <f>Raw_Transactions!G1497</f>
        <v/>
      </c>
      <c r="H1497" s="4">
        <f>XLOOKUP(B1497,Raw_Risk_Profiles!$A:$A,Raw_Risk_Profiles!$B:$B,"Not Found")</f>
        <v/>
      </c>
      <c r="I1497" s="4">
        <f>XLOOKUP(B1497,Raw_Risk_Profiles!$A:$A,Raw_Risk_Profiles!$C:$C,"Missing")</f>
        <v/>
      </c>
      <c r="J1497" s="4">
        <f>XLOOKUP(B1497,Raw_Risk_Profiles!$A:$A,Raw_Risk_Profiles!$D:$D,"")</f>
        <v/>
      </c>
      <c r="K1497" s="4">
        <f>IFERROR(INDEX(Raw_Risk_Profiles!$E:$E,MATCH(B1497,Raw_Risk_Profiles!$A:$A,0)),"Unknown")</f>
        <v/>
      </c>
      <c r="L1497" s="4">
        <f>IFERROR(XLOOKUP(A1497,Raw_Alerts!$B:$B,Raw_Alerts!$A:$A),"No Alert")</f>
        <v/>
      </c>
      <c r="M1497" s="4">
        <f>IFERROR(XLOOKUP(A1497,Raw_Alerts!$B:$B,Raw_Alerts!$C:$C),"")</f>
        <v/>
      </c>
      <c r="N1497" s="4">
        <f>IFERROR(XLOOKUP(A1497,Raw_Alerts!$B:$B,Raw_Alerts!$D:$D),"")</f>
        <v/>
      </c>
      <c r="O1497" s="4">
        <f>IFERROR(XLOOKUP(A1497,Raw_Alerts!$B:$B,Raw_Alerts!$F:$F),"")</f>
        <v/>
      </c>
      <c r="P1497" s="4">
        <f>IF(H1497="Not Found","CRITICAL: No Risk Profile",IF(I1497="Missing","WARN: Missing KYC",IF(I1497="Expired","WARN: KYC Expired",IF(I1497="Pending","INFO: KYC Pending","OK"))))</f>
        <v/>
      </c>
    </row>
    <row r="1498">
      <c r="A1498" s="2">
        <f>Raw_Transactions!A1498</f>
        <v/>
      </c>
      <c r="B1498" s="2">
        <f>Raw_Transactions!B1498</f>
        <v/>
      </c>
      <c r="C1498" s="2">
        <f>Raw_Transactions!C1498</f>
        <v/>
      </c>
      <c r="D1498" s="3">
        <f>Raw_Transactions!D1498</f>
        <v/>
      </c>
      <c r="E1498" s="2">
        <f>Raw_Transactions!E1498</f>
        <v/>
      </c>
      <c r="F1498" s="2">
        <f>Raw_Transactions!F1498</f>
        <v/>
      </c>
      <c r="G1498" s="2">
        <f>Raw_Transactions!G1498</f>
        <v/>
      </c>
      <c r="H1498" s="2">
        <f>XLOOKUP(B1498,Raw_Risk_Profiles!$A:$A,Raw_Risk_Profiles!$B:$B,"Not Found")</f>
        <v/>
      </c>
      <c r="I1498" s="2">
        <f>XLOOKUP(B1498,Raw_Risk_Profiles!$A:$A,Raw_Risk_Profiles!$C:$C,"Missing")</f>
        <v/>
      </c>
      <c r="J1498" s="2">
        <f>XLOOKUP(B1498,Raw_Risk_Profiles!$A:$A,Raw_Risk_Profiles!$D:$D,"")</f>
        <v/>
      </c>
      <c r="K1498" s="2">
        <f>IFERROR(INDEX(Raw_Risk_Profiles!$E:$E,MATCH(B1498,Raw_Risk_Profiles!$A:$A,0)),"Unknown")</f>
        <v/>
      </c>
      <c r="L1498" s="2">
        <f>IFERROR(XLOOKUP(A1498,Raw_Alerts!$B:$B,Raw_Alerts!$A:$A),"No Alert")</f>
        <v/>
      </c>
      <c r="M1498" s="2">
        <f>IFERROR(XLOOKUP(A1498,Raw_Alerts!$B:$B,Raw_Alerts!$C:$C),"")</f>
        <v/>
      </c>
      <c r="N1498" s="2">
        <f>IFERROR(XLOOKUP(A1498,Raw_Alerts!$B:$B,Raw_Alerts!$D:$D),"")</f>
        <v/>
      </c>
      <c r="O1498" s="2">
        <f>IFERROR(XLOOKUP(A1498,Raw_Alerts!$B:$B,Raw_Alerts!$F:$F),"")</f>
        <v/>
      </c>
      <c r="P1498" s="2">
        <f>IF(H1498="Not Found","CRITICAL: No Risk Profile",IF(I1498="Missing","WARN: Missing KYC",IF(I1498="Expired","WARN: KYC Expired",IF(I1498="Pending","INFO: KYC Pending","OK"))))</f>
        <v/>
      </c>
    </row>
    <row r="1499">
      <c r="A1499" s="4">
        <f>Raw_Transactions!A1499</f>
        <v/>
      </c>
      <c r="B1499" s="4">
        <f>Raw_Transactions!B1499</f>
        <v/>
      </c>
      <c r="C1499" s="4">
        <f>Raw_Transactions!C1499</f>
        <v/>
      </c>
      <c r="D1499" s="5">
        <f>Raw_Transactions!D1499</f>
        <v/>
      </c>
      <c r="E1499" s="4">
        <f>Raw_Transactions!E1499</f>
        <v/>
      </c>
      <c r="F1499" s="4">
        <f>Raw_Transactions!F1499</f>
        <v/>
      </c>
      <c r="G1499" s="4">
        <f>Raw_Transactions!G1499</f>
        <v/>
      </c>
      <c r="H1499" s="4">
        <f>XLOOKUP(B1499,Raw_Risk_Profiles!$A:$A,Raw_Risk_Profiles!$B:$B,"Not Found")</f>
        <v/>
      </c>
      <c r="I1499" s="4">
        <f>XLOOKUP(B1499,Raw_Risk_Profiles!$A:$A,Raw_Risk_Profiles!$C:$C,"Missing")</f>
        <v/>
      </c>
      <c r="J1499" s="4">
        <f>XLOOKUP(B1499,Raw_Risk_Profiles!$A:$A,Raw_Risk_Profiles!$D:$D,"")</f>
        <v/>
      </c>
      <c r="K1499" s="4">
        <f>IFERROR(INDEX(Raw_Risk_Profiles!$E:$E,MATCH(B1499,Raw_Risk_Profiles!$A:$A,0)),"Unknown")</f>
        <v/>
      </c>
      <c r="L1499" s="4">
        <f>IFERROR(XLOOKUP(A1499,Raw_Alerts!$B:$B,Raw_Alerts!$A:$A),"No Alert")</f>
        <v/>
      </c>
      <c r="M1499" s="4">
        <f>IFERROR(XLOOKUP(A1499,Raw_Alerts!$B:$B,Raw_Alerts!$C:$C),"")</f>
        <v/>
      </c>
      <c r="N1499" s="4">
        <f>IFERROR(XLOOKUP(A1499,Raw_Alerts!$B:$B,Raw_Alerts!$D:$D),"")</f>
        <v/>
      </c>
      <c r="O1499" s="4">
        <f>IFERROR(XLOOKUP(A1499,Raw_Alerts!$B:$B,Raw_Alerts!$F:$F),"")</f>
        <v/>
      </c>
      <c r="P1499" s="4">
        <f>IF(H1499="Not Found","CRITICAL: No Risk Profile",IF(I1499="Missing","WARN: Missing KYC",IF(I1499="Expired","WARN: KYC Expired",IF(I1499="Pending","INFO: KYC Pending","OK"))))</f>
        <v/>
      </c>
    </row>
    <row r="1500">
      <c r="A1500" s="2">
        <f>Raw_Transactions!A1500</f>
        <v/>
      </c>
      <c r="B1500" s="2">
        <f>Raw_Transactions!B1500</f>
        <v/>
      </c>
      <c r="C1500" s="2">
        <f>Raw_Transactions!C1500</f>
        <v/>
      </c>
      <c r="D1500" s="3">
        <f>Raw_Transactions!D1500</f>
        <v/>
      </c>
      <c r="E1500" s="2">
        <f>Raw_Transactions!E1500</f>
        <v/>
      </c>
      <c r="F1500" s="2">
        <f>Raw_Transactions!F1500</f>
        <v/>
      </c>
      <c r="G1500" s="2">
        <f>Raw_Transactions!G1500</f>
        <v/>
      </c>
      <c r="H1500" s="2">
        <f>XLOOKUP(B1500,Raw_Risk_Profiles!$A:$A,Raw_Risk_Profiles!$B:$B,"Not Found")</f>
        <v/>
      </c>
      <c r="I1500" s="2">
        <f>XLOOKUP(B1500,Raw_Risk_Profiles!$A:$A,Raw_Risk_Profiles!$C:$C,"Missing")</f>
        <v/>
      </c>
      <c r="J1500" s="2">
        <f>XLOOKUP(B1500,Raw_Risk_Profiles!$A:$A,Raw_Risk_Profiles!$D:$D,"")</f>
        <v/>
      </c>
      <c r="K1500" s="2">
        <f>IFERROR(INDEX(Raw_Risk_Profiles!$E:$E,MATCH(B1500,Raw_Risk_Profiles!$A:$A,0)),"Unknown")</f>
        <v/>
      </c>
      <c r="L1500" s="2">
        <f>IFERROR(XLOOKUP(A1500,Raw_Alerts!$B:$B,Raw_Alerts!$A:$A),"No Alert")</f>
        <v/>
      </c>
      <c r="M1500" s="2">
        <f>IFERROR(XLOOKUP(A1500,Raw_Alerts!$B:$B,Raw_Alerts!$C:$C),"")</f>
        <v/>
      </c>
      <c r="N1500" s="2">
        <f>IFERROR(XLOOKUP(A1500,Raw_Alerts!$B:$B,Raw_Alerts!$D:$D),"")</f>
        <v/>
      </c>
      <c r="O1500" s="2">
        <f>IFERROR(XLOOKUP(A1500,Raw_Alerts!$B:$B,Raw_Alerts!$F:$F),"")</f>
        <v/>
      </c>
      <c r="P1500" s="2">
        <f>IF(H1500="Not Found","CRITICAL: No Risk Profile",IF(I1500="Missing","WARN: Missing KYC",IF(I1500="Expired","WARN: KYC Expired",IF(I1500="Pending","INFO: KYC Pending","OK"))))</f>
        <v/>
      </c>
    </row>
    <row r="1501">
      <c r="A1501" s="4">
        <f>Raw_Transactions!A1501</f>
        <v/>
      </c>
      <c r="B1501" s="4">
        <f>Raw_Transactions!B1501</f>
        <v/>
      </c>
      <c r="C1501" s="4">
        <f>Raw_Transactions!C1501</f>
        <v/>
      </c>
      <c r="D1501" s="5">
        <f>Raw_Transactions!D1501</f>
        <v/>
      </c>
      <c r="E1501" s="4">
        <f>Raw_Transactions!E1501</f>
        <v/>
      </c>
      <c r="F1501" s="4">
        <f>Raw_Transactions!F1501</f>
        <v/>
      </c>
      <c r="G1501" s="4">
        <f>Raw_Transactions!G1501</f>
        <v/>
      </c>
      <c r="H1501" s="4">
        <f>XLOOKUP(B1501,Raw_Risk_Profiles!$A:$A,Raw_Risk_Profiles!$B:$B,"Not Found")</f>
        <v/>
      </c>
      <c r="I1501" s="4">
        <f>XLOOKUP(B1501,Raw_Risk_Profiles!$A:$A,Raw_Risk_Profiles!$C:$C,"Missing")</f>
        <v/>
      </c>
      <c r="J1501" s="4">
        <f>XLOOKUP(B1501,Raw_Risk_Profiles!$A:$A,Raw_Risk_Profiles!$D:$D,"")</f>
        <v/>
      </c>
      <c r="K1501" s="4">
        <f>IFERROR(INDEX(Raw_Risk_Profiles!$E:$E,MATCH(B1501,Raw_Risk_Profiles!$A:$A,0)),"Unknown")</f>
        <v/>
      </c>
      <c r="L1501" s="4">
        <f>IFERROR(XLOOKUP(A1501,Raw_Alerts!$B:$B,Raw_Alerts!$A:$A),"No Alert")</f>
        <v/>
      </c>
      <c r="M1501" s="4">
        <f>IFERROR(XLOOKUP(A1501,Raw_Alerts!$B:$B,Raw_Alerts!$C:$C),"")</f>
        <v/>
      </c>
      <c r="N1501" s="4">
        <f>IFERROR(XLOOKUP(A1501,Raw_Alerts!$B:$B,Raw_Alerts!$D:$D),"")</f>
        <v/>
      </c>
      <c r="O1501" s="4">
        <f>IFERROR(XLOOKUP(A1501,Raw_Alerts!$B:$B,Raw_Alerts!$F:$F),"")</f>
        <v/>
      </c>
      <c r="P1501" s="4">
        <f>IF(H1501="Not Found","CRITICAL: No Risk Profile",IF(I1501="Missing","WARN: Missing KYC",IF(I1501="Expired","WARN: KYC Expired",IF(I1501="Pending","INFO: KYC Pending","OK"))))</f>
        <v/>
      </c>
    </row>
    <row r="1502">
      <c r="A1502" s="2">
        <f>Raw_Transactions!A1502</f>
        <v/>
      </c>
      <c r="B1502" s="2">
        <f>Raw_Transactions!B1502</f>
        <v/>
      </c>
      <c r="C1502" s="2">
        <f>Raw_Transactions!C1502</f>
        <v/>
      </c>
      <c r="D1502" s="3">
        <f>Raw_Transactions!D1502</f>
        <v/>
      </c>
      <c r="E1502" s="2">
        <f>Raw_Transactions!E1502</f>
        <v/>
      </c>
      <c r="F1502" s="2">
        <f>Raw_Transactions!F1502</f>
        <v/>
      </c>
      <c r="G1502" s="2">
        <f>Raw_Transactions!G1502</f>
        <v/>
      </c>
      <c r="H1502" s="2">
        <f>XLOOKUP(B1502,Raw_Risk_Profiles!$A:$A,Raw_Risk_Profiles!$B:$B,"Not Found")</f>
        <v/>
      </c>
      <c r="I1502" s="2">
        <f>XLOOKUP(B1502,Raw_Risk_Profiles!$A:$A,Raw_Risk_Profiles!$C:$C,"Missing")</f>
        <v/>
      </c>
      <c r="J1502" s="2">
        <f>XLOOKUP(B1502,Raw_Risk_Profiles!$A:$A,Raw_Risk_Profiles!$D:$D,"")</f>
        <v/>
      </c>
      <c r="K1502" s="2">
        <f>IFERROR(INDEX(Raw_Risk_Profiles!$E:$E,MATCH(B1502,Raw_Risk_Profiles!$A:$A,0)),"Unknown")</f>
        <v/>
      </c>
      <c r="L1502" s="2">
        <f>IFERROR(XLOOKUP(A1502,Raw_Alerts!$B:$B,Raw_Alerts!$A:$A),"No Alert")</f>
        <v/>
      </c>
      <c r="M1502" s="2">
        <f>IFERROR(XLOOKUP(A1502,Raw_Alerts!$B:$B,Raw_Alerts!$C:$C),"")</f>
        <v/>
      </c>
      <c r="N1502" s="2">
        <f>IFERROR(XLOOKUP(A1502,Raw_Alerts!$B:$B,Raw_Alerts!$D:$D),"")</f>
        <v/>
      </c>
      <c r="O1502" s="2">
        <f>IFERROR(XLOOKUP(A1502,Raw_Alerts!$B:$B,Raw_Alerts!$F:$F),"")</f>
        <v/>
      </c>
      <c r="P1502" s="2">
        <f>IF(H1502="Not Found","CRITICAL: No Risk Profile",IF(I1502="Missing","WARN: Missing KYC",IF(I1502="Expired","WARN: KYC Expired",IF(I1502="Pending","INFO: KYC Pending","OK"))))</f>
        <v/>
      </c>
    </row>
    <row r="1503">
      <c r="A1503" s="4">
        <f>Raw_Transactions!A1503</f>
        <v/>
      </c>
      <c r="B1503" s="4">
        <f>Raw_Transactions!B1503</f>
        <v/>
      </c>
      <c r="C1503" s="4">
        <f>Raw_Transactions!C1503</f>
        <v/>
      </c>
      <c r="D1503" s="5">
        <f>Raw_Transactions!D1503</f>
        <v/>
      </c>
      <c r="E1503" s="4">
        <f>Raw_Transactions!E1503</f>
        <v/>
      </c>
      <c r="F1503" s="4">
        <f>Raw_Transactions!F1503</f>
        <v/>
      </c>
      <c r="G1503" s="4">
        <f>Raw_Transactions!G1503</f>
        <v/>
      </c>
      <c r="H1503" s="4">
        <f>XLOOKUP(B1503,Raw_Risk_Profiles!$A:$A,Raw_Risk_Profiles!$B:$B,"Not Found")</f>
        <v/>
      </c>
      <c r="I1503" s="4">
        <f>XLOOKUP(B1503,Raw_Risk_Profiles!$A:$A,Raw_Risk_Profiles!$C:$C,"Missing")</f>
        <v/>
      </c>
      <c r="J1503" s="4">
        <f>XLOOKUP(B1503,Raw_Risk_Profiles!$A:$A,Raw_Risk_Profiles!$D:$D,"")</f>
        <v/>
      </c>
      <c r="K1503" s="4">
        <f>IFERROR(INDEX(Raw_Risk_Profiles!$E:$E,MATCH(B1503,Raw_Risk_Profiles!$A:$A,0)),"Unknown")</f>
        <v/>
      </c>
      <c r="L1503" s="4">
        <f>IFERROR(XLOOKUP(A1503,Raw_Alerts!$B:$B,Raw_Alerts!$A:$A),"No Alert")</f>
        <v/>
      </c>
      <c r="M1503" s="4">
        <f>IFERROR(XLOOKUP(A1503,Raw_Alerts!$B:$B,Raw_Alerts!$C:$C),"")</f>
        <v/>
      </c>
      <c r="N1503" s="4">
        <f>IFERROR(XLOOKUP(A1503,Raw_Alerts!$B:$B,Raw_Alerts!$D:$D),"")</f>
        <v/>
      </c>
      <c r="O1503" s="4">
        <f>IFERROR(XLOOKUP(A1503,Raw_Alerts!$B:$B,Raw_Alerts!$F:$F),"")</f>
        <v/>
      </c>
      <c r="P1503" s="4">
        <f>IF(H1503="Not Found","CRITICAL: No Risk Profile",IF(I1503="Missing","WARN: Missing KYC",IF(I1503="Expired","WARN: KYC Expired",IF(I1503="Pending","INFO: KYC Pending","OK"))))</f>
        <v/>
      </c>
    </row>
    <row r="1504">
      <c r="A1504" s="2">
        <f>Raw_Transactions!A1504</f>
        <v/>
      </c>
      <c r="B1504" s="2">
        <f>Raw_Transactions!B1504</f>
        <v/>
      </c>
      <c r="C1504" s="2">
        <f>Raw_Transactions!C1504</f>
        <v/>
      </c>
      <c r="D1504" s="3">
        <f>Raw_Transactions!D1504</f>
        <v/>
      </c>
      <c r="E1504" s="2">
        <f>Raw_Transactions!E1504</f>
        <v/>
      </c>
      <c r="F1504" s="2">
        <f>Raw_Transactions!F1504</f>
        <v/>
      </c>
      <c r="G1504" s="2">
        <f>Raw_Transactions!G1504</f>
        <v/>
      </c>
      <c r="H1504" s="2">
        <f>XLOOKUP(B1504,Raw_Risk_Profiles!$A:$A,Raw_Risk_Profiles!$B:$B,"Not Found")</f>
        <v/>
      </c>
      <c r="I1504" s="2">
        <f>XLOOKUP(B1504,Raw_Risk_Profiles!$A:$A,Raw_Risk_Profiles!$C:$C,"Missing")</f>
        <v/>
      </c>
      <c r="J1504" s="2">
        <f>XLOOKUP(B1504,Raw_Risk_Profiles!$A:$A,Raw_Risk_Profiles!$D:$D,"")</f>
        <v/>
      </c>
      <c r="K1504" s="2">
        <f>IFERROR(INDEX(Raw_Risk_Profiles!$E:$E,MATCH(B1504,Raw_Risk_Profiles!$A:$A,0)),"Unknown")</f>
        <v/>
      </c>
      <c r="L1504" s="2">
        <f>IFERROR(XLOOKUP(A1504,Raw_Alerts!$B:$B,Raw_Alerts!$A:$A),"No Alert")</f>
        <v/>
      </c>
      <c r="M1504" s="2">
        <f>IFERROR(XLOOKUP(A1504,Raw_Alerts!$B:$B,Raw_Alerts!$C:$C),"")</f>
        <v/>
      </c>
      <c r="N1504" s="2">
        <f>IFERROR(XLOOKUP(A1504,Raw_Alerts!$B:$B,Raw_Alerts!$D:$D),"")</f>
        <v/>
      </c>
      <c r="O1504" s="2">
        <f>IFERROR(XLOOKUP(A1504,Raw_Alerts!$B:$B,Raw_Alerts!$F:$F),"")</f>
        <v/>
      </c>
      <c r="P1504" s="2">
        <f>IF(H1504="Not Found","CRITICAL: No Risk Profile",IF(I1504="Missing","WARN: Missing KYC",IF(I1504="Expired","WARN: KYC Expired",IF(I1504="Pending","INFO: KYC Pending","OK"))))</f>
        <v/>
      </c>
    </row>
    <row r="1505">
      <c r="A1505" s="4">
        <f>Raw_Transactions!A1505</f>
        <v/>
      </c>
      <c r="B1505" s="4">
        <f>Raw_Transactions!B1505</f>
        <v/>
      </c>
      <c r="C1505" s="4">
        <f>Raw_Transactions!C1505</f>
        <v/>
      </c>
      <c r="D1505" s="5">
        <f>Raw_Transactions!D1505</f>
        <v/>
      </c>
      <c r="E1505" s="4">
        <f>Raw_Transactions!E1505</f>
        <v/>
      </c>
      <c r="F1505" s="4">
        <f>Raw_Transactions!F1505</f>
        <v/>
      </c>
      <c r="G1505" s="4">
        <f>Raw_Transactions!G1505</f>
        <v/>
      </c>
      <c r="H1505" s="4">
        <f>XLOOKUP(B1505,Raw_Risk_Profiles!$A:$A,Raw_Risk_Profiles!$B:$B,"Not Found")</f>
        <v/>
      </c>
      <c r="I1505" s="4">
        <f>XLOOKUP(B1505,Raw_Risk_Profiles!$A:$A,Raw_Risk_Profiles!$C:$C,"Missing")</f>
        <v/>
      </c>
      <c r="J1505" s="4">
        <f>XLOOKUP(B1505,Raw_Risk_Profiles!$A:$A,Raw_Risk_Profiles!$D:$D,"")</f>
        <v/>
      </c>
      <c r="K1505" s="4">
        <f>IFERROR(INDEX(Raw_Risk_Profiles!$E:$E,MATCH(B1505,Raw_Risk_Profiles!$A:$A,0)),"Unknown")</f>
        <v/>
      </c>
      <c r="L1505" s="4">
        <f>IFERROR(XLOOKUP(A1505,Raw_Alerts!$B:$B,Raw_Alerts!$A:$A),"No Alert")</f>
        <v/>
      </c>
      <c r="M1505" s="4">
        <f>IFERROR(XLOOKUP(A1505,Raw_Alerts!$B:$B,Raw_Alerts!$C:$C),"")</f>
        <v/>
      </c>
      <c r="N1505" s="4">
        <f>IFERROR(XLOOKUP(A1505,Raw_Alerts!$B:$B,Raw_Alerts!$D:$D),"")</f>
        <v/>
      </c>
      <c r="O1505" s="4">
        <f>IFERROR(XLOOKUP(A1505,Raw_Alerts!$B:$B,Raw_Alerts!$F:$F),"")</f>
        <v/>
      </c>
      <c r="P1505" s="4">
        <f>IF(H1505="Not Found","CRITICAL: No Risk Profile",IF(I1505="Missing","WARN: Missing KYC",IF(I1505="Expired","WARN: KYC Expired",IF(I1505="Pending","INFO: KYC Pending","OK"))))</f>
        <v/>
      </c>
    </row>
    <row r="1506">
      <c r="A1506" s="2">
        <f>Raw_Transactions!A1506</f>
        <v/>
      </c>
      <c r="B1506" s="2">
        <f>Raw_Transactions!B1506</f>
        <v/>
      </c>
      <c r="C1506" s="2">
        <f>Raw_Transactions!C1506</f>
        <v/>
      </c>
      <c r="D1506" s="3">
        <f>Raw_Transactions!D1506</f>
        <v/>
      </c>
      <c r="E1506" s="2">
        <f>Raw_Transactions!E1506</f>
        <v/>
      </c>
      <c r="F1506" s="2">
        <f>Raw_Transactions!F1506</f>
        <v/>
      </c>
      <c r="G1506" s="2">
        <f>Raw_Transactions!G1506</f>
        <v/>
      </c>
      <c r="H1506" s="2">
        <f>XLOOKUP(B1506,Raw_Risk_Profiles!$A:$A,Raw_Risk_Profiles!$B:$B,"Not Found")</f>
        <v/>
      </c>
      <c r="I1506" s="2">
        <f>XLOOKUP(B1506,Raw_Risk_Profiles!$A:$A,Raw_Risk_Profiles!$C:$C,"Missing")</f>
        <v/>
      </c>
      <c r="J1506" s="2">
        <f>XLOOKUP(B1506,Raw_Risk_Profiles!$A:$A,Raw_Risk_Profiles!$D:$D,"")</f>
        <v/>
      </c>
      <c r="K1506" s="2">
        <f>IFERROR(INDEX(Raw_Risk_Profiles!$E:$E,MATCH(B1506,Raw_Risk_Profiles!$A:$A,0)),"Unknown")</f>
        <v/>
      </c>
      <c r="L1506" s="2">
        <f>IFERROR(XLOOKUP(A1506,Raw_Alerts!$B:$B,Raw_Alerts!$A:$A),"No Alert")</f>
        <v/>
      </c>
      <c r="M1506" s="2">
        <f>IFERROR(XLOOKUP(A1506,Raw_Alerts!$B:$B,Raw_Alerts!$C:$C),"")</f>
        <v/>
      </c>
      <c r="N1506" s="2">
        <f>IFERROR(XLOOKUP(A1506,Raw_Alerts!$B:$B,Raw_Alerts!$D:$D),"")</f>
        <v/>
      </c>
      <c r="O1506" s="2">
        <f>IFERROR(XLOOKUP(A1506,Raw_Alerts!$B:$B,Raw_Alerts!$F:$F),"")</f>
        <v/>
      </c>
      <c r="P1506" s="2">
        <f>IF(H1506="Not Found","CRITICAL: No Risk Profile",IF(I1506="Missing","WARN: Missing KYC",IF(I1506="Expired","WARN: KYC Expired",IF(I1506="Pending","INFO: KYC Pending","OK"))))</f>
        <v/>
      </c>
    </row>
    <row r="1507">
      <c r="A1507" s="4">
        <f>Raw_Transactions!A1507</f>
        <v/>
      </c>
      <c r="B1507" s="4">
        <f>Raw_Transactions!B1507</f>
        <v/>
      </c>
      <c r="C1507" s="4">
        <f>Raw_Transactions!C1507</f>
        <v/>
      </c>
      <c r="D1507" s="5">
        <f>Raw_Transactions!D1507</f>
        <v/>
      </c>
      <c r="E1507" s="4">
        <f>Raw_Transactions!E1507</f>
        <v/>
      </c>
      <c r="F1507" s="4">
        <f>Raw_Transactions!F1507</f>
        <v/>
      </c>
      <c r="G1507" s="4">
        <f>Raw_Transactions!G1507</f>
        <v/>
      </c>
      <c r="H1507" s="4">
        <f>XLOOKUP(B1507,Raw_Risk_Profiles!$A:$A,Raw_Risk_Profiles!$B:$B,"Not Found")</f>
        <v/>
      </c>
      <c r="I1507" s="4">
        <f>XLOOKUP(B1507,Raw_Risk_Profiles!$A:$A,Raw_Risk_Profiles!$C:$C,"Missing")</f>
        <v/>
      </c>
      <c r="J1507" s="4">
        <f>XLOOKUP(B1507,Raw_Risk_Profiles!$A:$A,Raw_Risk_Profiles!$D:$D,"")</f>
        <v/>
      </c>
      <c r="K1507" s="4">
        <f>IFERROR(INDEX(Raw_Risk_Profiles!$E:$E,MATCH(B1507,Raw_Risk_Profiles!$A:$A,0)),"Unknown")</f>
        <v/>
      </c>
      <c r="L1507" s="4">
        <f>IFERROR(XLOOKUP(A1507,Raw_Alerts!$B:$B,Raw_Alerts!$A:$A),"No Alert")</f>
        <v/>
      </c>
      <c r="M1507" s="4">
        <f>IFERROR(XLOOKUP(A1507,Raw_Alerts!$B:$B,Raw_Alerts!$C:$C),"")</f>
        <v/>
      </c>
      <c r="N1507" s="4">
        <f>IFERROR(XLOOKUP(A1507,Raw_Alerts!$B:$B,Raw_Alerts!$D:$D),"")</f>
        <v/>
      </c>
      <c r="O1507" s="4">
        <f>IFERROR(XLOOKUP(A1507,Raw_Alerts!$B:$B,Raw_Alerts!$F:$F),"")</f>
        <v/>
      </c>
      <c r="P1507" s="4">
        <f>IF(H1507="Not Found","CRITICAL: No Risk Profile",IF(I1507="Missing","WARN: Missing KYC",IF(I1507="Expired","WARN: KYC Expired",IF(I1507="Pending","INFO: KYC Pending","OK"))))</f>
        <v/>
      </c>
    </row>
    <row r="1508">
      <c r="A1508" s="2">
        <f>Raw_Transactions!A1508</f>
        <v/>
      </c>
      <c r="B1508" s="2">
        <f>Raw_Transactions!B1508</f>
        <v/>
      </c>
      <c r="C1508" s="2">
        <f>Raw_Transactions!C1508</f>
        <v/>
      </c>
      <c r="D1508" s="3">
        <f>Raw_Transactions!D1508</f>
        <v/>
      </c>
      <c r="E1508" s="2">
        <f>Raw_Transactions!E1508</f>
        <v/>
      </c>
      <c r="F1508" s="2">
        <f>Raw_Transactions!F1508</f>
        <v/>
      </c>
      <c r="G1508" s="2">
        <f>Raw_Transactions!G1508</f>
        <v/>
      </c>
      <c r="H1508" s="2">
        <f>XLOOKUP(B1508,Raw_Risk_Profiles!$A:$A,Raw_Risk_Profiles!$B:$B,"Not Found")</f>
        <v/>
      </c>
      <c r="I1508" s="2">
        <f>XLOOKUP(B1508,Raw_Risk_Profiles!$A:$A,Raw_Risk_Profiles!$C:$C,"Missing")</f>
        <v/>
      </c>
      <c r="J1508" s="2">
        <f>XLOOKUP(B1508,Raw_Risk_Profiles!$A:$A,Raw_Risk_Profiles!$D:$D,"")</f>
        <v/>
      </c>
      <c r="K1508" s="2">
        <f>IFERROR(INDEX(Raw_Risk_Profiles!$E:$E,MATCH(B1508,Raw_Risk_Profiles!$A:$A,0)),"Unknown")</f>
        <v/>
      </c>
      <c r="L1508" s="2">
        <f>IFERROR(XLOOKUP(A1508,Raw_Alerts!$B:$B,Raw_Alerts!$A:$A),"No Alert")</f>
        <v/>
      </c>
      <c r="M1508" s="2">
        <f>IFERROR(XLOOKUP(A1508,Raw_Alerts!$B:$B,Raw_Alerts!$C:$C),"")</f>
        <v/>
      </c>
      <c r="N1508" s="2">
        <f>IFERROR(XLOOKUP(A1508,Raw_Alerts!$B:$B,Raw_Alerts!$D:$D),"")</f>
        <v/>
      </c>
      <c r="O1508" s="2">
        <f>IFERROR(XLOOKUP(A1508,Raw_Alerts!$B:$B,Raw_Alerts!$F:$F),"")</f>
        <v/>
      </c>
      <c r="P1508" s="2">
        <f>IF(H1508="Not Found","CRITICAL: No Risk Profile",IF(I1508="Missing","WARN: Missing KYC",IF(I1508="Expired","WARN: KYC Expired",IF(I1508="Pending","INFO: KYC Pending","OK"))))</f>
        <v/>
      </c>
    </row>
    <row r="1509">
      <c r="A1509" s="4">
        <f>Raw_Transactions!A1509</f>
        <v/>
      </c>
      <c r="B1509" s="4">
        <f>Raw_Transactions!B1509</f>
        <v/>
      </c>
      <c r="C1509" s="4">
        <f>Raw_Transactions!C1509</f>
        <v/>
      </c>
      <c r="D1509" s="5">
        <f>Raw_Transactions!D1509</f>
        <v/>
      </c>
      <c r="E1509" s="4">
        <f>Raw_Transactions!E1509</f>
        <v/>
      </c>
      <c r="F1509" s="4">
        <f>Raw_Transactions!F1509</f>
        <v/>
      </c>
      <c r="G1509" s="4">
        <f>Raw_Transactions!G1509</f>
        <v/>
      </c>
      <c r="H1509" s="4">
        <f>XLOOKUP(B1509,Raw_Risk_Profiles!$A:$A,Raw_Risk_Profiles!$B:$B,"Not Found")</f>
        <v/>
      </c>
      <c r="I1509" s="4">
        <f>XLOOKUP(B1509,Raw_Risk_Profiles!$A:$A,Raw_Risk_Profiles!$C:$C,"Missing")</f>
        <v/>
      </c>
      <c r="J1509" s="4">
        <f>XLOOKUP(B1509,Raw_Risk_Profiles!$A:$A,Raw_Risk_Profiles!$D:$D,"")</f>
        <v/>
      </c>
      <c r="K1509" s="4">
        <f>IFERROR(INDEX(Raw_Risk_Profiles!$E:$E,MATCH(B1509,Raw_Risk_Profiles!$A:$A,0)),"Unknown")</f>
        <v/>
      </c>
      <c r="L1509" s="4">
        <f>IFERROR(XLOOKUP(A1509,Raw_Alerts!$B:$B,Raw_Alerts!$A:$A),"No Alert")</f>
        <v/>
      </c>
      <c r="M1509" s="4">
        <f>IFERROR(XLOOKUP(A1509,Raw_Alerts!$B:$B,Raw_Alerts!$C:$C),"")</f>
        <v/>
      </c>
      <c r="N1509" s="4">
        <f>IFERROR(XLOOKUP(A1509,Raw_Alerts!$B:$B,Raw_Alerts!$D:$D),"")</f>
        <v/>
      </c>
      <c r="O1509" s="4">
        <f>IFERROR(XLOOKUP(A1509,Raw_Alerts!$B:$B,Raw_Alerts!$F:$F),"")</f>
        <v/>
      </c>
      <c r="P1509" s="4">
        <f>IF(H1509="Not Found","CRITICAL: No Risk Profile",IF(I1509="Missing","WARN: Missing KYC",IF(I1509="Expired","WARN: KYC Expired",IF(I1509="Pending","INFO: KYC Pending","OK"))))</f>
        <v/>
      </c>
    </row>
    <row r="1510">
      <c r="A1510" s="2">
        <f>Raw_Transactions!A1510</f>
        <v/>
      </c>
      <c r="B1510" s="2">
        <f>Raw_Transactions!B1510</f>
        <v/>
      </c>
      <c r="C1510" s="2">
        <f>Raw_Transactions!C1510</f>
        <v/>
      </c>
      <c r="D1510" s="3">
        <f>Raw_Transactions!D1510</f>
        <v/>
      </c>
      <c r="E1510" s="2">
        <f>Raw_Transactions!E1510</f>
        <v/>
      </c>
      <c r="F1510" s="2">
        <f>Raw_Transactions!F1510</f>
        <v/>
      </c>
      <c r="G1510" s="2">
        <f>Raw_Transactions!G1510</f>
        <v/>
      </c>
      <c r="H1510" s="2">
        <f>XLOOKUP(B1510,Raw_Risk_Profiles!$A:$A,Raw_Risk_Profiles!$B:$B,"Not Found")</f>
        <v/>
      </c>
      <c r="I1510" s="2">
        <f>XLOOKUP(B1510,Raw_Risk_Profiles!$A:$A,Raw_Risk_Profiles!$C:$C,"Missing")</f>
        <v/>
      </c>
      <c r="J1510" s="2">
        <f>XLOOKUP(B1510,Raw_Risk_Profiles!$A:$A,Raw_Risk_Profiles!$D:$D,"")</f>
        <v/>
      </c>
      <c r="K1510" s="2">
        <f>IFERROR(INDEX(Raw_Risk_Profiles!$E:$E,MATCH(B1510,Raw_Risk_Profiles!$A:$A,0)),"Unknown")</f>
        <v/>
      </c>
      <c r="L1510" s="2">
        <f>IFERROR(XLOOKUP(A1510,Raw_Alerts!$B:$B,Raw_Alerts!$A:$A),"No Alert")</f>
        <v/>
      </c>
      <c r="M1510" s="2">
        <f>IFERROR(XLOOKUP(A1510,Raw_Alerts!$B:$B,Raw_Alerts!$C:$C),"")</f>
        <v/>
      </c>
      <c r="N1510" s="2">
        <f>IFERROR(XLOOKUP(A1510,Raw_Alerts!$B:$B,Raw_Alerts!$D:$D),"")</f>
        <v/>
      </c>
      <c r="O1510" s="2">
        <f>IFERROR(XLOOKUP(A1510,Raw_Alerts!$B:$B,Raw_Alerts!$F:$F),"")</f>
        <v/>
      </c>
      <c r="P1510" s="2">
        <f>IF(H1510="Not Found","CRITICAL: No Risk Profile",IF(I1510="Missing","WARN: Missing KYC",IF(I1510="Expired","WARN: KYC Expired",IF(I1510="Pending","INFO: KYC Pending","OK"))))</f>
        <v/>
      </c>
    </row>
    <row r="1511">
      <c r="A1511" s="4">
        <f>Raw_Transactions!A1511</f>
        <v/>
      </c>
      <c r="B1511" s="4">
        <f>Raw_Transactions!B1511</f>
        <v/>
      </c>
      <c r="C1511" s="4">
        <f>Raw_Transactions!C1511</f>
        <v/>
      </c>
      <c r="D1511" s="5">
        <f>Raw_Transactions!D1511</f>
        <v/>
      </c>
      <c r="E1511" s="4">
        <f>Raw_Transactions!E1511</f>
        <v/>
      </c>
      <c r="F1511" s="4">
        <f>Raw_Transactions!F1511</f>
        <v/>
      </c>
      <c r="G1511" s="4">
        <f>Raw_Transactions!G1511</f>
        <v/>
      </c>
      <c r="H1511" s="4">
        <f>XLOOKUP(B1511,Raw_Risk_Profiles!$A:$A,Raw_Risk_Profiles!$B:$B,"Not Found")</f>
        <v/>
      </c>
      <c r="I1511" s="4">
        <f>XLOOKUP(B1511,Raw_Risk_Profiles!$A:$A,Raw_Risk_Profiles!$C:$C,"Missing")</f>
        <v/>
      </c>
      <c r="J1511" s="4">
        <f>XLOOKUP(B1511,Raw_Risk_Profiles!$A:$A,Raw_Risk_Profiles!$D:$D,"")</f>
        <v/>
      </c>
      <c r="K1511" s="4">
        <f>IFERROR(INDEX(Raw_Risk_Profiles!$E:$E,MATCH(B1511,Raw_Risk_Profiles!$A:$A,0)),"Unknown")</f>
        <v/>
      </c>
      <c r="L1511" s="4">
        <f>IFERROR(XLOOKUP(A1511,Raw_Alerts!$B:$B,Raw_Alerts!$A:$A),"No Alert")</f>
        <v/>
      </c>
      <c r="M1511" s="4">
        <f>IFERROR(XLOOKUP(A1511,Raw_Alerts!$B:$B,Raw_Alerts!$C:$C),"")</f>
        <v/>
      </c>
      <c r="N1511" s="4">
        <f>IFERROR(XLOOKUP(A1511,Raw_Alerts!$B:$B,Raw_Alerts!$D:$D),"")</f>
        <v/>
      </c>
      <c r="O1511" s="4">
        <f>IFERROR(XLOOKUP(A1511,Raw_Alerts!$B:$B,Raw_Alerts!$F:$F),"")</f>
        <v/>
      </c>
      <c r="P1511" s="4">
        <f>IF(H1511="Not Found","CRITICAL: No Risk Profile",IF(I1511="Missing","WARN: Missing KYC",IF(I1511="Expired","WARN: KYC Expired",IF(I1511="Pending","INFO: KYC Pending","OK"))))</f>
        <v/>
      </c>
    </row>
    <row r="1512">
      <c r="A1512" s="2">
        <f>Raw_Transactions!A1512</f>
        <v/>
      </c>
      <c r="B1512" s="2">
        <f>Raw_Transactions!B1512</f>
        <v/>
      </c>
      <c r="C1512" s="2">
        <f>Raw_Transactions!C1512</f>
        <v/>
      </c>
      <c r="D1512" s="3">
        <f>Raw_Transactions!D1512</f>
        <v/>
      </c>
      <c r="E1512" s="2">
        <f>Raw_Transactions!E1512</f>
        <v/>
      </c>
      <c r="F1512" s="2">
        <f>Raw_Transactions!F1512</f>
        <v/>
      </c>
      <c r="G1512" s="2">
        <f>Raw_Transactions!G1512</f>
        <v/>
      </c>
      <c r="H1512" s="2">
        <f>XLOOKUP(B1512,Raw_Risk_Profiles!$A:$A,Raw_Risk_Profiles!$B:$B,"Not Found")</f>
        <v/>
      </c>
      <c r="I1512" s="2">
        <f>XLOOKUP(B1512,Raw_Risk_Profiles!$A:$A,Raw_Risk_Profiles!$C:$C,"Missing")</f>
        <v/>
      </c>
      <c r="J1512" s="2">
        <f>XLOOKUP(B1512,Raw_Risk_Profiles!$A:$A,Raw_Risk_Profiles!$D:$D,"")</f>
        <v/>
      </c>
      <c r="K1512" s="2">
        <f>IFERROR(INDEX(Raw_Risk_Profiles!$E:$E,MATCH(B1512,Raw_Risk_Profiles!$A:$A,0)),"Unknown")</f>
        <v/>
      </c>
      <c r="L1512" s="2">
        <f>IFERROR(XLOOKUP(A1512,Raw_Alerts!$B:$B,Raw_Alerts!$A:$A),"No Alert")</f>
        <v/>
      </c>
      <c r="M1512" s="2">
        <f>IFERROR(XLOOKUP(A1512,Raw_Alerts!$B:$B,Raw_Alerts!$C:$C),"")</f>
        <v/>
      </c>
      <c r="N1512" s="2">
        <f>IFERROR(XLOOKUP(A1512,Raw_Alerts!$B:$B,Raw_Alerts!$D:$D),"")</f>
        <v/>
      </c>
      <c r="O1512" s="2">
        <f>IFERROR(XLOOKUP(A1512,Raw_Alerts!$B:$B,Raw_Alerts!$F:$F),"")</f>
        <v/>
      </c>
      <c r="P1512" s="2">
        <f>IF(H1512="Not Found","CRITICAL: No Risk Profile",IF(I1512="Missing","WARN: Missing KYC",IF(I1512="Expired","WARN: KYC Expired",IF(I1512="Pending","INFO: KYC Pending","OK"))))</f>
        <v/>
      </c>
    </row>
    <row r="1513">
      <c r="A1513" s="4">
        <f>Raw_Transactions!A1513</f>
        <v/>
      </c>
      <c r="B1513" s="4">
        <f>Raw_Transactions!B1513</f>
        <v/>
      </c>
      <c r="C1513" s="4">
        <f>Raw_Transactions!C1513</f>
        <v/>
      </c>
      <c r="D1513" s="5">
        <f>Raw_Transactions!D1513</f>
        <v/>
      </c>
      <c r="E1513" s="4">
        <f>Raw_Transactions!E1513</f>
        <v/>
      </c>
      <c r="F1513" s="4">
        <f>Raw_Transactions!F1513</f>
        <v/>
      </c>
      <c r="G1513" s="4">
        <f>Raw_Transactions!G1513</f>
        <v/>
      </c>
      <c r="H1513" s="4">
        <f>XLOOKUP(B1513,Raw_Risk_Profiles!$A:$A,Raw_Risk_Profiles!$B:$B,"Not Found")</f>
        <v/>
      </c>
      <c r="I1513" s="4">
        <f>XLOOKUP(B1513,Raw_Risk_Profiles!$A:$A,Raw_Risk_Profiles!$C:$C,"Missing")</f>
        <v/>
      </c>
      <c r="J1513" s="4">
        <f>XLOOKUP(B1513,Raw_Risk_Profiles!$A:$A,Raw_Risk_Profiles!$D:$D,"")</f>
        <v/>
      </c>
      <c r="K1513" s="4">
        <f>IFERROR(INDEX(Raw_Risk_Profiles!$E:$E,MATCH(B1513,Raw_Risk_Profiles!$A:$A,0)),"Unknown")</f>
        <v/>
      </c>
      <c r="L1513" s="4">
        <f>IFERROR(XLOOKUP(A1513,Raw_Alerts!$B:$B,Raw_Alerts!$A:$A),"No Alert")</f>
        <v/>
      </c>
      <c r="M1513" s="4">
        <f>IFERROR(XLOOKUP(A1513,Raw_Alerts!$B:$B,Raw_Alerts!$C:$C),"")</f>
        <v/>
      </c>
      <c r="N1513" s="4">
        <f>IFERROR(XLOOKUP(A1513,Raw_Alerts!$B:$B,Raw_Alerts!$D:$D),"")</f>
        <v/>
      </c>
      <c r="O1513" s="4">
        <f>IFERROR(XLOOKUP(A1513,Raw_Alerts!$B:$B,Raw_Alerts!$F:$F),"")</f>
        <v/>
      </c>
      <c r="P1513" s="4">
        <f>IF(H1513="Not Found","CRITICAL: No Risk Profile",IF(I1513="Missing","WARN: Missing KYC",IF(I1513="Expired","WARN: KYC Expired",IF(I1513="Pending","INFO: KYC Pending","OK"))))</f>
        <v/>
      </c>
    </row>
    <row r="1514">
      <c r="A1514" s="2">
        <f>Raw_Transactions!A1514</f>
        <v/>
      </c>
      <c r="B1514" s="2">
        <f>Raw_Transactions!B1514</f>
        <v/>
      </c>
      <c r="C1514" s="2">
        <f>Raw_Transactions!C1514</f>
        <v/>
      </c>
      <c r="D1514" s="3">
        <f>Raw_Transactions!D1514</f>
        <v/>
      </c>
      <c r="E1514" s="2">
        <f>Raw_Transactions!E1514</f>
        <v/>
      </c>
      <c r="F1514" s="2">
        <f>Raw_Transactions!F1514</f>
        <v/>
      </c>
      <c r="G1514" s="2">
        <f>Raw_Transactions!G1514</f>
        <v/>
      </c>
      <c r="H1514" s="2">
        <f>XLOOKUP(B1514,Raw_Risk_Profiles!$A:$A,Raw_Risk_Profiles!$B:$B,"Not Found")</f>
        <v/>
      </c>
      <c r="I1514" s="2">
        <f>XLOOKUP(B1514,Raw_Risk_Profiles!$A:$A,Raw_Risk_Profiles!$C:$C,"Missing")</f>
        <v/>
      </c>
      <c r="J1514" s="2">
        <f>XLOOKUP(B1514,Raw_Risk_Profiles!$A:$A,Raw_Risk_Profiles!$D:$D,"")</f>
        <v/>
      </c>
      <c r="K1514" s="2">
        <f>IFERROR(INDEX(Raw_Risk_Profiles!$E:$E,MATCH(B1514,Raw_Risk_Profiles!$A:$A,0)),"Unknown")</f>
        <v/>
      </c>
      <c r="L1514" s="2">
        <f>IFERROR(XLOOKUP(A1514,Raw_Alerts!$B:$B,Raw_Alerts!$A:$A),"No Alert")</f>
        <v/>
      </c>
      <c r="M1514" s="2">
        <f>IFERROR(XLOOKUP(A1514,Raw_Alerts!$B:$B,Raw_Alerts!$C:$C),"")</f>
        <v/>
      </c>
      <c r="N1514" s="2">
        <f>IFERROR(XLOOKUP(A1514,Raw_Alerts!$B:$B,Raw_Alerts!$D:$D),"")</f>
        <v/>
      </c>
      <c r="O1514" s="2">
        <f>IFERROR(XLOOKUP(A1514,Raw_Alerts!$B:$B,Raw_Alerts!$F:$F),"")</f>
        <v/>
      </c>
      <c r="P1514" s="2">
        <f>IF(H1514="Not Found","CRITICAL: No Risk Profile",IF(I1514="Missing","WARN: Missing KYC",IF(I1514="Expired","WARN: KYC Expired",IF(I1514="Pending","INFO: KYC Pending","OK"))))</f>
        <v/>
      </c>
    </row>
    <row r="1515">
      <c r="A1515" s="4">
        <f>Raw_Transactions!A1515</f>
        <v/>
      </c>
      <c r="B1515" s="4">
        <f>Raw_Transactions!B1515</f>
        <v/>
      </c>
      <c r="C1515" s="4">
        <f>Raw_Transactions!C1515</f>
        <v/>
      </c>
      <c r="D1515" s="5">
        <f>Raw_Transactions!D1515</f>
        <v/>
      </c>
      <c r="E1515" s="4">
        <f>Raw_Transactions!E1515</f>
        <v/>
      </c>
      <c r="F1515" s="4">
        <f>Raw_Transactions!F1515</f>
        <v/>
      </c>
      <c r="G1515" s="4">
        <f>Raw_Transactions!G1515</f>
        <v/>
      </c>
      <c r="H1515" s="4">
        <f>XLOOKUP(B1515,Raw_Risk_Profiles!$A:$A,Raw_Risk_Profiles!$B:$B,"Not Found")</f>
        <v/>
      </c>
      <c r="I1515" s="4">
        <f>XLOOKUP(B1515,Raw_Risk_Profiles!$A:$A,Raw_Risk_Profiles!$C:$C,"Missing")</f>
        <v/>
      </c>
      <c r="J1515" s="4">
        <f>XLOOKUP(B1515,Raw_Risk_Profiles!$A:$A,Raw_Risk_Profiles!$D:$D,"")</f>
        <v/>
      </c>
      <c r="K1515" s="4">
        <f>IFERROR(INDEX(Raw_Risk_Profiles!$E:$E,MATCH(B1515,Raw_Risk_Profiles!$A:$A,0)),"Unknown")</f>
        <v/>
      </c>
      <c r="L1515" s="4">
        <f>IFERROR(XLOOKUP(A1515,Raw_Alerts!$B:$B,Raw_Alerts!$A:$A),"No Alert")</f>
        <v/>
      </c>
      <c r="M1515" s="4">
        <f>IFERROR(XLOOKUP(A1515,Raw_Alerts!$B:$B,Raw_Alerts!$C:$C),"")</f>
        <v/>
      </c>
      <c r="N1515" s="4">
        <f>IFERROR(XLOOKUP(A1515,Raw_Alerts!$B:$B,Raw_Alerts!$D:$D),"")</f>
        <v/>
      </c>
      <c r="O1515" s="4">
        <f>IFERROR(XLOOKUP(A1515,Raw_Alerts!$B:$B,Raw_Alerts!$F:$F),"")</f>
        <v/>
      </c>
      <c r="P1515" s="4">
        <f>IF(H1515="Not Found","CRITICAL: No Risk Profile",IF(I1515="Missing","WARN: Missing KYC",IF(I1515="Expired","WARN: KYC Expired",IF(I1515="Pending","INFO: KYC Pending","OK"))))</f>
        <v/>
      </c>
    </row>
    <row r="1516">
      <c r="A1516" s="2">
        <f>Raw_Transactions!A1516</f>
        <v/>
      </c>
      <c r="B1516" s="2">
        <f>Raw_Transactions!B1516</f>
        <v/>
      </c>
      <c r="C1516" s="2">
        <f>Raw_Transactions!C1516</f>
        <v/>
      </c>
      <c r="D1516" s="3">
        <f>Raw_Transactions!D1516</f>
        <v/>
      </c>
      <c r="E1516" s="2">
        <f>Raw_Transactions!E1516</f>
        <v/>
      </c>
      <c r="F1516" s="2">
        <f>Raw_Transactions!F1516</f>
        <v/>
      </c>
      <c r="G1516" s="2">
        <f>Raw_Transactions!G1516</f>
        <v/>
      </c>
      <c r="H1516" s="2">
        <f>XLOOKUP(B1516,Raw_Risk_Profiles!$A:$A,Raw_Risk_Profiles!$B:$B,"Not Found")</f>
        <v/>
      </c>
      <c r="I1516" s="2">
        <f>XLOOKUP(B1516,Raw_Risk_Profiles!$A:$A,Raw_Risk_Profiles!$C:$C,"Missing")</f>
        <v/>
      </c>
      <c r="J1516" s="2">
        <f>XLOOKUP(B1516,Raw_Risk_Profiles!$A:$A,Raw_Risk_Profiles!$D:$D,"")</f>
        <v/>
      </c>
      <c r="K1516" s="2">
        <f>IFERROR(INDEX(Raw_Risk_Profiles!$E:$E,MATCH(B1516,Raw_Risk_Profiles!$A:$A,0)),"Unknown")</f>
        <v/>
      </c>
      <c r="L1516" s="2">
        <f>IFERROR(XLOOKUP(A1516,Raw_Alerts!$B:$B,Raw_Alerts!$A:$A),"No Alert")</f>
        <v/>
      </c>
      <c r="M1516" s="2">
        <f>IFERROR(XLOOKUP(A1516,Raw_Alerts!$B:$B,Raw_Alerts!$C:$C),"")</f>
        <v/>
      </c>
      <c r="N1516" s="2">
        <f>IFERROR(XLOOKUP(A1516,Raw_Alerts!$B:$B,Raw_Alerts!$D:$D),"")</f>
        <v/>
      </c>
      <c r="O1516" s="2">
        <f>IFERROR(XLOOKUP(A1516,Raw_Alerts!$B:$B,Raw_Alerts!$F:$F),"")</f>
        <v/>
      </c>
      <c r="P1516" s="2">
        <f>IF(H1516="Not Found","CRITICAL: No Risk Profile",IF(I1516="Missing","WARN: Missing KYC",IF(I1516="Expired","WARN: KYC Expired",IF(I1516="Pending","INFO: KYC Pending","OK"))))</f>
        <v/>
      </c>
    </row>
    <row r="1517">
      <c r="A1517" s="4">
        <f>Raw_Transactions!A1517</f>
        <v/>
      </c>
      <c r="B1517" s="4">
        <f>Raw_Transactions!B1517</f>
        <v/>
      </c>
      <c r="C1517" s="4">
        <f>Raw_Transactions!C1517</f>
        <v/>
      </c>
      <c r="D1517" s="5">
        <f>Raw_Transactions!D1517</f>
        <v/>
      </c>
      <c r="E1517" s="4">
        <f>Raw_Transactions!E1517</f>
        <v/>
      </c>
      <c r="F1517" s="4">
        <f>Raw_Transactions!F1517</f>
        <v/>
      </c>
      <c r="G1517" s="4">
        <f>Raw_Transactions!G1517</f>
        <v/>
      </c>
      <c r="H1517" s="4">
        <f>XLOOKUP(B1517,Raw_Risk_Profiles!$A:$A,Raw_Risk_Profiles!$B:$B,"Not Found")</f>
        <v/>
      </c>
      <c r="I1517" s="4">
        <f>XLOOKUP(B1517,Raw_Risk_Profiles!$A:$A,Raw_Risk_Profiles!$C:$C,"Missing")</f>
        <v/>
      </c>
      <c r="J1517" s="4">
        <f>XLOOKUP(B1517,Raw_Risk_Profiles!$A:$A,Raw_Risk_Profiles!$D:$D,"")</f>
        <v/>
      </c>
      <c r="K1517" s="4">
        <f>IFERROR(INDEX(Raw_Risk_Profiles!$E:$E,MATCH(B1517,Raw_Risk_Profiles!$A:$A,0)),"Unknown")</f>
        <v/>
      </c>
      <c r="L1517" s="4">
        <f>IFERROR(XLOOKUP(A1517,Raw_Alerts!$B:$B,Raw_Alerts!$A:$A),"No Alert")</f>
        <v/>
      </c>
      <c r="M1517" s="4">
        <f>IFERROR(XLOOKUP(A1517,Raw_Alerts!$B:$B,Raw_Alerts!$C:$C),"")</f>
        <v/>
      </c>
      <c r="N1517" s="4">
        <f>IFERROR(XLOOKUP(A1517,Raw_Alerts!$B:$B,Raw_Alerts!$D:$D),"")</f>
        <v/>
      </c>
      <c r="O1517" s="4">
        <f>IFERROR(XLOOKUP(A1517,Raw_Alerts!$B:$B,Raw_Alerts!$F:$F),"")</f>
        <v/>
      </c>
      <c r="P1517" s="4">
        <f>IF(H1517="Not Found","CRITICAL: No Risk Profile",IF(I1517="Missing","WARN: Missing KYC",IF(I1517="Expired","WARN: KYC Expired",IF(I1517="Pending","INFO: KYC Pending","OK"))))</f>
        <v/>
      </c>
    </row>
    <row r="1518">
      <c r="A1518" s="2">
        <f>Raw_Transactions!A1518</f>
        <v/>
      </c>
      <c r="B1518" s="2">
        <f>Raw_Transactions!B1518</f>
        <v/>
      </c>
      <c r="C1518" s="2">
        <f>Raw_Transactions!C1518</f>
        <v/>
      </c>
      <c r="D1518" s="3">
        <f>Raw_Transactions!D1518</f>
        <v/>
      </c>
      <c r="E1518" s="2">
        <f>Raw_Transactions!E1518</f>
        <v/>
      </c>
      <c r="F1518" s="2">
        <f>Raw_Transactions!F1518</f>
        <v/>
      </c>
      <c r="G1518" s="2">
        <f>Raw_Transactions!G1518</f>
        <v/>
      </c>
      <c r="H1518" s="2">
        <f>XLOOKUP(B1518,Raw_Risk_Profiles!$A:$A,Raw_Risk_Profiles!$B:$B,"Not Found")</f>
        <v/>
      </c>
      <c r="I1518" s="2">
        <f>XLOOKUP(B1518,Raw_Risk_Profiles!$A:$A,Raw_Risk_Profiles!$C:$C,"Missing")</f>
        <v/>
      </c>
      <c r="J1518" s="2">
        <f>XLOOKUP(B1518,Raw_Risk_Profiles!$A:$A,Raw_Risk_Profiles!$D:$D,"")</f>
        <v/>
      </c>
      <c r="K1518" s="2">
        <f>IFERROR(INDEX(Raw_Risk_Profiles!$E:$E,MATCH(B1518,Raw_Risk_Profiles!$A:$A,0)),"Unknown")</f>
        <v/>
      </c>
      <c r="L1518" s="2">
        <f>IFERROR(XLOOKUP(A1518,Raw_Alerts!$B:$B,Raw_Alerts!$A:$A),"No Alert")</f>
        <v/>
      </c>
      <c r="M1518" s="2">
        <f>IFERROR(XLOOKUP(A1518,Raw_Alerts!$B:$B,Raw_Alerts!$C:$C),"")</f>
        <v/>
      </c>
      <c r="N1518" s="2">
        <f>IFERROR(XLOOKUP(A1518,Raw_Alerts!$B:$B,Raw_Alerts!$D:$D),"")</f>
        <v/>
      </c>
      <c r="O1518" s="2">
        <f>IFERROR(XLOOKUP(A1518,Raw_Alerts!$B:$B,Raw_Alerts!$F:$F),"")</f>
        <v/>
      </c>
      <c r="P1518" s="2">
        <f>IF(H1518="Not Found","CRITICAL: No Risk Profile",IF(I1518="Missing","WARN: Missing KYC",IF(I1518="Expired","WARN: KYC Expired",IF(I1518="Pending","INFO: KYC Pending","OK"))))</f>
        <v/>
      </c>
    </row>
    <row r="1519">
      <c r="A1519" s="4">
        <f>Raw_Transactions!A1519</f>
        <v/>
      </c>
      <c r="B1519" s="4">
        <f>Raw_Transactions!B1519</f>
        <v/>
      </c>
      <c r="C1519" s="4">
        <f>Raw_Transactions!C1519</f>
        <v/>
      </c>
      <c r="D1519" s="5">
        <f>Raw_Transactions!D1519</f>
        <v/>
      </c>
      <c r="E1519" s="4">
        <f>Raw_Transactions!E1519</f>
        <v/>
      </c>
      <c r="F1519" s="4">
        <f>Raw_Transactions!F1519</f>
        <v/>
      </c>
      <c r="G1519" s="4">
        <f>Raw_Transactions!G1519</f>
        <v/>
      </c>
      <c r="H1519" s="4">
        <f>XLOOKUP(B1519,Raw_Risk_Profiles!$A:$A,Raw_Risk_Profiles!$B:$B,"Not Found")</f>
        <v/>
      </c>
      <c r="I1519" s="4">
        <f>XLOOKUP(B1519,Raw_Risk_Profiles!$A:$A,Raw_Risk_Profiles!$C:$C,"Missing")</f>
        <v/>
      </c>
      <c r="J1519" s="4">
        <f>XLOOKUP(B1519,Raw_Risk_Profiles!$A:$A,Raw_Risk_Profiles!$D:$D,"")</f>
        <v/>
      </c>
      <c r="K1519" s="4">
        <f>IFERROR(INDEX(Raw_Risk_Profiles!$E:$E,MATCH(B1519,Raw_Risk_Profiles!$A:$A,0)),"Unknown")</f>
        <v/>
      </c>
      <c r="L1519" s="4">
        <f>IFERROR(XLOOKUP(A1519,Raw_Alerts!$B:$B,Raw_Alerts!$A:$A),"No Alert")</f>
        <v/>
      </c>
      <c r="M1519" s="4">
        <f>IFERROR(XLOOKUP(A1519,Raw_Alerts!$B:$B,Raw_Alerts!$C:$C),"")</f>
        <v/>
      </c>
      <c r="N1519" s="4">
        <f>IFERROR(XLOOKUP(A1519,Raw_Alerts!$B:$B,Raw_Alerts!$D:$D),"")</f>
        <v/>
      </c>
      <c r="O1519" s="4">
        <f>IFERROR(XLOOKUP(A1519,Raw_Alerts!$B:$B,Raw_Alerts!$F:$F),"")</f>
        <v/>
      </c>
      <c r="P1519" s="4">
        <f>IF(H1519="Not Found","CRITICAL: No Risk Profile",IF(I1519="Missing","WARN: Missing KYC",IF(I1519="Expired","WARN: KYC Expired",IF(I1519="Pending","INFO: KYC Pending","OK"))))</f>
        <v/>
      </c>
    </row>
    <row r="1520">
      <c r="A1520" s="2">
        <f>Raw_Transactions!A1520</f>
        <v/>
      </c>
      <c r="B1520" s="2">
        <f>Raw_Transactions!B1520</f>
        <v/>
      </c>
      <c r="C1520" s="2">
        <f>Raw_Transactions!C1520</f>
        <v/>
      </c>
      <c r="D1520" s="3">
        <f>Raw_Transactions!D1520</f>
        <v/>
      </c>
      <c r="E1520" s="2">
        <f>Raw_Transactions!E1520</f>
        <v/>
      </c>
      <c r="F1520" s="2">
        <f>Raw_Transactions!F1520</f>
        <v/>
      </c>
      <c r="G1520" s="2">
        <f>Raw_Transactions!G1520</f>
        <v/>
      </c>
      <c r="H1520" s="2">
        <f>XLOOKUP(B1520,Raw_Risk_Profiles!$A:$A,Raw_Risk_Profiles!$B:$B,"Not Found")</f>
        <v/>
      </c>
      <c r="I1520" s="2">
        <f>XLOOKUP(B1520,Raw_Risk_Profiles!$A:$A,Raw_Risk_Profiles!$C:$C,"Missing")</f>
        <v/>
      </c>
      <c r="J1520" s="2">
        <f>XLOOKUP(B1520,Raw_Risk_Profiles!$A:$A,Raw_Risk_Profiles!$D:$D,"")</f>
        <v/>
      </c>
      <c r="K1520" s="2">
        <f>IFERROR(INDEX(Raw_Risk_Profiles!$E:$E,MATCH(B1520,Raw_Risk_Profiles!$A:$A,0)),"Unknown")</f>
        <v/>
      </c>
      <c r="L1520" s="2">
        <f>IFERROR(XLOOKUP(A1520,Raw_Alerts!$B:$B,Raw_Alerts!$A:$A),"No Alert")</f>
        <v/>
      </c>
      <c r="M1520" s="2">
        <f>IFERROR(XLOOKUP(A1520,Raw_Alerts!$B:$B,Raw_Alerts!$C:$C),"")</f>
        <v/>
      </c>
      <c r="N1520" s="2">
        <f>IFERROR(XLOOKUP(A1520,Raw_Alerts!$B:$B,Raw_Alerts!$D:$D),"")</f>
        <v/>
      </c>
      <c r="O1520" s="2">
        <f>IFERROR(XLOOKUP(A1520,Raw_Alerts!$B:$B,Raw_Alerts!$F:$F),"")</f>
        <v/>
      </c>
      <c r="P1520" s="2">
        <f>IF(H1520="Not Found","CRITICAL: No Risk Profile",IF(I1520="Missing","WARN: Missing KYC",IF(I1520="Expired","WARN: KYC Expired",IF(I1520="Pending","INFO: KYC Pending","OK"))))</f>
        <v/>
      </c>
    </row>
    <row r="1521">
      <c r="A1521" s="4">
        <f>Raw_Transactions!A1521</f>
        <v/>
      </c>
      <c r="B1521" s="4">
        <f>Raw_Transactions!B1521</f>
        <v/>
      </c>
      <c r="C1521" s="4">
        <f>Raw_Transactions!C1521</f>
        <v/>
      </c>
      <c r="D1521" s="5">
        <f>Raw_Transactions!D1521</f>
        <v/>
      </c>
      <c r="E1521" s="4">
        <f>Raw_Transactions!E1521</f>
        <v/>
      </c>
      <c r="F1521" s="4">
        <f>Raw_Transactions!F1521</f>
        <v/>
      </c>
      <c r="G1521" s="4">
        <f>Raw_Transactions!G1521</f>
        <v/>
      </c>
      <c r="H1521" s="4">
        <f>XLOOKUP(B1521,Raw_Risk_Profiles!$A:$A,Raw_Risk_Profiles!$B:$B,"Not Found")</f>
        <v/>
      </c>
      <c r="I1521" s="4">
        <f>XLOOKUP(B1521,Raw_Risk_Profiles!$A:$A,Raw_Risk_Profiles!$C:$C,"Missing")</f>
        <v/>
      </c>
      <c r="J1521" s="4">
        <f>XLOOKUP(B1521,Raw_Risk_Profiles!$A:$A,Raw_Risk_Profiles!$D:$D,"")</f>
        <v/>
      </c>
      <c r="K1521" s="4">
        <f>IFERROR(INDEX(Raw_Risk_Profiles!$E:$E,MATCH(B1521,Raw_Risk_Profiles!$A:$A,0)),"Unknown")</f>
        <v/>
      </c>
      <c r="L1521" s="4">
        <f>IFERROR(XLOOKUP(A1521,Raw_Alerts!$B:$B,Raw_Alerts!$A:$A),"No Alert")</f>
        <v/>
      </c>
      <c r="M1521" s="4">
        <f>IFERROR(XLOOKUP(A1521,Raw_Alerts!$B:$B,Raw_Alerts!$C:$C),"")</f>
        <v/>
      </c>
      <c r="N1521" s="4">
        <f>IFERROR(XLOOKUP(A1521,Raw_Alerts!$B:$B,Raw_Alerts!$D:$D),"")</f>
        <v/>
      </c>
      <c r="O1521" s="4">
        <f>IFERROR(XLOOKUP(A1521,Raw_Alerts!$B:$B,Raw_Alerts!$F:$F),"")</f>
        <v/>
      </c>
      <c r="P1521" s="4">
        <f>IF(H1521="Not Found","CRITICAL: No Risk Profile",IF(I1521="Missing","WARN: Missing KYC",IF(I1521="Expired","WARN: KYC Expired",IF(I1521="Pending","INFO: KYC Pending","OK"))))</f>
        <v/>
      </c>
    </row>
    <row r="1522">
      <c r="A1522" s="2">
        <f>Raw_Transactions!A1522</f>
        <v/>
      </c>
      <c r="B1522" s="2">
        <f>Raw_Transactions!B1522</f>
        <v/>
      </c>
      <c r="C1522" s="2">
        <f>Raw_Transactions!C1522</f>
        <v/>
      </c>
      <c r="D1522" s="3">
        <f>Raw_Transactions!D1522</f>
        <v/>
      </c>
      <c r="E1522" s="2">
        <f>Raw_Transactions!E1522</f>
        <v/>
      </c>
      <c r="F1522" s="2">
        <f>Raw_Transactions!F1522</f>
        <v/>
      </c>
      <c r="G1522" s="2">
        <f>Raw_Transactions!G1522</f>
        <v/>
      </c>
      <c r="H1522" s="2">
        <f>XLOOKUP(B1522,Raw_Risk_Profiles!$A:$A,Raw_Risk_Profiles!$B:$B,"Not Found")</f>
        <v/>
      </c>
      <c r="I1522" s="2">
        <f>XLOOKUP(B1522,Raw_Risk_Profiles!$A:$A,Raw_Risk_Profiles!$C:$C,"Missing")</f>
        <v/>
      </c>
      <c r="J1522" s="2">
        <f>XLOOKUP(B1522,Raw_Risk_Profiles!$A:$A,Raw_Risk_Profiles!$D:$D,"")</f>
        <v/>
      </c>
      <c r="K1522" s="2">
        <f>IFERROR(INDEX(Raw_Risk_Profiles!$E:$E,MATCH(B1522,Raw_Risk_Profiles!$A:$A,0)),"Unknown")</f>
        <v/>
      </c>
      <c r="L1522" s="2">
        <f>IFERROR(XLOOKUP(A1522,Raw_Alerts!$B:$B,Raw_Alerts!$A:$A),"No Alert")</f>
        <v/>
      </c>
      <c r="M1522" s="2">
        <f>IFERROR(XLOOKUP(A1522,Raw_Alerts!$B:$B,Raw_Alerts!$C:$C),"")</f>
        <v/>
      </c>
      <c r="N1522" s="2">
        <f>IFERROR(XLOOKUP(A1522,Raw_Alerts!$B:$B,Raw_Alerts!$D:$D),"")</f>
        <v/>
      </c>
      <c r="O1522" s="2">
        <f>IFERROR(XLOOKUP(A1522,Raw_Alerts!$B:$B,Raw_Alerts!$F:$F),"")</f>
        <v/>
      </c>
      <c r="P1522" s="2">
        <f>IF(H1522="Not Found","CRITICAL: No Risk Profile",IF(I1522="Missing","WARN: Missing KYC",IF(I1522="Expired","WARN: KYC Expired",IF(I1522="Pending","INFO: KYC Pending","OK"))))</f>
        <v/>
      </c>
    </row>
    <row r="1523">
      <c r="A1523" s="4">
        <f>Raw_Transactions!A1523</f>
        <v/>
      </c>
      <c r="B1523" s="4">
        <f>Raw_Transactions!B1523</f>
        <v/>
      </c>
      <c r="C1523" s="4">
        <f>Raw_Transactions!C1523</f>
        <v/>
      </c>
      <c r="D1523" s="5">
        <f>Raw_Transactions!D1523</f>
        <v/>
      </c>
      <c r="E1523" s="4">
        <f>Raw_Transactions!E1523</f>
        <v/>
      </c>
      <c r="F1523" s="4">
        <f>Raw_Transactions!F1523</f>
        <v/>
      </c>
      <c r="G1523" s="4">
        <f>Raw_Transactions!G1523</f>
        <v/>
      </c>
      <c r="H1523" s="4">
        <f>XLOOKUP(B1523,Raw_Risk_Profiles!$A:$A,Raw_Risk_Profiles!$B:$B,"Not Found")</f>
        <v/>
      </c>
      <c r="I1523" s="4">
        <f>XLOOKUP(B1523,Raw_Risk_Profiles!$A:$A,Raw_Risk_Profiles!$C:$C,"Missing")</f>
        <v/>
      </c>
      <c r="J1523" s="4">
        <f>XLOOKUP(B1523,Raw_Risk_Profiles!$A:$A,Raw_Risk_Profiles!$D:$D,"")</f>
        <v/>
      </c>
      <c r="K1523" s="4">
        <f>IFERROR(INDEX(Raw_Risk_Profiles!$E:$E,MATCH(B1523,Raw_Risk_Profiles!$A:$A,0)),"Unknown")</f>
        <v/>
      </c>
      <c r="L1523" s="4">
        <f>IFERROR(XLOOKUP(A1523,Raw_Alerts!$B:$B,Raw_Alerts!$A:$A),"No Alert")</f>
        <v/>
      </c>
      <c r="M1523" s="4">
        <f>IFERROR(XLOOKUP(A1523,Raw_Alerts!$B:$B,Raw_Alerts!$C:$C),"")</f>
        <v/>
      </c>
      <c r="N1523" s="4">
        <f>IFERROR(XLOOKUP(A1523,Raw_Alerts!$B:$B,Raw_Alerts!$D:$D),"")</f>
        <v/>
      </c>
      <c r="O1523" s="4">
        <f>IFERROR(XLOOKUP(A1523,Raw_Alerts!$B:$B,Raw_Alerts!$F:$F),"")</f>
        <v/>
      </c>
      <c r="P1523" s="4">
        <f>IF(H1523="Not Found","CRITICAL: No Risk Profile",IF(I1523="Missing","WARN: Missing KYC",IF(I1523="Expired","WARN: KYC Expired",IF(I1523="Pending","INFO: KYC Pending","OK"))))</f>
        <v/>
      </c>
    </row>
    <row r="1524">
      <c r="A1524" s="2">
        <f>Raw_Transactions!A1524</f>
        <v/>
      </c>
      <c r="B1524" s="2">
        <f>Raw_Transactions!B1524</f>
        <v/>
      </c>
      <c r="C1524" s="2">
        <f>Raw_Transactions!C1524</f>
        <v/>
      </c>
      <c r="D1524" s="3">
        <f>Raw_Transactions!D1524</f>
        <v/>
      </c>
      <c r="E1524" s="2">
        <f>Raw_Transactions!E1524</f>
        <v/>
      </c>
      <c r="F1524" s="2">
        <f>Raw_Transactions!F1524</f>
        <v/>
      </c>
      <c r="G1524" s="2">
        <f>Raw_Transactions!G1524</f>
        <v/>
      </c>
      <c r="H1524" s="2">
        <f>XLOOKUP(B1524,Raw_Risk_Profiles!$A:$A,Raw_Risk_Profiles!$B:$B,"Not Found")</f>
        <v/>
      </c>
      <c r="I1524" s="2">
        <f>XLOOKUP(B1524,Raw_Risk_Profiles!$A:$A,Raw_Risk_Profiles!$C:$C,"Missing")</f>
        <v/>
      </c>
      <c r="J1524" s="2">
        <f>XLOOKUP(B1524,Raw_Risk_Profiles!$A:$A,Raw_Risk_Profiles!$D:$D,"")</f>
        <v/>
      </c>
      <c r="K1524" s="2">
        <f>IFERROR(INDEX(Raw_Risk_Profiles!$E:$E,MATCH(B1524,Raw_Risk_Profiles!$A:$A,0)),"Unknown")</f>
        <v/>
      </c>
      <c r="L1524" s="2">
        <f>IFERROR(XLOOKUP(A1524,Raw_Alerts!$B:$B,Raw_Alerts!$A:$A),"No Alert")</f>
        <v/>
      </c>
      <c r="M1524" s="2">
        <f>IFERROR(XLOOKUP(A1524,Raw_Alerts!$B:$B,Raw_Alerts!$C:$C),"")</f>
        <v/>
      </c>
      <c r="N1524" s="2">
        <f>IFERROR(XLOOKUP(A1524,Raw_Alerts!$B:$B,Raw_Alerts!$D:$D),"")</f>
        <v/>
      </c>
      <c r="O1524" s="2">
        <f>IFERROR(XLOOKUP(A1524,Raw_Alerts!$B:$B,Raw_Alerts!$F:$F),"")</f>
        <v/>
      </c>
      <c r="P1524" s="2">
        <f>IF(H1524="Not Found","CRITICAL: No Risk Profile",IF(I1524="Missing","WARN: Missing KYC",IF(I1524="Expired","WARN: KYC Expired",IF(I1524="Pending","INFO: KYC Pending","OK"))))</f>
        <v/>
      </c>
    </row>
    <row r="1525">
      <c r="A1525" s="4">
        <f>Raw_Transactions!A1525</f>
        <v/>
      </c>
      <c r="B1525" s="4">
        <f>Raw_Transactions!B1525</f>
        <v/>
      </c>
      <c r="C1525" s="4">
        <f>Raw_Transactions!C1525</f>
        <v/>
      </c>
      <c r="D1525" s="5">
        <f>Raw_Transactions!D1525</f>
        <v/>
      </c>
      <c r="E1525" s="4">
        <f>Raw_Transactions!E1525</f>
        <v/>
      </c>
      <c r="F1525" s="4">
        <f>Raw_Transactions!F1525</f>
        <v/>
      </c>
      <c r="G1525" s="4">
        <f>Raw_Transactions!G1525</f>
        <v/>
      </c>
      <c r="H1525" s="4">
        <f>XLOOKUP(B1525,Raw_Risk_Profiles!$A:$A,Raw_Risk_Profiles!$B:$B,"Not Found")</f>
        <v/>
      </c>
      <c r="I1525" s="4">
        <f>XLOOKUP(B1525,Raw_Risk_Profiles!$A:$A,Raw_Risk_Profiles!$C:$C,"Missing")</f>
        <v/>
      </c>
      <c r="J1525" s="4">
        <f>XLOOKUP(B1525,Raw_Risk_Profiles!$A:$A,Raw_Risk_Profiles!$D:$D,"")</f>
        <v/>
      </c>
      <c r="K1525" s="4">
        <f>IFERROR(INDEX(Raw_Risk_Profiles!$E:$E,MATCH(B1525,Raw_Risk_Profiles!$A:$A,0)),"Unknown")</f>
        <v/>
      </c>
      <c r="L1525" s="4">
        <f>IFERROR(XLOOKUP(A1525,Raw_Alerts!$B:$B,Raw_Alerts!$A:$A),"No Alert")</f>
        <v/>
      </c>
      <c r="M1525" s="4">
        <f>IFERROR(XLOOKUP(A1525,Raw_Alerts!$B:$B,Raw_Alerts!$C:$C),"")</f>
        <v/>
      </c>
      <c r="N1525" s="4">
        <f>IFERROR(XLOOKUP(A1525,Raw_Alerts!$B:$B,Raw_Alerts!$D:$D),"")</f>
        <v/>
      </c>
      <c r="O1525" s="4">
        <f>IFERROR(XLOOKUP(A1525,Raw_Alerts!$B:$B,Raw_Alerts!$F:$F),"")</f>
        <v/>
      </c>
      <c r="P1525" s="4">
        <f>IF(H1525="Not Found","CRITICAL: No Risk Profile",IF(I1525="Missing","WARN: Missing KYC",IF(I1525="Expired","WARN: KYC Expired",IF(I1525="Pending","INFO: KYC Pending","OK"))))</f>
        <v/>
      </c>
    </row>
    <row r="1526">
      <c r="A1526" s="2">
        <f>Raw_Transactions!A1526</f>
        <v/>
      </c>
      <c r="B1526" s="2">
        <f>Raw_Transactions!B1526</f>
        <v/>
      </c>
      <c r="C1526" s="2">
        <f>Raw_Transactions!C1526</f>
        <v/>
      </c>
      <c r="D1526" s="3">
        <f>Raw_Transactions!D1526</f>
        <v/>
      </c>
      <c r="E1526" s="2">
        <f>Raw_Transactions!E1526</f>
        <v/>
      </c>
      <c r="F1526" s="2">
        <f>Raw_Transactions!F1526</f>
        <v/>
      </c>
      <c r="G1526" s="2">
        <f>Raw_Transactions!G1526</f>
        <v/>
      </c>
      <c r="H1526" s="2">
        <f>XLOOKUP(B1526,Raw_Risk_Profiles!$A:$A,Raw_Risk_Profiles!$B:$B,"Not Found")</f>
        <v/>
      </c>
      <c r="I1526" s="2">
        <f>XLOOKUP(B1526,Raw_Risk_Profiles!$A:$A,Raw_Risk_Profiles!$C:$C,"Missing")</f>
        <v/>
      </c>
      <c r="J1526" s="2">
        <f>XLOOKUP(B1526,Raw_Risk_Profiles!$A:$A,Raw_Risk_Profiles!$D:$D,"")</f>
        <v/>
      </c>
      <c r="K1526" s="2">
        <f>IFERROR(INDEX(Raw_Risk_Profiles!$E:$E,MATCH(B1526,Raw_Risk_Profiles!$A:$A,0)),"Unknown")</f>
        <v/>
      </c>
      <c r="L1526" s="2">
        <f>IFERROR(XLOOKUP(A1526,Raw_Alerts!$B:$B,Raw_Alerts!$A:$A),"No Alert")</f>
        <v/>
      </c>
      <c r="M1526" s="2">
        <f>IFERROR(XLOOKUP(A1526,Raw_Alerts!$B:$B,Raw_Alerts!$C:$C),"")</f>
        <v/>
      </c>
      <c r="N1526" s="2">
        <f>IFERROR(XLOOKUP(A1526,Raw_Alerts!$B:$B,Raw_Alerts!$D:$D),"")</f>
        <v/>
      </c>
      <c r="O1526" s="2">
        <f>IFERROR(XLOOKUP(A1526,Raw_Alerts!$B:$B,Raw_Alerts!$F:$F),"")</f>
        <v/>
      </c>
      <c r="P1526" s="2">
        <f>IF(H1526="Not Found","CRITICAL: No Risk Profile",IF(I1526="Missing","WARN: Missing KYC",IF(I1526="Expired","WARN: KYC Expired",IF(I1526="Pending","INFO: KYC Pending","OK"))))</f>
        <v/>
      </c>
    </row>
    <row r="1527">
      <c r="A1527" s="4">
        <f>Raw_Transactions!A1527</f>
        <v/>
      </c>
      <c r="B1527" s="4">
        <f>Raw_Transactions!B1527</f>
        <v/>
      </c>
      <c r="C1527" s="4">
        <f>Raw_Transactions!C1527</f>
        <v/>
      </c>
      <c r="D1527" s="5">
        <f>Raw_Transactions!D1527</f>
        <v/>
      </c>
      <c r="E1527" s="4">
        <f>Raw_Transactions!E1527</f>
        <v/>
      </c>
      <c r="F1527" s="4">
        <f>Raw_Transactions!F1527</f>
        <v/>
      </c>
      <c r="G1527" s="4">
        <f>Raw_Transactions!G1527</f>
        <v/>
      </c>
      <c r="H1527" s="4">
        <f>XLOOKUP(B1527,Raw_Risk_Profiles!$A:$A,Raw_Risk_Profiles!$B:$B,"Not Found")</f>
        <v/>
      </c>
      <c r="I1527" s="4">
        <f>XLOOKUP(B1527,Raw_Risk_Profiles!$A:$A,Raw_Risk_Profiles!$C:$C,"Missing")</f>
        <v/>
      </c>
      <c r="J1527" s="4">
        <f>XLOOKUP(B1527,Raw_Risk_Profiles!$A:$A,Raw_Risk_Profiles!$D:$D,"")</f>
        <v/>
      </c>
      <c r="K1527" s="4">
        <f>IFERROR(INDEX(Raw_Risk_Profiles!$E:$E,MATCH(B1527,Raw_Risk_Profiles!$A:$A,0)),"Unknown")</f>
        <v/>
      </c>
      <c r="L1527" s="4">
        <f>IFERROR(XLOOKUP(A1527,Raw_Alerts!$B:$B,Raw_Alerts!$A:$A),"No Alert")</f>
        <v/>
      </c>
      <c r="M1527" s="4">
        <f>IFERROR(XLOOKUP(A1527,Raw_Alerts!$B:$B,Raw_Alerts!$C:$C),"")</f>
        <v/>
      </c>
      <c r="N1527" s="4">
        <f>IFERROR(XLOOKUP(A1527,Raw_Alerts!$B:$B,Raw_Alerts!$D:$D),"")</f>
        <v/>
      </c>
      <c r="O1527" s="4">
        <f>IFERROR(XLOOKUP(A1527,Raw_Alerts!$B:$B,Raw_Alerts!$F:$F),"")</f>
        <v/>
      </c>
      <c r="P1527" s="4">
        <f>IF(H1527="Not Found","CRITICAL: No Risk Profile",IF(I1527="Missing","WARN: Missing KYC",IF(I1527="Expired","WARN: KYC Expired",IF(I1527="Pending","INFO: KYC Pending","OK"))))</f>
        <v/>
      </c>
    </row>
    <row r="1528">
      <c r="A1528" s="2">
        <f>Raw_Transactions!A1528</f>
        <v/>
      </c>
      <c r="B1528" s="2">
        <f>Raw_Transactions!B1528</f>
        <v/>
      </c>
      <c r="C1528" s="2">
        <f>Raw_Transactions!C1528</f>
        <v/>
      </c>
      <c r="D1528" s="3">
        <f>Raw_Transactions!D1528</f>
        <v/>
      </c>
      <c r="E1528" s="2">
        <f>Raw_Transactions!E1528</f>
        <v/>
      </c>
      <c r="F1528" s="2">
        <f>Raw_Transactions!F1528</f>
        <v/>
      </c>
      <c r="G1528" s="2">
        <f>Raw_Transactions!G1528</f>
        <v/>
      </c>
      <c r="H1528" s="2">
        <f>XLOOKUP(B1528,Raw_Risk_Profiles!$A:$A,Raw_Risk_Profiles!$B:$B,"Not Found")</f>
        <v/>
      </c>
      <c r="I1528" s="2">
        <f>XLOOKUP(B1528,Raw_Risk_Profiles!$A:$A,Raw_Risk_Profiles!$C:$C,"Missing")</f>
        <v/>
      </c>
      <c r="J1528" s="2">
        <f>XLOOKUP(B1528,Raw_Risk_Profiles!$A:$A,Raw_Risk_Profiles!$D:$D,"")</f>
        <v/>
      </c>
      <c r="K1528" s="2">
        <f>IFERROR(INDEX(Raw_Risk_Profiles!$E:$E,MATCH(B1528,Raw_Risk_Profiles!$A:$A,0)),"Unknown")</f>
        <v/>
      </c>
      <c r="L1528" s="2">
        <f>IFERROR(XLOOKUP(A1528,Raw_Alerts!$B:$B,Raw_Alerts!$A:$A),"No Alert")</f>
        <v/>
      </c>
      <c r="M1528" s="2">
        <f>IFERROR(XLOOKUP(A1528,Raw_Alerts!$B:$B,Raw_Alerts!$C:$C),"")</f>
        <v/>
      </c>
      <c r="N1528" s="2">
        <f>IFERROR(XLOOKUP(A1528,Raw_Alerts!$B:$B,Raw_Alerts!$D:$D),"")</f>
        <v/>
      </c>
      <c r="O1528" s="2">
        <f>IFERROR(XLOOKUP(A1528,Raw_Alerts!$B:$B,Raw_Alerts!$F:$F),"")</f>
        <v/>
      </c>
      <c r="P1528" s="2">
        <f>IF(H1528="Not Found","CRITICAL: No Risk Profile",IF(I1528="Missing","WARN: Missing KYC",IF(I1528="Expired","WARN: KYC Expired",IF(I1528="Pending","INFO: KYC Pending","OK"))))</f>
        <v/>
      </c>
    </row>
    <row r="1529">
      <c r="A1529" s="4">
        <f>Raw_Transactions!A1529</f>
        <v/>
      </c>
      <c r="B1529" s="4">
        <f>Raw_Transactions!B1529</f>
        <v/>
      </c>
      <c r="C1529" s="4">
        <f>Raw_Transactions!C1529</f>
        <v/>
      </c>
      <c r="D1529" s="5">
        <f>Raw_Transactions!D1529</f>
        <v/>
      </c>
      <c r="E1529" s="4">
        <f>Raw_Transactions!E1529</f>
        <v/>
      </c>
      <c r="F1529" s="4">
        <f>Raw_Transactions!F1529</f>
        <v/>
      </c>
      <c r="G1529" s="4">
        <f>Raw_Transactions!G1529</f>
        <v/>
      </c>
      <c r="H1529" s="4">
        <f>XLOOKUP(B1529,Raw_Risk_Profiles!$A:$A,Raw_Risk_Profiles!$B:$B,"Not Found")</f>
        <v/>
      </c>
      <c r="I1529" s="4">
        <f>XLOOKUP(B1529,Raw_Risk_Profiles!$A:$A,Raw_Risk_Profiles!$C:$C,"Missing")</f>
        <v/>
      </c>
      <c r="J1529" s="4">
        <f>XLOOKUP(B1529,Raw_Risk_Profiles!$A:$A,Raw_Risk_Profiles!$D:$D,"")</f>
        <v/>
      </c>
      <c r="K1529" s="4">
        <f>IFERROR(INDEX(Raw_Risk_Profiles!$E:$E,MATCH(B1529,Raw_Risk_Profiles!$A:$A,0)),"Unknown")</f>
        <v/>
      </c>
      <c r="L1529" s="4">
        <f>IFERROR(XLOOKUP(A1529,Raw_Alerts!$B:$B,Raw_Alerts!$A:$A),"No Alert")</f>
        <v/>
      </c>
      <c r="M1529" s="4">
        <f>IFERROR(XLOOKUP(A1529,Raw_Alerts!$B:$B,Raw_Alerts!$C:$C),"")</f>
        <v/>
      </c>
      <c r="N1529" s="4">
        <f>IFERROR(XLOOKUP(A1529,Raw_Alerts!$B:$B,Raw_Alerts!$D:$D),"")</f>
        <v/>
      </c>
      <c r="O1529" s="4">
        <f>IFERROR(XLOOKUP(A1529,Raw_Alerts!$B:$B,Raw_Alerts!$F:$F),"")</f>
        <v/>
      </c>
      <c r="P1529" s="4">
        <f>IF(H1529="Not Found","CRITICAL: No Risk Profile",IF(I1529="Missing","WARN: Missing KYC",IF(I1529="Expired","WARN: KYC Expired",IF(I1529="Pending","INFO: KYC Pending","OK"))))</f>
        <v/>
      </c>
    </row>
    <row r="1530">
      <c r="A1530" s="2">
        <f>Raw_Transactions!A1530</f>
        <v/>
      </c>
      <c r="B1530" s="2">
        <f>Raw_Transactions!B1530</f>
        <v/>
      </c>
      <c r="C1530" s="2">
        <f>Raw_Transactions!C1530</f>
        <v/>
      </c>
      <c r="D1530" s="3">
        <f>Raw_Transactions!D1530</f>
        <v/>
      </c>
      <c r="E1530" s="2">
        <f>Raw_Transactions!E1530</f>
        <v/>
      </c>
      <c r="F1530" s="2">
        <f>Raw_Transactions!F1530</f>
        <v/>
      </c>
      <c r="G1530" s="2">
        <f>Raw_Transactions!G1530</f>
        <v/>
      </c>
      <c r="H1530" s="2">
        <f>XLOOKUP(B1530,Raw_Risk_Profiles!$A:$A,Raw_Risk_Profiles!$B:$B,"Not Found")</f>
        <v/>
      </c>
      <c r="I1530" s="2">
        <f>XLOOKUP(B1530,Raw_Risk_Profiles!$A:$A,Raw_Risk_Profiles!$C:$C,"Missing")</f>
        <v/>
      </c>
      <c r="J1530" s="2">
        <f>XLOOKUP(B1530,Raw_Risk_Profiles!$A:$A,Raw_Risk_Profiles!$D:$D,"")</f>
        <v/>
      </c>
      <c r="K1530" s="2">
        <f>IFERROR(INDEX(Raw_Risk_Profiles!$E:$E,MATCH(B1530,Raw_Risk_Profiles!$A:$A,0)),"Unknown")</f>
        <v/>
      </c>
      <c r="L1530" s="2">
        <f>IFERROR(XLOOKUP(A1530,Raw_Alerts!$B:$B,Raw_Alerts!$A:$A),"No Alert")</f>
        <v/>
      </c>
      <c r="M1530" s="2">
        <f>IFERROR(XLOOKUP(A1530,Raw_Alerts!$B:$B,Raw_Alerts!$C:$C),"")</f>
        <v/>
      </c>
      <c r="N1530" s="2">
        <f>IFERROR(XLOOKUP(A1530,Raw_Alerts!$B:$B,Raw_Alerts!$D:$D),"")</f>
        <v/>
      </c>
      <c r="O1530" s="2">
        <f>IFERROR(XLOOKUP(A1530,Raw_Alerts!$B:$B,Raw_Alerts!$F:$F),"")</f>
        <v/>
      </c>
      <c r="P1530" s="2">
        <f>IF(H1530="Not Found","CRITICAL: No Risk Profile",IF(I1530="Missing","WARN: Missing KYC",IF(I1530="Expired","WARN: KYC Expired",IF(I1530="Pending","INFO: KYC Pending","OK"))))</f>
        <v/>
      </c>
    </row>
    <row r="1531">
      <c r="A1531" s="4">
        <f>Raw_Transactions!A1531</f>
        <v/>
      </c>
      <c r="B1531" s="4">
        <f>Raw_Transactions!B1531</f>
        <v/>
      </c>
      <c r="C1531" s="4">
        <f>Raw_Transactions!C1531</f>
        <v/>
      </c>
      <c r="D1531" s="5">
        <f>Raw_Transactions!D1531</f>
        <v/>
      </c>
      <c r="E1531" s="4">
        <f>Raw_Transactions!E1531</f>
        <v/>
      </c>
      <c r="F1531" s="4">
        <f>Raw_Transactions!F1531</f>
        <v/>
      </c>
      <c r="G1531" s="4">
        <f>Raw_Transactions!G1531</f>
        <v/>
      </c>
      <c r="H1531" s="4">
        <f>XLOOKUP(B1531,Raw_Risk_Profiles!$A:$A,Raw_Risk_Profiles!$B:$B,"Not Found")</f>
        <v/>
      </c>
      <c r="I1531" s="4">
        <f>XLOOKUP(B1531,Raw_Risk_Profiles!$A:$A,Raw_Risk_Profiles!$C:$C,"Missing")</f>
        <v/>
      </c>
      <c r="J1531" s="4">
        <f>XLOOKUP(B1531,Raw_Risk_Profiles!$A:$A,Raw_Risk_Profiles!$D:$D,"")</f>
        <v/>
      </c>
      <c r="K1531" s="4">
        <f>IFERROR(INDEX(Raw_Risk_Profiles!$E:$E,MATCH(B1531,Raw_Risk_Profiles!$A:$A,0)),"Unknown")</f>
        <v/>
      </c>
      <c r="L1531" s="4">
        <f>IFERROR(XLOOKUP(A1531,Raw_Alerts!$B:$B,Raw_Alerts!$A:$A),"No Alert")</f>
        <v/>
      </c>
      <c r="M1531" s="4">
        <f>IFERROR(XLOOKUP(A1531,Raw_Alerts!$B:$B,Raw_Alerts!$C:$C),"")</f>
        <v/>
      </c>
      <c r="N1531" s="4">
        <f>IFERROR(XLOOKUP(A1531,Raw_Alerts!$B:$B,Raw_Alerts!$D:$D),"")</f>
        <v/>
      </c>
      <c r="O1531" s="4">
        <f>IFERROR(XLOOKUP(A1531,Raw_Alerts!$B:$B,Raw_Alerts!$F:$F),"")</f>
        <v/>
      </c>
      <c r="P1531" s="4">
        <f>IF(H1531="Not Found","CRITICAL: No Risk Profile",IF(I1531="Missing","WARN: Missing KYC",IF(I1531="Expired","WARN: KYC Expired",IF(I1531="Pending","INFO: KYC Pending","OK"))))</f>
        <v/>
      </c>
    </row>
    <row r="1532">
      <c r="A1532" s="2">
        <f>Raw_Transactions!A1532</f>
        <v/>
      </c>
      <c r="B1532" s="2">
        <f>Raw_Transactions!B1532</f>
        <v/>
      </c>
      <c r="C1532" s="2">
        <f>Raw_Transactions!C1532</f>
        <v/>
      </c>
      <c r="D1532" s="3">
        <f>Raw_Transactions!D1532</f>
        <v/>
      </c>
      <c r="E1532" s="2">
        <f>Raw_Transactions!E1532</f>
        <v/>
      </c>
      <c r="F1532" s="2">
        <f>Raw_Transactions!F1532</f>
        <v/>
      </c>
      <c r="G1532" s="2">
        <f>Raw_Transactions!G1532</f>
        <v/>
      </c>
      <c r="H1532" s="2">
        <f>XLOOKUP(B1532,Raw_Risk_Profiles!$A:$A,Raw_Risk_Profiles!$B:$B,"Not Found")</f>
        <v/>
      </c>
      <c r="I1532" s="2">
        <f>XLOOKUP(B1532,Raw_Risk_Profiles!$A:$A,Raw_Risk_Profiles!$C:$C,"Missing")</f>
        <v/>
      </c>
      <c r="J1532" s="2">
        <f>XLOOKUP(B1532,Raw_Risk_Profiles!$A:$A,Raw_Risk_Profiles!$D:$D,"")</f>
        <v/>
      </c>
      <c r="K1532" s="2">
        <f>IFERROR(INDEX(Raw_Risk_Profiles!$E:$E,MATCH(B1532,Raw_Risk_Profiles!$A:$A,0)),"Unknown")</f>
        <v/>
      </c>
      <c r="L1532" s="2">
        <f>IFERROR(XLOOKUP(A1532,Raw_Alerts!$B:$B,Raw_Alerts!$A:$A),"No Alert")</f>
        <v/>
      </c>
      <c r="M1532" s="2">
        <f>IFERROR(XLOOKUP(A1532,Raw_Alerts!$B:$B,Raw_Alerts!$C:$C),"")</f>
        <v/>
      </c>
      <c r="N1532" s="2">
        <f>IFERROR(XLOOKUP(A1532,Raw_Alerts!$B:$B,Raw_Alerts!$D:$D),"")</f>
        <v/>
      </c>
      <c r="O1532" s="2">
        <f>IFERROR(XLOOKUP(A1532,Raw_Alerts!$B:$B,Raw_Alerts!$F:$F),"")</f>
        <v/>
      </c>
      <c r="P1532" s="2">
        <f>IF(H1532="Not Found","CRITICAL: No Risk Profile",IF(I1532="Missing","WARN: Missing KYC",IF(I1532="Expired","WARN: KYC Expired",IF(I1532="Pending","INFO: KYC Pending","OK"))))</f>
        <v/>
      </c>
    </row>
    <row r="1533">
      <c r="A1533" s="4">
        <f>Raw_Transactions!A1533</f>
        <v/>
      </c>
      <c r="B1533" s="4">
        <f>Raw_Transactions!B1533</f>
        <v/>
      </c>
      <c r="C1533" s="4">
        <f>Raw_Transactions!C1533</f>
        <v/>
      </c>
      <c r="D1533" s="5">
        <f>Raw_Transactions!D1533</f>
        <v/>
      </c>
      <c r="E1533" s="4">
        <f>Raw_Transactions!E1533</f>
        <v/>
      </c>
      <c r="F1533" s="4">
        <f>Raw_Transactions!F1533</f>
        <v/>
      </c>
      <c r="G1533" s="4">
        <f>Raw_Transactions!G1533</f>
        <v/>
      </c>
      <c r="H1533" s="4">
        <f>XLOOKUP(B1533,Raw_Risk_Profiles!$A:$A,Raw_Risk_Profiles!$B:$B,"Not Found")</f>
        <v/>
      </c>
      <c r="I1533" s="4">
        <f>XLOOKUP(B1533,Raw_Risk_Profiles!$A:$A,Raw_Risk_Profiles!$C:$C,"Missing")</f>
        <v/>
      </c>
      <c r="J1533" s="4">
        <f>XLOOKUP(B1533,Raw_Risk_Profiles!$A:$A,Raw_Risk_Profiles!$D:$D,"")</f>
        <v/>
      </c>
      <c r="K1533" s="4">
        <f>IFERROR(INDEX(Raw_Risk_Profiles!$E:$E,MATCH(B1533,Raw_Risk_Profiles!$A:$A,0)),"Unknown")</f>
        <v/>
      </c>
      <c r="L1533" s="4">
        <f>IFERROR(XLOOKUP(A1533,Raw_Alerts!$B:$B,Raw_Alerts!$A:$A),"No Alert")</f>
        <v/>
      </c>
      <c r="M1533" s="4">
        <f>IFERROR(XLOOKUP(A1533,Raw_Alerts!$B:$B,Raw_Alerts!$C:$C),"")</f>
        <v/>
      </c>
      <c r="N1533" s="4">
        <f>IFERROR(XLOOKUP(A1533,Raw_Alerts!$B:$B,Raw_Alerts!$D:$D),"")</f>
        <v/>
      </c>
      <c r="O1533" s="4">
        <f>IFERROR(XLOOKUP(A1533,Raw_Alerts!$B:$B,Raw_Alerts!$F:$F),"")</f>
        <v/>
      </c>
      <c r="P1533" s="4">
        <f>IF(H1533="Not Found","CRITICAL: No Risk Profile",IF(I1533="Missing","WARN: Missing KYC",IF(I1533="Expired","WARN: KYC Expired",IF(I1533="Pending","INFO: KYC Pending","OK"))))</f>
        <v/>
      </c>
    </row>
    <row r="1534">
      <c r="A1534" s="2">
        <f>Raw_Transactions!A1534</f>
        <v/>
      </c>
      <c r="B1534" s="2">
        <f>Raw_Transactions!B1534</f>
        <v/>
      </c>
      <c r="C1534" s="2">
        <f>Raw_Transactions!C1534</f>
        <v/>
      </c>
      <c r="D1534" s="3">
        <f>Raw_Transactions!D1534</f>
        <v/>
      </c>
      <c r="E1534" s="2">
        <f>Raw_Transactions!E1534</f>
        <v/>
      </c>
      <c r="F1534" s="2">
        <f>Raw_Transactions!F1534</f>
        <v/>
      </c>
      <c r="G1534" s="2">
        <f>Raw_Transactions!G1534</f>
        <v/>
      </c>
      <c r="H1534" s="2">
        <f>XLOOKUP(B1534,Raw_Risk_Profiles!$A:$A,Raw_Risk_Profiles!$B:$B,"Not Found")</f>
        <v/>
      </c>
      <c r="I1534" s="2">
        <f>XLOOKUP(B1534,Raw_Risk_Profiles!$A:$A,Raw_Risk_Profiles!$C:$C,"Missing")</f>
        <v/>
      </c>
      <c r="J1534" s="2">
        <f>XLOOKUP(B1534,Raw_Risk_Profiles!$A:$A,Raw_Risk_Profiles!$D:$D,"")</f>
        <v/>
      </c>
      <c r="K1534" s="2">
        <f>IFERROR(INDEX(Raw_Risk_Profiles!$E:$E,MATCH(B1534,Raw_Risk_Profiles!$A:$A,0)),"Unknown")</f>
        <v/>
      </c>
      <c r="L1534" s="2">
        <f>IFERROR(XLOOKUP(A1534,Raw_Alerts!$B:$B,Raw_Alerts!$A:$A),"No Alert")</f>
        <v/>
      </c>
      <c r="M1534" s="2">
        <f>IFERROR(XLOOKUP(A1534,Raw_Alerts!$B:$B,Raw_Alerts!$C:$C),"")</f>
        <v/>
      </c>
      <c r="N1534" s="2">
        <f>IFERROR(XLOOKUP(A1534,Raw_Alerts!$B:$B,Raw_Alerts!$D:$D),"")</f>
        <v/>
      </c>
      <c r="O1534" s="2">
        <f>IFERROR(XLOOKUP(A1534,Raw_Alerts!$B:$B,Raw_Alerts!$F:$F),"")</f>
        <v/>
      </c>
      <c r="P1534" s="2">
        <f>IF(H1534="Not Found","CRITICAL: No Risk Profile",IF(I1534="Missing","WARN: Missing KYC",IF(I1534="Expired","WARN: KYC Expired",IF(I1534="Pending","INFO: KYC Pending","OK"))))</f>
        <v/>
      </c>
    </row>
    <row r="1535">
      <c r="A1535" s="4">
        <f>Raw_Transactions!A1535</f>
        <v/>
      </c>
      <c r="B1535" s="4">
        <f>Raw_Transactions!B1535</f>
        <v/>
      </c>
      <c r="C1535" s="4">
        <f>Raw_Transactions!C1535</f>
        <v/>
      </c>
      <c r="D1535" s="5">
        <f>Raw_Transactions!D1535</f>
        <v/>
      </c>
      <c r="E1535" s="4">
        <f>Raw_Transactions!E1535</f>
        <v/>
      </c>
      <c r="F1535" s="4">
        <f>Raw_Transactions!F1535</f>
        <v/>
      </c>
      <c r="G1535" s="4">
        <f>Raw_Transactions!G1535</f>
        <v/>
      </c>
      <c r="H1535" s="4">
        <f>XLOOKUP(B1535,Raw_Risk_Profiles!$A:$A,Raw_Risk_Profiles!$B:$B,"Not Found")</f>
        <v/>
      </c>
      <c r="I1535" s="4">
        <f>XLOOKUP(B1535,Raw_Risk_Profiles!$A:$A,Raw_Risk_Profiles!$C:$C,"Missing")</f>
        <v/>
      </c>
      <c r="J1535" s="4">
        <f>XLOOKUP(B1535,Raw_Risk_Profiles!$A:$A,Raw_Risk_Profiles!$D:$D,"")</f>
        <v/>
      </c>
      <c r="K1535" s="4">
        <f>IFERROR(INDEX(Raw_Risk_Profiles!$E:$E,MATCH(B1535,Raw_Risk_Profiles!$A:$A,0)),"Unknown")</f>
        <v/>
      </c>
      <c r="L1535" s="4">
        <f>IFERROR(XLOOKUP(A1535,Raw_Alerts!$B:$B,Raw_Alerts!$A:$A),"No Alert")</f>
        <v/>
      </c>
      <c r="M1535" s="4">
        <f>IFERROR(XLOOKUP(A1535,Raw_Alerts!$B:$B,Raw_Alerts!$C:$C),"")</f>
        <v/>
      </c>
      <c r="N1535" s="4">
        <f>IFERROR(XLOOKUP(A1535,Raw_Alerts!$B:$B,Raw_Alerts!$D:$D),"")</f>
        <v/>
      </c>
      <c r="O1535" s="4">
        <f>IFERROR(XLOOKUP(A1535,Raw_Alerts!$B:$B,Raw_Alerts!$F:$F),"")</f>
        <v/>
      </c>
      <c r="P1535" s="4">
        <f>IF(H1535="Not Found","CRITICAL: No Risk Profile",IF(I1535="Missing","WARN: Missing KYC",IF(I1535="Expired","WARN: KYC Expired",IF(I1535="Pending","INFO: KYC Pending","OK"))))</f>
        <v/>
      </c>
    </row>
    <row r="1536">
      <c r="A1536" s="2">
        <f>Raw_Transactions!A1536</f>
        <v/>
      </c>
      <c r="B1536" s="2">
        <f>Raw_Transactions!B1536</f>
        <v/>
      </c>
      <c r="C1536" s="2">
        <f>Raw_Transactions!C1536</f>
        <v/>
      </c>
      <c r="D1536" s="3">
        <f>Raw_Transactions!D1536</f>
        <v/>
      </c>
      <c r="E1536" s="2">
        <f>Raw_Transactions!E1536</f>
        <v/>
      </c>
      <c r="F1536" s="2">
        <f>Raw_Transactions!F1536</f>
        <v/>
      </c>
      <c r="G1536" s="2">
        <f>Raw_Transactions!G1536</f>
        <v/>
      </c>
      <c r="H1536" s="2">
        <f>XLOOKUP(B1536,Raw_Risk_Profiles!$A:$A,Raw_Risk_Profiles!$B:$B,"Not Found")</f>
        <v/>
      </c>
      <c r="I1536" s="2">
        <f>XLOOKUP(B1536,Raw_Risk_Profiles!$A:$A,Raw_Risk_Profiles!$C:$C,"Missing")</f>
        <v/>
      </c>
      <c r="J1536" s="2">
        <f>XLOOKUP(B1536,Raw_Risk_Profiles!$A:$A,Raw_Risk_Profiles!$D:$D,"")</f>
        <v/>
      </c>
      <c r="K1536" s="2">
        <f>IFERROR(INDEX(Raw_Risk_Profiles!$E:$E,MATCH(B1536,Raw_Risk_Profiles!$A:$A,0)),"Unknown")</f>
        <v/>
      </c>
      <c r="L1536" s="2">
        <f>IFERROR(XLOOKUP(A1536,Raw_Alerts!$B:$B,Raw_Alerts!$A:$A),"No Alert")</f>
        <v/>
      </c>
      <c r="M1536" s="2">
        <f>IFERROR(XLOOKUP(A1536,Raw_Alerts!$B:$B,Raw_Alerts!$C:$C),"")</f>
        <v/>
      </c>
      <c r="N1536" s="2">
        <f>IFERROR(XLOOKUP(A1536,Raw_Alerts!$B:$B,Raw_Alerts!$D:$D),"")</f>
        <v/>
      </c>
      <c r="O1536" s="2">
        <f>IFERROR(XLOOKUP(A1536,Raw_Alerts!$B:$B,Raw_Alerts!$F:$F),"")</f>
        <v/>
      </c>
      <c r="P1536" s="2">
        <f>IF(H1536="Not Found","CRITICAL: No Risk Profile",IF(I1536="Missing","WARN: Missing KYC",IF(I1536="Expired","WARN: KYC Expired",IF(I1536="Pending","INFO: KYC Pending","OK"))))</f>
        <v/>
      </c>
    </row>
    <row r="1537">
      <c r="A1537" s="4">
        <f>Raw_Transactions!A1537</f>
        <v/>
      </c>
      <c r="B1537" s="4">
        <f>Raw_Transactions!B1537</f>
        <v/>
      </c>
      <c r="C1537" s="4">
        <f>Raw_Transactions!C1537</f>
        <v/>
      </c>
      <c r="D1537" s="5">
        <f>Raw_Transactions!D1537</f>
        <v/>
      </c>
      <c r="E1537" s="4">
        <f>Raw_Transactions!E1537</f>
        <v/>
      </c>
      <c r="F1537" s="4">
        <f>Raw_Transactions!F1537</f>
        <v/>
      </c>
      <c r="G1537" s="4">
        <f>Raw_Transactions!G1537</f>
        <v/>
      </c>
      <c r="H1537" s="4">
        <f>XLOOKUP(B1537,Raw_Risk_Profiles!$A:$A,Raw_Risk_Profiles!$B:$B,"Not Found")</f>
        <v/>
      </c>
      <c r="I1537" s="4">
        <f>XLOOKUP(B1537,Raw_Risk_Profiles!$A:$A,Raw_Risk_Profiles!$C:$C,"Missing")</f>
        <v/>
      </c>
      <c r="J1537" s="4">
        <f>XLOOKUP(B1537,Raw_Risk_Profiles!$A:$A,Raw_Risk_Profiles!$D:$D,"")</f>
        <v/>
      </c>
      <c r="K1537" s="4">
        <f>IFERROR(INDEX(Raw_Risk_Profiles!$E:$E,MATCH(B1537,Raw_Risk_Profiles!$A:$A,0)),"Unknown")</f>
        <v/>
      </c>
      <c r="L1537" s="4">
        <f>IFERROR(XLOOKUP(A1537,Raw_Alerts!$B:$B,Raw_Alerts!$A:$A),"No Alert")</f>
        <v/>
      </c>
      <c r="M1537" s="4">
        <f>IFERROR(XLOOKUP(A1537,Raw_Alerts!$B:$B,Raw_Alerts!$C:$C),"")</f>
        <v/>
      </c>
      <c r="N1537" s="4">
        <f>IFERROR(XLOOKUP(A1537,Raw_Alerts!$B:$B,Raw_Alerts!$D:$D),"")</f>
        <v/>
      </c>
      <c r="O1537" s="4">
        <f>IFERROR(XLOOKUP(A1537,Raw_Alerts!$B:$B,Raw_Alerts!$F:$F),"")</f>
        <v/>
      </c>
      <c r="P1537" s="4">
        <f>IF(H1537="Not Found","CRITICAL: No Risk Profile",IF(I1537="Missing","WARN: Missing KYC",IF(I1537="Expired","WARN: KYC Expired",IF(I1537="Pending","INFO: KYC Pending","OK"))))</f>
        <v/>
      </c>
    </row>
    <row r="1538">
      <c r="A1538" s="2">
        <f>Raw_Transactions!A1538</f>
        <v/>
      </c>
      <c r="B1538" s="2">
        <f>Raw_Transactions!B1538</f>
        <v/>
      </c>
      <c r="C1538" s="2">
        <f>Raw_Transactions!C1538</f>
        <v/>
      </c>
      <c r="D1538" s="3">
        <f>Raw_Transactions!D1538</f>
        <v/>
      </c>
      <c r="E1538" s="2">
        <f>Raw_Transactions!E1538</f>
        <v/>
      </c>
      <c r="F1538" s="2">
        <f>Raw_Transactions!F1538</f>
        <v/>
      </c>
      <c r="G1538" s="2">
        <f>Raw_Transactions!G1538</f>
        <v/>
      </c>
      <c r="H1538" s="2">
        <f>XLOOKUP(B1538,Raw_Risk_Profiles!$A:$A,Raw_Risk_Profiles!$B:$B,"Not Found")</f>
        <v/>
      </c>
      <c r="I1538" s="2">
        <f>XLOOKUP(B1538,Raw_Risk_Profiles!$A:$A,Raw_Risk_Profiles!$C:$C,"Missing")</f>
        <v/>
      </c>
      <c r="J1538" s="2">
        <f>XLOOKUP(B1538,Raw_Risk_Profiles!$A:$A,Raw_Risk_Profiles!$D:$D,"")</f>
        <v/>
      </c>
      <c r="K1538" s="2">
        <f>IFERROR(INDEX(Raw_Risk_Profiles!$E:$E,MATCH(B1538,Raw_Risk_Profiles!$A:$A,0)),"Unknown")</f>
        <v/>
      </c>
      <c r="L1538" s="2">
        <f>IFERROR(XLOOKUP(A1538,Raw_Alerts!$B:$B,Raw_Alerts!$A:$A),"No Alert")</f>
        <v/>
      </c>
      <c r="M1538" s="2">
        <f>IFERROR(XLOOKUP(A1538,Raw_Alerts!$B:$B,Raw_Alerts!$C:$C),"")</f>
        <v/>
      </c>
      <c r="N1538" s="2">
        <f>IFERROR(XLOOKUP(A1538,Raw_Alerts!$B:$B,Raw_Alerts!$D:$D),"")</f>
        <v/>
      </c>
      <c r="O1538" s="2">
        <f>IFERROR(XLOOKUP(A1538,Raw_Alerts!$B:$B,Raw_Alerts!$F:$F),"")</f>
        <v/>
      </c>
      <c r="P1538" s="2">
        <f>IF(H1538="Not Found","CRITICAL: No Risk Profile",IF(I1538="Missing","WARN: Missing KYC",IF(I1538="Expired","WARN: KYC Expired",IF(I1538="Pending","INFO: KYC Pending","OK"))))</f>
        <v/>
      </c>
    </row>
    <row r="1539">
      <c r="A1539" s="4">
        <f>Raw_Transactions!A1539</f>
        <v/>
      </c>
      <c r="B1539" s="4">
        <f>Raw_Transactions!B1539</f>
        <v/>
      </c>
      <c r="C1539" s="4">
        <f>Raw_Transactions!C1539</f>
        <v/>
      </c>
      <c r="D1539" s="5">
        <f>Raw_Transactions!D1539</f>
        <v/>
      </c>
      <c r="E1539" s="4">
        <f>Raw_Transactions!E1539</f>
        <v/>
      </c>
      <c r="F1539" s="4">
        <f>Raw_Transactions!F1539</f>
        <v/>
      </c>
      <c r="G1539" s="4">
        <f>Raw_Transactions!G1539</f>
        <v/>
      </c>
      <c r="H1539" s="4">
        <f>XLOOKUP(B1539,Raw_Risk_Profiles!$A:$A,Raw_Risk_Profiles!$B:$B,"Not Found")</f>
        <v/>
      </c>
      <c r="I1539" s="4">
        <f>XLOOKUP(B1539,Raw_Risk_Profiles!$A:$A,Raw_Risk_Profiles!$C:$C,"Missing")</f>
        <v/>
      </c>
      <c r="J1539" s="4">
        <f>XLOOKUP(B1539,Raw_Risk_Profiles!$A:$A,Raw_Risk_Profiles!$D:$D,"")</f>
        <v/>
      </c>
      <c r="K1539" s="4">
        <f>IFERROR(INDEX(Raw_Risk_Profiles!$E:$E,MATCH(B1539,Raw_Risk_Profiles!$A:$A,0)),"Unknown")</f>
        <v/>
      </c>
      <c r="L1539" s="4">
        <f>IFERROR(XLOOKUP(A1539,Raw_Alerts!$B:$B,Raw_Alerts!$A:$A),"No Alert")</f>
        <v/>
      </c>
      <c r="M1539" s="4">
        <f>IFERROR(XLOOKUP(A1539,Raw_Alerts!$B:$B,Raw_Alerts!$C:$C),"")</f>
        <v/>
      </c>
      <c r="N1539" s="4">
        <f>IFERROR(XLOOKUP(A1539,Raw_Alerts!$B:$B,Raw_Alerts!$D:$D),"")</f>
        <v/>
      </c>
      <c r="O1539" s="4">
        <f>IFERROR(XLOOKUP(A1539,Raw_Alerts!$B:$B,Raw_Alerts!$F:$F),"")</f>
        <v/>
      </c>
      <c r="P1539" s="4">
        <f>IF(H1539="Not Found","CRITICAL: No Risk Profile",IF(I1539="Missing","WARN: Missing KYC",IF(I1539="Expired","WARN: KYC Expired",IF(I1539="Pending","INFO: KYC Pending","OK"))))</f>
        <v/>
      </c>
    </row>
    <row r="1540">
      <c r="A1540" s="2">
        <f>Raw_Transactions!A1540</f>
        <v/>
      </c>
      <c r="B1540" s="2">
        <f>Raw_Transactions!B1540</f>
        <v/>
      </c>
      <c r="C1540" s="2">
        <f>Raw_Transactions!C1540</f>
        <v/>
      </c>
      <c r="D1540" s="3">
        <f>Raw_Transactions!D1540</f>
        <v/>
      </c>
      <c r="E1540" s="2">
        <f>Raw_Transactions!E1540</f>
        <v/>
      </c>
      <c r="F1540" s="2">
        <f>Raw_Transactions!F1540</f>
        <v/>
      </c>
      <c r="G1540" s="2">
        <f>Raw_Transactions!G1540</f>
        <v/>
      </c>
      <c r="H1540" s="2">
        <f>XLOOKUP(B1540,Raw_Risk_Profiles!$A:$A,Raw_Risk_Profiles!$B:$B,"Not Found")</f>
        <v/>
      </c>
      <c r="I1540" s="2">
        <f>XLOOKUP(B1540,Raw_Risk_Profiles!$A:$A,Raw_Risk_Profiles!$C:$C,"Missing")</f>
        <v/>
      </c>
      <c r="J1540" s="2">
        <f>XLOOKUP(B1540,Raw_Risk_Profiles!$A:$A,Raw_Risk_Profiles!$D:$D,"")</f>
        <v/>
      </c>
      <c r="K1540" s="2">
        <f>IFERROR(INDEX(Raw_Risk_Profiles!$E:$E,MATCH(B1540,Raw_Risk_Profiles!$A:$A,0)),"Unknown")</f>
        <v/>
      </c>
      <c r="L1540" s="2">
        <f>IFERROR(XLOOKUP(A1540,Raw_Alerts!$B:$B,Raw_Alerts!$A:$A),"No Alert")</f>
        <v/>
      </c>
      <c r="M1540" s="2">
        <f>IFERROR(XLOOKUP(A1540,Raw_Alerts!$B:$B,Raw_Alerts!$C:$C),"")</f>
        <v/>
      </c>
      <c r="N1540" s="2">
        <f>IFERROR(XLOOKUP(A1540,Raw_Alerts!$B:$B,Raw_Alerts!$D:$D),"")</f>
        <v/>
      </c>
      <c r="O1540" s="2">
        <f>IFERROR(XLOOKUP(A1540,Raw_Alerts!$B:$B,Raw_Alerts!$F:$F),"")</f>
        <v/>
      </c>
      <c r="P1540" s="2">
        <f>IF(H1540="Not Found","CRITICAL: No Risk Profile",IF(I1540="Missing","WARN: Missing KYC",IF(I1540="Expired","WARN: KYC Expired",IF(I1540="Pending","INFO: KYC Pending","OK"))))</f>
        <v/>
      </c>
    </row>
    <row r="1541">
      <c r="A1541" s="4">
        <f>Raw_Transactions!A1541</f>
        <v/>
      </c>
      <c r="B1541" s="4">
        <f>Raw_Transactions!B1541</f>
        <v/>
      </c>
      <c r="C1541" s="4">
        <f>Raw_Transactions!C1541</f>
        <v/>
      </c>
      <c r="D1541" s="5">
        <f>Raw_Transactions!D1541</f>
        <v/>
      </c>
      <c r="E1541" s="4">
        <f>Raw_Transactions!E1541</f>
        <v/>
      </c>
      <c r="F1541" s="4">
        <f>Raw_Transactions!F1541</f>
        <v/>
      </c>
      <c r="G1541" s="4">
        <f>Raw_Transactions!G1541</f>
        <v/>
      </c>
      <c r="H1541" s="4">
        <f>XLOOKUP(B1541,Raw_Risk_Profiles!$A:$A,Raw_Risk_Profiles!$B:$B,"Not Found")</f>
        <v/>
      </c>
      <c r="I1541" s="4">
        <f>XLOOKUP(B1541,Raw_Risk_Profiles!$A:$A,Raw_Risk_Profiles!$C:$C,"Missing")</f>
        <v/>
      </c>
      <c r="J1541" s="4">
        <f>XLOOKUP(B1541,Raw_Risk_Profiles!$A:$A,Raw_Risk_Profiles!$D:$D,"")</f>
        <v/>
      </c>
      <c r="K1541" s="4">
        <f>IFERROR(INDEX(Raw_Risk_Profiles!$E:$E,MATCH(B1541,Raw_Risk_Profiles!$A:$A,0)),"Unknown")</f>
        <v/>
      </c>
      <c r="L1541" s="4">
        <f>IFERROR(XLOOKUP(A1541,Raw_Alerts!$B:$B,Raw_Alerts!$A:$A),"No Alert")</f>
        <v/>
      </c>
      <c r="M1541" s="4">
        <f>IFERROR(XLOOKUP(A1541,Raw_Alerts!$B:$B,Raw_Alerts!$C:$C),"")</f>
        <v/>
      </c>
      <c r="N1541" s="4">
        <f>IFERROR(XLOOKUP(A1541,Raw_Alerts!$B:$B,Raw_Alerts!$D:$D),"")</f>
        <v/>
      </c>
      <c r="O1541" s="4">
        <f>IFERROR(XLOOKUP(A1541,Raw_Alerts!$B:$B,Raw_Alerts!$F:$F),"")</f>
        <v/>
      </c>
      <c r="P1541" s="4">
        <f>IF(H1541="Not Found","CRITICAL: No Risk Profile",IF(I1541="Missing","WARN: Missing KYC",IF(I1541="Expired","WARN: KYC Expired",IF(I1541="Pending","INFO: KYC Pending","OK"))))</f>
        <v/>
      </c>
    </row>
    <row r="1542">
      <c r="A1542" s="2">
        <f>Raw_Transactions!A1542</f>
        <v/>
      </c>
      <c r="B1542" s="2">
        <f>Raw_Transactions!B1542</f>
        <v/>
      </c>
      <c r="C1542" s="2">
        <f>Raw_Transactions!C1542</f>
        <v/>
      </c>
      <c r="D1542" s="3">
        <f>Raw_Transactions!D1542</f>
        <v/>
      </c>
      <c r="E1542" s="2">
        <f>Raw_Transactions!E1542</f>
        <v/>
      </c>
      <c r="F1542" s="2">
        <f>Raw_Transactions!F1542</f>
        <v/>
      </c>
      <c r="G1542" s="2">
        <f>Raw_Transactions!G1542</f>
        <v/>
      </c>
      <c r="H1542" s="2">
        <f>XLOOKUP(B1542,Raw_Risk_Profiles!$A:$A,Raw_Risk_Profiles!$B:$B,"Not Found")</f>
        <v/>
      </c>
      <c r="I1542" s="2">
        <f>XLOOKUP(B1542,Raw_Risk_Profiles!$A:$A,Raw_Risk_Profiles!$C:$C,"Missing")</f>
        <v/>
      </c>
      <c r="J1542" s="2">
        <f>XLOOKUP(B1542,Raw_Risk_Profiles!$A:$A,Raw_Risk_Profiles!$D:$D,"")</f>
        <v/>
      </c>
      <c r="K1542" s="2">
        <f>IFERROR(INDEX(Raw_Risk_Profiles!$E:$E,MATCH(B1542,Raw_Risk_Profiles!$A:$A,0)),"Unknown")</f>
        <v/>
      </c>
      <c r="L1542" s="2">
        <f>IFERROR(XLOOKUP(A1542,Raw_Alerts!$B:$B,Raw_Alerts!$A:$A),"No Alert")</f>
        <v/>
      </c>
      <c r="M1542" s="2">
        <f>IFERROR(XLOOKUP(A1542,Raw_Alerts!$B:$B,Raw_Alerts!$C:$C),"")</f>
        <v/>
      </c>
      <c r="N1542" s="2">
        <f>IFERROR(XLOOKUP(A1542,Raw_Alerts!$B:$B,Raw_Alerts!$D:$D),"")</f>
        <v/>
      </c>
      <c r="O1542" s="2">
        <f>IFERROR(XLOOKUP(A1542,Raw_Alerts!$B:$B,Raw_Alerts!$F:$F),"")</f>
        <v/>
      </c>
      <c r="P1542" s="2">
        <f>IF(H1542="Not Found","CRITICAL: No Risk Profile",IF(I1542="Missing","WARN: Missing KYC",IF(I1542="Expired","WARN: KYC Expired",IF(I1542="Pending","INFO: KYC Pending","OK"))))</f>
        <v/>
      </c>
    </row>
    <row r="1543">
      <c r="A1543" s="4">
        <f>Raw_Transactions!A1543</f>
        <v/>
      </c>
      <c r="B1543" s="4">
        <f>Raw_Transactions!B1543</f>
        <v/>
      </c>
      <c r="C1543" s="4">
        <f>Raw_Transactions!C1543</f>
        <v/>
      </c>
      <c r="D1543" s="5">
        <f>Raw_Transactions!D1543</f>
        <v/>
      </c>
      <c r="E1543" s="4">
        <f>Raw_Transactions!E1543</f>
        <v/>
      </c>
      <c r="F1543" s="4">
        <f>Raw_Transactions!F1543</f>
        <v/>
      </c>
      <c r="G1543" s="4">
        <f>Raw_Transactions!G1543</f>
        <v/>
      </c>
      <c r="H1543" s="4">
        <f>XLOOKUP(B1543,Raw_Risk_Profiles!$A:$A,Raw_Risk_Profiles!$B:$B,"Not Found")</f>
        <v/>
      </c>
      <c r="I1543" s="4">
        <f>XLOOKUP(B1543,Raw_Risk_Profiles!$A:$A,Raw_Risk_Profiles!$C:$C,"Missing")</f>
        <v/>
      </c>
      <c r="J1543" s="4">
        <f>XLOOKUP(B1543,Raw_Risk_Profiles!$A:$A,Raw_Risk_Profiles!$D:$D,"")</f>
        <v/>
      </c>
      <c r="K1543" s="4">
        <f>IFERROR(INDEX(Raw_Risk_Profiles!$E:$E,MATCH(B1543,Raw_Risk_Profiles!$A:$A,0)),"Unknown")</f>
        <v/>
      </c>
      <c r="L1543" s="4">
        <f>IFERROR(XLOOKUP(A1543,Raw_Alerts!$B:$B,Raw_Alerts!$A:$A),"No Alert")</f>
        <v/>
      </c>
      <c r="M1543" s="4">
        <f>IFERROR(XLOOKUP(A1543,Raw_Alerts!$B:$B,Raw_Alerts!$C:$C),"")</f>
        <v/>
      </c>
      <c r="N1543" s="4">
        <f>IFERROR(XLOOKUP(A1543,Raw_Alerts!$B:$B,Raw_Alerts!$D:$D),"")</f>
        <v/>
      </c>
      <c r="O1543" s="4">
        <f>IFERROR(XLOOKUP(A1543,Raw_Alerts!$B:$B,Raw_Alerts!$F:$F),"")</f>
        <v/>
      </c>
      <c r="P1543" s="4">
        <f>IF(H1543="Not Found","CRITICAL: No Risk Profile",IF(I1543="Missing","WARN: Missing KYC",IF(I1543="Expired","WARN: KYC Expired",IF(I1543="Pending","INFO: KYC Pending","OK"))))</f>
        <v/>
      </c>
    </row>
    <row r="1544">
      <c r="A1544" s="2">
        <f>Raw_Transactions!A1544</f>
        <v/>
      </c>
      <c r="B1544" s="2">
        <f>Raw_Transactions!B1544</f>
        <v/>
      </c>
      <c r="C1544" s="2">
        <f>Raw_Transactions!C1544</f>
        <v/>
      </c>
      <c r="D1544" s="3">
        <f>Raw_Transactions!D1544</f>
        <v/>
      </c>
      <c r="E1544" s="2">
        <f>Raw_Transactions!E1544</f>
        <v/>
      </c>
      <c r="F1544" s="2">
        <f>Raw_Transactions!F1544</f>
        <v/>
      </c>
      <c r="G1544" s="2">
        <f>Raw_Transactions!G1544</f>
        <v/>
      </c>
      <c r="H1544" s="2">
        <f>XLOOKUP(B1544,Raw_Risk_Profiles!$A:$A,Raw_Risk_Profiles!$B:$B,"Not Found")</f>
        <v/>
      </c>
      <c r="I1544" s="2">
        <f>XLOOKUP(B1544,Raw_Risk_Profiles!$A:$A,Raw_Risk_Profiles!$C:$C,"Missing")</f>
        <v/>
      </c>
      <c r="J1544" s="2">
        <f>XLOOKUP(B1544,Raw_Risk_Profiles!$A:$A,Raw_Risk_Profiles!$D:$D,"")</f>
        <v/>
      </c>
      <c r="K1544" s="2">
        <f>IFERROR(INDEX(Raw_Risk_Profiles!$E:$E,MATCH(B1544,Raw_Risk_Profiles!$A:$A,0)),"Unknown")</f>
        <v/>
      </c>
      <c r="L1544" s="2">
        <f>IFERROR(XLOOKUP(A1544,Raw_Alerts!$B:$B,Raw_Alerts!$A:$A),"No Alert")</f>
        <v/>
      </c>
      <c r="M1544" s="2">
        <f>IFERROR(XLOOKUP(A1544,Raw_Alerts!$B:$B,Raw_Alerts!$C:$C),"")</f>
        <v/>
      </c>
      <c r="N1544" s="2">
        <f>IFERROR(XLOOKUP(A1544,Raw_Alerts!$B:$B,Raw_Alerts!$D:$D),"")</f>
        <v/>
      </c>
      <c r="O1544" s="2">
        <f>IFERROR(XLOOKUP(A1544,Raw_Alerts!$B:$B,Raw_Alerts!$F:$F),"")</f>
        <v/>
      </c>
      <c r="P1544" s="2">
        <f>IF(H1544="Not Found","CRITICAL: No Risk Profile",IF(I1544="Missing","WARN: Missing KYC",IF(I1544="Expired","WARN: KYC Expired",IF(I1544="Pending","INFO: KYC Pending","OK"))))</f>
        <v/>
      </c>
    </row>
    <row r="1545">
      <c r="A1545" s="4">
        <f>Raw_Transactions!A1545</f>
        <v/>
      </c>
      <c r="B1545" s="4">
        <f>Raw_Transactions!B1545</f>
        <v/>
      </c>
      <c r="C1545" s="4">
        <f>Raw_Transactions!C1545</f>
        <v/>
      </c>
      <c r="D1545" s="5">
        <f>Raw_Transactions!D1545</f>
        <v/>
      </c>
      <c r="E1545" s="4">
        <f>Raw_Transactions!E1545</f>
        <v/>
      </c>
      <c r="F1545" s="4">
        <f>Raw_Transactions!F1545</f>
        <v/>
      </c>
      <c r="G1545" s="4">
        <f>Raw_Transactions!G1545</f>
        <v/>
      </c>
      <c r="H1545" s="4">
        <f>XLOOKUP(B1545,Raw_Risk_Profiles!$A:$A,Raw_Risk_Profiles!$B:$B,"Not Found")</f>
        <v/>
      </c>
      <c r="I1545" s="4">
        <f>XLOOKUP(B1545,Raw_Risk_Profiles!$A:$A,Raw_Risk_Profiles!$C:$C,"Missing")</f>
        <v/>
      </c>
      <c r="J1545" s="4">
        <f>XLOOKUP(B1545,Raw_Risk_Profiles!$A:$A,Raw_Risk_Profiles!$D:$D,"")</f>
        <v/>
      </c>
      <c r="K1545" s="4">
        <f>IFERROR(INDEX(Raw_Risk_Profiles!$E:$E,MATCH(B1545,Raw_Risk_Profiles!$A:$A,0)),"Unknown")</f>
        <v/>
      </c>
      <c r="L1545" s="4">
        <f>IFERROR(XLOOKUP(A1545,Raw_Alerts!$B:$B,Raw_Alerts!$A:$A),"No Alert")</f>
        <v/>
      </c>
      <c r="M1545" s="4">
        <f>IFERROR(XLOOKUP(A1545,Raw_Alerts!$B:$B,Raw_Alerts!$C:$C),"")</f>
        <v/>
      </c>
      <c r="N1545" s="4">
        <f>IFERROR(XLOOKUP(A1545,Raw_Alerts!$B:$B,Raw_Alerts!$D:$D),"")</f>
        <v/>
      </c>
      <c r="O1545" s="4">
        <f>IFERROR(XLOOKUP(A1545,Raw_Alerts!$B:$B,Raw_Alerts!$F:$F),"")</f>
        <v/>
      </c>
      <c r="P1545" s="4">
        <f>IF(H1545="Not Found","CRITICAL: No Risk Profile",IF(I1545="Missing","WARN: Missing KYC",IF(I1545="Expired","WARN: KYC Expired",IF(I1545="Pending","INFO: KYC Pending","OK"))))</f>
        <v/>
      </c>
    </row>
    <row r="1546">
      <c r="A1546" s="2">
        <f>Raw_Transactions!A1546</f>
        <v/>
      </c>
      <c r="B1546" s="2">
        <f>Raw_Transactions!B1546</f>
        <v/>
      </c>
      <c r="C1546" s="2">
        <f>Raw_Transactions!C1546</f>
        <v/>
      </c>
      <c r="D1546" s="3">
        <f>Raw_Transactions!D1546</f>
        <v/>
      </c>
      <c r="E1546" s="2">
        <f>Raw_Transactions!E1546</f>
        <v/>
      </c>
      <c r="F1546" s="2">
        <f>Raw_Transactions!F1546</f>
        <v/>
      </c>
      <c r="G1546" s="2">
        <f>Raw_Transactions!G1546</f>
        <v/>
      </c>
      <c r="H1546" s="2">
        <f>XLOOKUP(B1546,Raw_Risk_Profiles!$A:$A,Raw_Risk_Profiles!$B:$B,"Not Found")</f>
        <v/>
      </c>
      <c r="I1546" s="2">
        <f>XLOOKUP(B1546,Raw_Risk_Profiles!$A:$A,Raw_Risk_Profiles!$C:$C,"Missing")</f>
        <v/>
      </c>
      <c r="J1546" s="2">
        <f>XLOOKUP(B1546,Raw_Risk_Profiles!$A:$A,Raw_Risk_Profiles!$D:$D,"")</f>
        <v/>
      </c>
      <c r="K1546" s="2">
        <f>IFERROR(INDEX(Raw_Risk_Profiles!$E:$E,MATCH(B1546,Raw_Risk_Profiles!$A:$A,0)),"Unknown")</f>
        <v/>
      </c>
      <c r="L1546" s="2">
        <f>IFERROR(XLOOKUP(A1546,Raw_Alerts!$B:$B,Raw_Alerts!$A:$A),"No Alert")</f>
        <v/>
      </c>
      <c r="M1546" s="2">
        <f>IFERROR(XLOOKUP(A1546,Raw_Alerts!$B:$B,Raw_Alerts!$C:$C),"")</f>
        <v/>
      </c>
      <c r="N1546" s="2">
        <f>IFERROR(XLOOKUP(A1546,Raw_Alerts!$B:$B,Raw_Alerts!$D:$D),"")</f>
        <v/>
      </c>
      <c r="O1546" s="2">
        <f>IFERROR(XLOOKUP(A1546,Raw_Alerts!$B:$B,Raw_Alerts!$F:$F),"")</f>
        <v/>
      </c>
      <c r="P1546" s="2">
        <f>IF(H1546="Not Found","CRITICAL: No Risk Profile",IF(I1546="Missing","WARN: Missing KYC",IF(I1546="Expired","WARN: KYC Expired",IF(I1546="Pending","INFO: KYC Pending","OK"))))</f>
        <v/>
      </c>
    </row>
    <row r="1547">
      <c r="A1547" s="4">
        <f>Raw_Transactions!A1547</f>
        <v/>
      </c>
      <c r="B1547" s="4">
        <f>Raw_Transactions!B1547</f>
        <v/>
      </c>
      <c r="C1547" s="4">
        <f>Raw_Transactions!C1547</f>
        <v/>
      </c>
      <c r="D1547" s="5">
        <f>Raw_Transactions!D1547</f>
        <v/>
      </c>
      <c r="E1547" s="4">
        <f>Raw_Transactions!E1547</f>
        <v/>
      </c>
      <c r="F1547" s="4">
        <f>Raw_Transactions!F1547</f>
        <v/>
      </c>
      <c r="G1547" s="4">
        <f>Raw_Transactions!G1547</f>
        <v/>
      </c>
      <c r="H1547" s="4">
        <f>XLOOKUP(B1547,Raw_Risk_Profiles!$A:$A,Raw_Risk_Profiles!$B:$B,"Not Found")</f>
        <v/>
      </c>
      <c r="I1547" s="4">
        <f>XLOOKUP(B1547,Raw_Risk_Profiles!$A:$A,Raw_Risk_Profiles!$C:$C,"Missing")</f>
        <v/>
      </c>
      <c r="J1547" s="4">
        <f>XLOOKUP(B1547,Raw_Risk_Profiles!$A:$A,Raw_Risk_Profiles!$D:$D,"")</f>
        <v/>
      </c>
      <c r="K1547" s="4">
        <f>IFERROR(INDEX(Raw_Risk_Profiles!$E:$E,MATCH(B1547,Raw_Risk_Profiles!$A:$A,0)),"Unknown")</f>
        <v/>
      </c>
      <c r="L1547" s="4">
        <f>IFERROR(XLOOKUP(A1547,Raw_Alerts!$B:$B,Raw_Alerts!$A:$A),"No Alert")</f>
        <v/>
      </c>
      <c r="M1547" s="4">
        <f>IFERROR(XLOOKUP(A1547,Raw_Alerts!$B:$B,Raw_Alerts!$C:$C),"")</f>
        <v/>
      </c>
      <c r="N1547" s="4">
        <f>IFERROR(XLOOKUP(A1547,Raw_Alerts!$B:$B,Raw_Alerts!$D:$D),"")</f>
        <v/>
      </c>
      <c r="O1547" s="4">
        <f>IFERROR(XLOOKUP(A1547,Raw_Alerts!$B:$B,Raw_Alerts!$F:$F),"")</f>
        <v/>
      </c>
      <c r="P1547" s="4">
        <f>IF(H1547="Not Found","CRITICAL: No Risk Profile",IF(I1547="Missing","WARN: Missing KYC",IF(I1547="Expired","WARN: KYC Expired",IF(I1547="Pending","INFO: KYC Pending","OK"))))</f>
        <v/>
      </c>
    </row>
    <row r="1548">
      <c r="A1548" s="2">
        <f>Raw_Transactions!A1548</f>
        <v/>
      </c>
      <c r="B1548" s="2">
        <f>Raw_Transactions!B1548</f>
        <v/>
      </c>
      <c r="C1548" s="2">
        <f>Raw_Transactions!C1548</f>
        <v/>
      </c>
      <c r="D1548" s="3">
        <f>Raw_Transactions!D1548</f>
        <v/>
      </c>
      <c r="E1548" s="2">
        <f>Raw_Transactions!E1548</f>
        <v/>
      </c>
      <c r="F1548" s="2">
        <f>Raw_Transactions!F1548</f>
        <v/>
      </c>
      <c r="G1548" s="2">
        <f>Raw_Transactions!G1548</f>
        <v/>
      </c>
      <c r="H1548" s="2">
        <f>XLOOKUP(B1548,Raw_Risk_Profiles!$A:$A,Raw_Risk_Profiles!$B:$B,"Not Found")</f>
        <v/>
      </c>
      <c r="I1548" s="2">
        <f>XLOOKUP(B1548,Raw_Risk_Profiles!$A:$A,Raw_Risk_Profiles!$C:$C,"Missing")</f>
        <v/>
      </c>
      <c r="J1548" s="2">
        <f>XLOOKUP(B1548,Raw_Risk_Profiles!$A:$A,Raw_Risk_Profiles!$D:$D,"")</f>
        <v/>
      </c>
      <c r="K1548" s="2">
        <f>IFERROR(INDEX(Raw_Risk_Profiles!$E:$E,MATCH(B1548,Raw_Risk_Profiles!$A:$A,0)),"Unknown")</f>
        <v/>
      </c>
      <c r="L1548" s="2">
        <f>IFERROR(XLOOKUP(A1548,Raw_Alerts!$B:$B,Raw_Alerts!$A:$A),"No Alert")</f>
        <v/>
      </c>
      <c r="M1548" s="2">
        <f>IFERROR(XLOOKUP(A1548,Raw_Alerts!$B:$B,Raw_Alerts!$C:$C),"")</f>
        <v/>
      </c>
      <c r="N1548" s="2">
        <f>IFERROR(XLOOKUP(A1548,Raw_Alerts!$B:$B,Raw_Alerts!$D:$D),"")</f>
        <v/>
      </c>
      <c r="O1548" s="2">
        <f>IFERROR(XLOOKUP(A1548,Raw_Alerts!$B:$B,Raw_Alerts!$F:$F),"")</f>
        <v/>
      </c>
      <c r="P1548" s="2">
        <f>IF(H1548="Not Found","CRITICAL: No Risk Profile",IF(I1548="Missing","WARN: Missing KYC",IF(I1548="Expired","WARN: KYC Expired",IF(I1548="Pending","INFO: KYC Pending","OK"))))</f>
        <v/>
      </c>
    </row>
    <row r="1549">
      <c r="A1549" s="4">
        <f>Raw_Transactions!A1549</f>
        <v/>
      </c>
      <c r="B1549" s="4">
        <f>Raw_Transactions!B1549</f>
        <v/>
      </c>
      <c r="C1549" s="4">
        <f>Raw_Transactions!C1549</f>
        <v/>
      </c>
      <c r="D1549" s="5">
        <f>Raw_Transactions!D1549</f>
        <v/>
      </c>
      <c r="E1549" s="4">
        <f>Raw_Transactions!E1549</f>
        <v/>
      </c>
      <c r="F1549" s="4">
        <f>Raw_Transactions!F1549</f>
        <v/>
      </c>
      <c r="G1549" s="4">
        <f>Raw_Transactions!G1549</f>
        <v/>
      </c>
      <c r="H1549" s="4">
        <f>XLOOKUP(B1549,Raw_Risk_Profiles!$A:$A,Raw_Risk_Profiles!$B:$B,"Not Found")</f>
        <v/>
      </c>
      <c r="I1549" s="4">
        <f>XLOOKUP(B1549,Raw_Risk_Profiles!$A:$A,Raw_Risk_Profiles!$C:$C,"Missing")</f>
        <v/>
      </c>
      <c r="J1549" s="4">
        <f>XLOOKUP(B1549,Raw_Risk_Profiles!$A:$A,Raw_Risk_Profiles!$D:$D,"")</f>
        <v/>
      </c>
      <c r="K1549" s="4">
        <f>IFERROR(INDEX(Raw_Risk_Profiles!$E:$E,MATCH(B1549,Raw_Risk_Profiles!$A:$A,0)),"Unknown")</f>
        <v/>
      </c>
      <c r="L1549" s="4">
        <f>IFERROR(XLOOKUP(A1549,Raw_Alerts!$B:$B,Raw_Alerts!$A:$A),"No Alert")</f>
        <v/>
      </c>
      <c r="M1549" s="4">
        <f>IFERROR(XLOOKUP(A1549,Raw_Alerts!$B:$B,Raw_Alerts!$C:$C),"")</f>
        <v/>
      </c>
      <c r="N1549" s="4">
        <f>IFERROR(XLOOKUP(A1549,Raw_Alerts!$B:$B,Raw_Alerts!$D:$D),"")</f>
        <v/>
      </c>
      <c r="O1549" s="4">
        <f>IFERROR(XLOOKUP(A1549,Raw_Alerts!$B:$B,Raw_Alerts!$F:$F),"")</f>
        <v/>
      </c>
      <c r="P1549" s="4">
        <f>IF(H1549="Not Found","CRITICAL: No Risk Profile",IF(I1549="Missing","WARN: Missing KYC",IF(I1549="Expired","WARN: KYC Expired",IF(I1549="Pending","INFO: KYC Pending","OK"))))</f>
        <v/>
      </c>
    </row>
    <row r="1550">
      <c r="A1550" s="2">
        <f>Raw_Transactions!A1550</f>
        <v/>
      </c>
      <c r="B1550" s="2">
        <f>Raw_Transactions!B1550</f>
        <v/>
      </c>
      <c r="C1550" s="2">
        <f>Raw_Transactions!C1550</f>
        <v/>
      </c>
      <c r="D1550" s="3">
        <f>Raw_Transactions!D1550</f>
        <v/>
      </c>
      <c r="E1550" s="2">
        <f>Raw_Transactions!E1550</f>
        <v/>
      </c>
      <c r="F1550" s="2">
        <f>Raw_Transactions!F1550</f>
        <v/>
      </c>
      <c r="G1550" s="2">
        <f>Raw_Transactions!G1550</f>
        <v/>
      </c>
      <c r="H1550" s="2">
        <f>XLOOKUP(B1550,Raw_Risk_Profiles!$A:$A,Raw_Risk_Profiles!$B:$B,"Not Found")</f>
        <v/>
      </c>
      <c r="I1550" s="2">
        <f>XLOOKUP(B1550,Raw_Risk_Profiles!$A:$A,Raw_Risk_Profiles!$C:$C,"Missing")</f>
        <v/>
      </c>
      <c r="J1550" s="2">
        <f>XLOOKUP(B1550,Raw_Risk_Profiles!$A:$A,Raw_Risk_Profiles!$D:$D,"")</f>
        <v/>
      </c>
      <c r="K1550" s="2">
        <f>IFERROR(INDEX(Raw_Risk_Profiles!$E:$E,MATCH(B1550,Raw_Risk_Profiles!$A:$A,0)),"Unknown")</f>
        <v/>
      </c>
      <c r="L1550" s="2">
        <f>IFERROR(XLOOKUP(A1550,Raw_Alerts!$B:$B,Raw_Alerts!$A:$A),"No Alert")</f>
        <v/>
      </c>
      <c r="M1550" s="2">
        <f>IFERROR(XLOOKUP(A1550,Raw_Alerts!$B:$B,Raw_Alerts!$C:$C),"")</f>
        <v/>
      </c>
      <c r="N1550" s="2">
        <f>IFERROR(XLOOKUP(A1550,Raw_Alerts!$B:$B,Raw_Alerts!$D:$D),"")</f>
        <v/>
      </c>
      <c r="O1550" s="2">
        <f>IFERROR(XLOOKUP(A1550,Raw_Alerts!$B:$B,Raw_Alerts!$F:$F),"")</f>
        <v/>
      </c>
      <c r="P1550" s="2">
        <f>IF(H1550="Not Found","CRITICAL: No Risk Profile",IF(I1550="Missing","WARN: Missing KYC",IF(I1550="Expired","WARN: KYC Expired",IF(I1550="Pending","INFO: KYC Pending","OK"))))</f>
        <v/>
      </c>
    </row>
    <row r="1551">
      <c r="A1551" s="4">
        <f>Raw_Transactions!A1551</f>
        <v/>
      </c>
      <c r="B1551" s="4">
        <f>Raw_Transactions!B1551</f>
        <v/>
      </c>
      <c r="C1551" s="4">
        <f>Raw_Transactions!C1551</f>
        <v/>
      </c>
      <c r="D1551" s="5">
        <f>Raw_Transactions!D1551</f>
        <v/>
      </c>
      <c r="E1551" s="4">
        <f>Raw_Transactions!E1551</f>
        <v/>
      </c>
      <c r="F1551" s="4">
        <f>Raw_Transactions!F1551</f>
        <v/>
      </c>
      <c r="G1551" s="4">
        <f>Raw_Transactions!G1551</f>
        <v/>
      </c>
      <c r="H1551" s="4">
        <f>XLOOKUP(B1551,Raw_Risk_Profiles!$A:$A,Raw_Risk_Profiles!$B:$B,"Not Found")</f>
        <v/>
      </c>
      <c r="I1551" s="4">
        <f>XLOOKUP(B1551,Raw_Risk_Profiles!$A:$A,Raw_Risk_Profiles!$C:$C,"Missing")</f>
        <v/>
      </c>
      <c r="J1551" s="4">
        <f>XLOOKUP(B1551,Raw_Risk_Profiles!$A:$A,Raw_Risk_Profiles!$D:$D,"")</f>
        <v/>
      </c>
      <c r="K1551" s="4">
        <f>IFERROR(INDEX(Raw_Risk_Profiles!$E:$E,MATCH(B1551,Raw_Risk_Profiles!$A:$A,0)),"Unknown")</f>
        <v/>
      </c>
      <c r="L1551" s="4">
        <f>IFERROR(XLOOKUP(A1551,Raw_Alerts!$B:$B,Raw_Alerts!$A:$A),"No Alert")</f>
        <v/>
      </c>
      <c r="M1551" s="4">
        <f>IFERROR(XLOOKUP(A1551,Raw_Alerts!$B:$B,Raw_Alerts!$C:$C),"")</f>
        <v/>
      </c>
      <c r="N1551" s="4">
        <f>IFERROR(XLOOKUP(A1551,Raw_Alerts!$B:$B,Raw_Alerts!$D:$D),"")</f>
        <v/>
      </c>
      <c r="O1551" s="4">
        <f>IFERROR(XLOOKUP(A1551,Raw_Alerts!$B:$B,Raw_Alerts!$F:$F),"")</f>
        <v/>
      </c>
      <c r="P1551" s="4">
        <f>IF(H1551="Not Found","CRITICAL: No Risk Profile",IF(I1551="Missing","WARN: Missing KYC",IF(I1551="Expired","WARN: KYC Expired",IF(I1551="Pending","INFO: KYC Pending","OK"))))</f>
        <v/>
      </c>
    </row>
    <row r="1552">
      <c r="A1552" s="2">
        <f>Raw_Transactions!A1552</f>
        <v/>
      </c>
      <c r="B1552" s="2">
        <f>Raw_Transactions!B1552</f>
        <v/>
      </c>
      <c r="C1552" s="2">
        <f>Raw_Transactions!C1552</f>
        <v/>
      </c>
      <c r="D1552" s="3">
        <f>Raw_Transactions!D1552</f>
        <v/>
      </c>
      <c r="E1552" s="2">
        <f>Raw_Transactions!E1552</f>
        <v/>
      </c>
      <c r="F1552" s="2">
        <f>Raw_Transactions!F1552</f>
        <v/>
      </c>
      <c r="G1552" s="2">
        <f>Raw_Transactions!G1552</f>
        <v/>
      </c>
      <c r="H1552" s="2">
        <f>XLOOKUP(B1552,Raw_Risk_Profiles!$A:$A,Raw_Risk_Profiles!$B:$B,"Not Found")</f>
        <v/>
      </c>
      <c r="I1552" s="2">
        <f>XLOOKUP(B1552,Raw_Risk_Profiles!$A:$A,Raw_Risk_Profiles!$C:$C,"Missing")</f>
        <v/>
      </c>
      <c r="J1552" s="2">
        <f>XLOOKUP(B1552,Raw_Risk_Profiles!$A:$A,Raw_Risk_Profiles!$D:$D,"")</f>
        <v/>
      </c>
      <c r="K1552" s="2">
        <f>IFERROR(INDEX(Raw_Risk_Profiles!$E:$E,MATCH(B1552,Raw_Risk_Profiles!$A:$A,0)),"Unknown")</f>
        <v/>
      </c>
      <c r="L1552" s="2">
        <f>IFERROR(XLOOKUP(A1552,Raw_Alerts!$B:$B,Raw_Alerts!$A:$A),"No Alert")</f>
        <v/>
      </c>
      <c r="M1552" s="2">
        <f>IFERROR(XLOOKUP(A1552,Raw_Alerts!$B:$B,Raw_Alerts!$C:$C),"")</f>
        <v/>
      </c>
      <c r="N1552" s="2">
        <f>IFERROR(XLOOKUP(A1552,Raw_Alerts!$B:$B,Raw_Alerts!$D:$D),"")</f>
        <v/>
      </c>
      <c r="O1552" s="2">
        <f>IFERROR(XLOOKUP(A1552,Raw_Alerts!$B:$B,Raw_Alerts!$F:$F),"")</f>
        <v/>
      </c>
      <c r="P1552" s="2">
        <f>IF(H1552="Not Found","CRITICAL: No Risk Profile",IF(I1552="Missing","WARN: Missing KYC",IF(I1552="Expired","WARN: KYC Expired",IF(I1552="Pending","INFO: KYC Pending","OK"))))</f>
        <v/>
      </c>
    </row>
    <row r="1553">
      <c r="A1553" s="4">
        <f>Raw_Transactions!A1553</f>
        <v/>
      </c>
      <c r="B1553" s="4">
        <f>Raw_Transactions!B1553</f>
        <v/>
      </c>
      <c r="C1553" s="4">
        <f>Raw_Transactions!C1553</f>
        <v/>
      </c>
      <c r="D1553" s="5">
        <f>Raw_Transactions!D1553</f>
        <v/>
      </c>
      <c r="E1553" s="4">
        <f>Raw_Transactions!E1553</f>
        <v/>
      </c>
      <c r="F1553" s="4">
        <f>Raw_Transactions!F1553</f>
        <v/>
      </c>
      <c r="G1553" s="4">
        <f>Raw_Transactions!G1553</f>
        <v/>
      </c>
      <c r="H1553" s="4">
        <f>XLOOKUP(B1553,Raw_Risk_Profiles!$A:$A,Raw_Risk_Profiles!$B:$B,"Not Found")</f>
        <v/>
      </c>
      <c r="I1553" s="4">
        <f>XLOOKUP(B1553,Raw_Risk_Profiles!$A:$A,Raw_Risk_Profiles!$C:$C,"Missing")</f>
        <v/>
      </c>
      <c r="J1553" s="4">
        <f>XLOOKUP(B1553,Raw_Risk_Profiles!$A:$A,Raw_Risk_Profiles!$D:$D,"")</f>
        <v/>
      </c>
      <c r="K1553" s="4">
        <f>IFERROR(INDEX(Raw_Risk_Profiles!$E:$E,MATCH(B1553,Raw_Risk_Profiles!$A:$A,0)),"Unknown")</f>
        <v/>
      </c>
      <c r="L1553" s="4">
        <f>IFERROR(XLOOKUP(A1553,Raw_Alerts!$B:$B,Raw_Alerts!$A:$A),"No Alert")</f>
        <v/>
      </c>
      <c r="M1553" s="4">
        <f>IFERROR(XLOOKUP(A1553,Raw_Alerts!$B:$B,Raw_Alerts!$C:$C),"")</f>
        <v/>
      </c>
      <c r="N1553" s="4">
        <f>IFERROR(XLOOKUP(A1553,Raw_Alerts!$B:$B,Raw_Alerts!$D:$D),"")</f>
        <v/>
      </c>
      <c r="O1553" s="4">
        <f>IFERROR(XLOOKUP(A1553,Raw_Alerts!$B:$B,Raw_Alerts!$F:$F),"")</f>
        <v/>
      </c>
      <c r="P1553" s="4">
        <f>IF(H1553="Not Found","CRITICAL: No Risk Profile",IF(I1553="Missing","WARN: Missing KYC",IF(I1553="Expired","WARN: KYC Expired",IF(I1553="Pending","INFO: KYC Pending","OK"))))</f>
        <v/>
      </c>
    </row>
    <row r="1554">
      <c r="A1554" s="2">
        <f>Raw_Transactions!A1554</f>
        <v/>
      </c>
      <c r="B1554" s="2">
        <f>Raw_Transactions!B1554</f>
        <v/>
      </c>
      <c r="C1554" s="2">
        <f>Raw_Transactions!C1554</f>
        <v/>
      </c>
      <c r="D1554" s="3">
        <f>Raw_Transactions!D1554</f>
        <v/>
      </c>
      <c r="E1554" s="2">
        <f>Raw_Transactions!E1554</f>
        <v/>
      </c>
      <c r="F1554" s="2">
        <f>Raw_Transactions!F1554</f>
        <v/>
      </c>
      <c r="G1554" s="2">
        <f>Raw_Transactions!G1554</f>
        <v/>
      </c>
      <c r="H1554" s="2">
        <f>XLOOKUP(B1554,Raw_Risk_Profiles!$A:$A,Raw_Risk_Profiles!$B:$B,"Not Found")</f>
        <v/>
      </c>
      <c r="I1554" s="2">
        <f>XLOOKUP(B1554,Raw_Risk_Profiles!$A:$A,Raw_Risk_Profiles!$C:$C,"Missing")</f>
        <v/>
      </c>
      <c r="J1554" s="2">
        <f>XLOOKUP(B1554,Raw_Risk_Profiles!$A:$A,Raw_Risk_Profiles!$D:$D,"")</f>
        <v/>
      </c>
      <c r="K1554" s="2">
        <f>IFERROR(INDEX(Raw_Risk_Profiles!$E:$E,MATCH(B1554,Raw_Risk_Profiles!$A:$A,0)),"Unknown")</f>
        <v/>
      </c>
      <c r="L1554" s="2">
        <f>IFERROR(XLOOKUP(A1554,Raw_Alerts!$B:$B,Raw_Alerts!$A:$A),"No Alert")</f>
        <v/>
      </c>
      <c r="M1554" s="2">
        <f>IFERROR(XLOOKUP(A1554,Raw_Alerts!$B:$B,Raw_Alerts!$C:$C),"")</f>
        <v/>
      </c>
      <c r="N1554" s="2">
        <f>IFERROR(XLOOKUP(A1554,Raw_Alerts!$B:$B,Raw_Alerts!$D:$D),"")</f>
        <v/>
      </c>
      <c r="O1554" s="2">
        <f>IFERROR(XLOOKUP(A1554,Raw_Alerts!$B:$B,Raw_Alerts!$F:$F),"")</f>
        <v/>
      </c>
      <c r="P1554" s="2">
        <f>IF(H1554="Not Found","CRITICAL: No Risk Profile",IF(I1554="Missing","WARN: Missing KYC",IF(I1554="Expired","WARN: KYC Expired",IF(I1554="Pending","INFO: KYC Pending","OK"))))</f>
        <v/>
      </c>
    </row>
    <row r="1555">
      <c r="A1555" s="4">
        <f>Raw_Transactions!A1555</f>
        <v/>
      </c>
      <c r="B1555" s="4">
        <f>Raw_Transactions!B1555</f>
        <v/>
      </c>
      <c r="C1555" s="4">
        <f>Raw_Transactions!C1555</f>
        <v/>
      </c>
      <c r="D1555" s="5">
        <f>Raw_Transactions!D1555</f>
        <v/>
      </c>
      <c r="E1555" s="4">
        <f>Raw_Transactions!E1555</f>
        <v/>
      </c>
      <c r="F1555" s="4">
        <f>Raw_Transactions!F1555</f>
        <v/>
      </c>
      <c r="G1555" s="4">
        <f>Raw_Transactions!G1555</f>
        <v/>
      </c>
      <c r="H1555" s="4">
        <f>XLOOKUP(B1555,Raw_Risk_Profiles!$A:$A,Raw_Risk_Profiles!$B:$B,"Not Found")</f>
        <v/>
      </c>
      <c r="I1555" s="4">
        <f>XLOOKUP(B1555,Raw_Risk_Profiles!$A:$A,Raw_Risk_Profiles!$C:$C,"Missing")</f>
        <v/>
      </c>
      <c r="J1555" s="4">
        <f>XLOOKUP(B1555,Raw_Risk_Profiles!$A:$A,Raw_Risk_Profiles!$D:$D,"")</f>
        <v/>
      </c>
      <c r="K1555" s="4">
        <f>IFERROR(INDEX(Raw_Risk_Profiles!$E:$E,MATCH(B1555,Raw_Risk_Profiles!$A:$A,0)),"Unknown")</f>
        <v/>
      </c>
      <c r="L1555" s="4">
        <f>IFERROR(XLOOKUP(A1555,Raw_Alerts!$B:$B,Raw_Alerts!$A:$A),"No Alert")</f>
        <v/>
      </c>
      <c r="M1555" s="4">
        <f>IFERROR(XLOOKUP(A1555,Raw_Alerts!$B:$B,Raw_Alerts!$C:$C),"")</f>
        <v/>
      </c>
      <c r="N1555" s="4">
        <f>IFERROR(XLOOKUP(A1555,Raw_Alerts!$B:$B,Raw_Alerts!$D:$D),"")</f>
        <v/>
      </c>
      <c r="O1555" s="4">
        <f>IFERROR(XLOOKUP(A1555,Raw_Alerts!$B:$B,Raw_Alerts!$F:$F),"")</f>
        <v/>
      </c>
      <c r="P1555" s="4">
        <f>IF(H1555="Not Found","CRITICAL: No Risk Profile",IF(I1555="Missing","WARN: Missing KYC",IF(I1555="Expired","WARN: KYC Expired",IF(I1555="Pending","INFO: KYC Pending","OK"))))</f>
        <v/>
      </c>
    </row>
    <row r="1556">
      <c r="A1556" s="2">
        <f>Raw_Transactions!A1556</f>
        <v/>
      </c>
      <c r="B1556" s="2">
        <f>Raw_Transactions!B1556</f>
        <v/>
      </c>
      <c r="C1556" s="2">
        <f>Raw_Transactions!C1556</f>
        <v/>
      </c>
      <c r="D1556" s="3">
        <f>Raw_Transactions!D1556</f>
        <v/>
      </c>
      <c r="E1556" s="2">
        <f>Raw_Transactions!E1556</f>
        <v/>
      </c>
      <c r="F1556" s="2">
        <f>Raw_Transactions!F1556</f>
        <v/>
      </c>
      <c r="G1556" s="2">
        <f>Raw_Transactions!G1556</f>
        <v/>
      </c>
      <c r="H1556" s="2">
        <f>XLOOKUP(B1556,Raw_Risk_Profiles!$A:$A,Raw_Risk_Profiles!$B:$B,"Not Found")</f>
        <v/>
      </c>
      <c r="I1556" s="2">
        <f>XLOOKUP(B1556,Raw_Risk_Profiles!$A:$A,Raw_Risk_Profiles!$C:$C,"Missing")</f>
        <v/>
      </c>
      <c r="J1556" s="2">
        <f>XLOOKUP(B1556,Raw_Risk_Profiles!$A:$A,Raw_Risk_Profiles!$D:$D,"")</f>
        <v/>
      </c>
      <c r="K1556" s="2">
        <f>IFERROR(INDEX(Raw_Risk_Profiles!$E:$E,MATCH(B1556,Raw_Risk_Profiles!$A:$A,0)),"Unknown")</f>
        <v/>
      </c>
      <c r="L1556" s="2">
        <f>IFERROR(XLOOKUP(A1556,Raw_Alerts!$B:$B,Raw_Alerts!$A:$A),"No Alert")</f>
        <v/>
      </c>
      <c r="M1556" s="2">
        <f>IFERROR(XLOOKUP(A1556,Raw_Alerts!$B:$B,Raw_Alerts!$C:$C),"")</f>
        <v/>
      </c>
      <c r="N1556" s="2">
        <f>IFERROR(XLOOKUP(A1556,Raw_Alerts!$B:$B,Raw_Alerts!$D:$D),"")</f>
        <v/>
      </c>
      <c r="O1556" s="2">
        <f>IFERROR(XLOOKUP(A1556,Raw_Alerts!$B:$B,Raw_Alerts!$F:$F),"")</f>
        <v/>
      </c>
      <c r="P1556" s="2">
        <f>IF(H1556="Not Found","CRITICAL: No Risk Profile",IF(I1556="Missing","WARN: Missing KYC",IF(I1556="Expired","WARN: KYC Expired",IF(I1556="Pending","INFO: KYC Pending","OK"))))</f>
        <v/>
      </c>
    </row>
    <row r="1557">
      <c r="A1557" s="4">
        <f>Raw_Transactions!A1557</f>
        <v/>
      </c>
      <c r="B1557" s="4">
        <f>Raw_Transactions!B1557</f>
        <v/>
      </c>
      <c r="C1557" s="4">
        <f>Raw_Transactions!C1557</f>
        <v/>
      </c>
      <c r="D1557" s="5">
        <f>Raw_Transactions!D1557</f>
        <v/>
      </c>
      <c r="E1557" s="4">
        <f>Raw_Transactions!E1557</f>
        <v/>
      </c>
      <c r="F1557" s="4">
        <f>Raw_Transactions!F1557</f>
        <v/>
      </c>
      <c r="G1557" s="4">
        <f>Raw_Transactions!G1557</f>
        <v/>
      </c>
      <c r="H1557" s="4">
        <f>XLOOKUP(B1557,Raw_Risk_Profiles!$A:$A,Raw_Risk_Profiles!$B:$B,"Not Found")</f>
        <v/>
      </c>
      <c r="I1557" s="4">
        <f>XLOOKUP(B1557,Raw_Risk_Profiles!$A:$A,Raw_Risk_Profiles!$C:$C,"Missing")</f>
        <v/>
      </c>
      <c r="J1557" s="4">
        <f>XLOOKUP(B1557,Raw_Risk_Profiles!$A:$A,Raw_Risk_Profiles!$D:$D,"")</f>
        <v/>
      </c>
      <c r="K1557" s="4">
        <f>IFERROR(INDEX(Raw_Risk_Profiles!$E:$E,MATCH(B1557,Raw_Risk_Profiles!$A:$A,0)),"Unknown")</f>
        <v/>
      </c>
      <c r="L1557" s="4">
        <f>IFERROR(XLOOKUP(A1557,Raw_Alerts!$B:$B,Raw_Alerts!$A:$A),"No Alert")</f>
        <v/>
      </c>
      <c r="M1557" s="4">
        <f>IFERROR(XLOOKUP(A1557,Raw_Alerts!$B:$B,Raw_Alerts!$C:$C),"")</f>
        <v/>
      </c>
      <c r="N1557" s="4">
        <f>IFERROR(XLOOKUP(A1557,Raw_Alerts!$B:$B,Raw_Alerts!$D:$D),"")</f>
        <v/>
      </c>
      <c r="O1557" s="4">
        <f>IFERROR(XLOOKUP(A1557,Raw_Alerts!$B:$B,Raw_Alerts!$F:$F),"")</f>
        <v/>
      </c>
      <c r="P1557" s="4">
        <f>IF(H1557="Not Found","CRITICAL: No Risk Profile",IF(I1557="Missing","WARN: Missing KYC",IF(I1557="Expired","WARN: KYC Expired",IF(I1557="Pending","INFO: KYC Pending","OK"))))</f>
        <v/>
      </c>
    </row>
    <row r="1558">
      <c r="A1558" s="2">
        <f>Raw_Transactions!A1558</f>
        <v/>
      </c>
      <c r="B1558" s="2">
        <f>Raw_Transactions!B1558</f>
        <v/>
      </c>
      <c r="C1558" s="2">
        <f>Raw_Transactions!C1558</f>
        <v/>
      </c>
      <c r="D1558" s="3">
        <f>Raw_Transactions!D1558</f>
        <v/>
      </c>
      <c r="E1558" s="2">
        <f>Raw_Transactions!E1558</f>
        <v/>
      </c>
      <c r="F1558" s="2">
        <f>Raw_Transactions!F1558</f>
        <v/>
      </c>
      <c r="G1558" s="2">
        <f>Raw_Transactions!G1558</f>
        <v/>
      </c>
      <c r="H1558" s="2">
        <f>XLOOKUP(B1558,Raw_Risk_Profiles!$A:$A,Raw_Risk_Profiles!$B:$B,"Not Found")</f>
        <v/>
      </c>
      <c r="I1558" s="2">
        <f>XLOOKUP(B1558,Raw_Risk_Profiles!$A:$A,Raw_Risk_Profiles!$C:$C,"Missing")</f>
        <v/>
      </c>
      <c r="J1558" s="2">
        <f>XLOOKUP(B1558,Raw_Risk_Profiles!$A:$A,Raw_Risk_Profiles!$D:$D,"")</f>
        <v/>
      </c>
      <c r="K1558" s="2">
        <f>IFERROR(INDEX(Raw_Risk_Profiles!$E:$E,MATCH(B1558,Raw_Risk_Profiles!$A:$A,0)),"Unknown")</f>
        <v/>
      </c>
      <c r="L1558" s="2">
        <f>IFERROR(XLOOKUP(A1558,Raw_Alerts!$B:$B,Raw_Alerts!$A:$A),"No Alert")</f>
        <v/>
      </c>
      <c r="M1558" s="2">
        <f>IFERROR(XLOOKUP(A1558,Raw_Alerts!$B:$B,Raw_Alerts!$C:$C),"")</f>
        <v/>
      </c>
      <c r="N1558" s="2">
        <f>IFERROR(XLOOKUP(A1558,Raw_Alerts!$B:$B,Raw_Alerts!$D:$D),"")</f>
        <v/>
      </c>
      <c r="O1558" s="2">
        <f>IFERROR(XLOOKUP(A1558,Raw_Alerts!$B:$B,Raw_Alerts!$F:$F),"")</f>
        <v/>
      </c>
      <c r="P1558" s="2">
        <f>IF(H1558="Not Found","CRITICAL: No Risk Profile",IF(I1558="Missing","WARN: Missing KYC",IF(I1558="Expired","WARN: KYC Expired",IF(I1558="Pending","INFO: KYC Pending","OK"))))</f>
        <v/>
      </c>
    </row>
    <row r="1559">
      <c r="A1559" s="4">
        <f>Raw_Transactions!A1559</f>
        <v/>
      </c>
      <c r="B1559" s="4">
        <f>Raw_Transactions!B1559</f>
        <v/>
      </c>
      <c r="C1559" s="4">
        <f>Raw_Transactions!C1559</f>
        <v/>
      </c>
      <c r="D1559" s="5">
        <f>Raw_Transactions!D1559</f>
        <v/>
      </c>
      <c r="E1559" s="4">
        <f>Raw_Transactions!E1559</f>
        <v/>
      </c>
      <c r="F1559" s="4">
        <f>Raw_Transactions!F1559</f>
        <v/>
      </c>
      <c r="G1559" s="4">
        <f>Raw_Transactions!G1559</f>
        <v/>
      </c>
      <c r="H1559" s="4">
        <f>XLOOKUP(B1559,Raw_Risk_Profiles!$A:$A,Raw_Risk_Profiles!$B:$B,"Not Found")</f>
        <v/>
      </c>
      <c r="I1559" s="4">
        <f>XLOOKUP(B1559,Raw_Risk_Profiles!$A:$A,Raw_Risk_Profiles!$C:$C,"Missing")</f>
        <v/>
      </c>
      <c r="J1559" s="4">
        <f>XLOOKUP(B1559,Raw_Risk_Profiles!$A:$A,Raw_Risk_Profiles!$D:$D,"")</f>
        <v/>
      </c>
      <c r="K1559" s="4">
        <f>IFERROR(INDEX(Raw_Risk_Profiles!$E:$E,MATCH(B1559,Raw_Risk_Profiles!$A:$A,0)),"Unknown")</f>
        <v/>
      </c>
      <c r="L1559" s="4">
        <f>IFERROR(XLOOKUP(A1559,Raw_Alerts!$B:$B,Raw_Alerts!$A:$A),"No Alert")</f>
        <v/>
      </c>
      <c r="M1559" s="4">
        <f>IFERROR(XLOOKUP(A1559,Raw_Alerts!$B:$B,Raw_Alerts!$C:$C),"")</f>
        <v/>
      </c>
      <c r="N1559" s="4">
        <f>IFERROR(XLOOKUP(A1559,Raw_Alerts!$B:$B,Raw_Alerts!$D:$D),"")</f>
        <v/>
      </c>
      <c r="O1559" s="4">
        <f>IFERROR(XLOOKUP(A1559,Raw_Alerts!$B:$B,Raw_Alerts!$F:$F),"")</f>
        <v/>
      </c>
      <c r="P1559" s="4">
        <f>IF(H1559="Not Found","CRITICAL: No Risk Profile",IF(I1559="Missing","WARN: Missing KYC",IF(I1559="Expired","WARN: KYC Expired",IF(I1559="Pending","INFO: KYC Pending","OK"))))</f>
        <v/>
      </c>
    </row>
    <row r="1560">
      <c r="A1560" s="2">
        <f>Raw_Transactions!A1560</f>
        <v/>
      </c>
      <c r="B1560" s="2">
        <f>Raw_Transactions!B1560</f>
        <v/>
      </c>
      <c r="C1560" s="2">
        <f>Raw_Transactions!C1560</f>
        <v/>
      </c>
      <c r="D1560" s="3">
        <f>Raw_Transactions!D1560</f>
        <v/>
      </c>
      <c r="E1560" s="2">
        <f>Raw_Transactions!E1560</f>
        <v/>
      </c>
      <c r="F1560" s="2">
        <f>Raw_Transactions!F1560</f>
        <v/>
      </c>
      <c r="G1560" s="2">
        <f>Raw_Transactions!G1560</f>
        <v/>
      </c>
      <c r="H1560" s="2">
        <f>XLOOKUP(B1560,Raw_Risk_Profiles!$A:$A,Raw_Risk_Profiles!$B:$B,"Not Found")</f>
        <v/>
      </c>
      <c r="I1560" s="2">
        <f>XLOOKUP(B1560,Raw_Risk_Profiles!$A:$A,Raw_Risk_Profiles!$C:$C,"Missing")</f>
        <v/>
      </c>
      <c r="J1560" s="2">
        <f>XLOOKUP(B1560,Raw_Risk_Profiles!$A:$A,Raw_Risk_Profiles!$D:$D,"")</f>
        <v/>
      </c>
      <c r="K1560" s="2">
        <f>IFERROR(INDEX(Raw_Risk_Profiles!$E:$E,MATCH(B1560,Raw_Risk_Profiles!$A:$A,0)),"Unknown")</f>
        <v/>
      </c>
      <c r="L1560" s="2">
        <f>IFERROR(XLOOKUP(A1560,Raw_Alerts!$B:$B,Raw_Alerts!$A:$A),"No Alert")</f>
        <v/>
      </c>
      <c r="M1560" s="2">
        <f>IFERROR(XLOOKUP(A1560,Raw_Alerts!$B:$B,Raw_Alerts!$C:$C),"")</f>
        <v/>
      </c>
      <c r="N1560" s="2">
        <f>IFERROR(XLOOKUP(A1560,Raw_Alerts!$B:$B,Raw_Alerts!$D:$D),"")</f>
        <v/>
      </c>
      <c r="O1560" s="2">
        <f>IFERROR(XLOOKUP(A1560,Raw_Alerts!$B:$B,Raw_Alerts!$F:$F),"")</f>
        <v/>
      </c>
      <c r="P1560" s="2">
        <f>IF(H1560="Not Found","CRITICAL: No Risk Profile",IF(I1560="Missing","WARN: Missing KYC",IF(I1560="Expired","WARN: KYC Expired",IF(I1560="Pending","INFO: KYC Pending","OK"))))</f>
        <v/>
      </c>
    </row>
    <row r="1561">
      <c r="A1561" s="4">
        <f>Raw_Transactions!A1561</f>
        <v/>
      </c>
      <c r="B1561" s="4">
        <f>Raw_Transactions!B1561</f>
        <v/>
      </c>
      <c r="C1561" s="4">
        <f>Raw_Transactions!C1561</f>
        <v/>
      </c>
      <c r="D1561" s="5">
        <f>Raw_Transactions!D1561</f>
        <v/>
      </c>
      <c r="E1561" s="4">
        <f>Raw_Transactions!E1561</f>
        <v/>
      </c>
      <c r="F1561" s="4">
        <f>Raw_Transactions!F1561</f>
        <v/>
      </c>
      <c r="G1561" s="4">
        <f>Raw_Transactions!G1561</f>
        <v/>
      </c>
      <c r="H1561" s="4">
        <f>XLOOKUP(B1561,Raw_Risk_Profiles!$A:$A,Raw_Risk_Profiles!$B:$B,"Not Found")</f>
        <v/>
      </c>
      <c r="I1561" s="4">
        <f>XLOOKUP(B1561,Raw_Risk_Profiles!$A:$A,Raw_Risk_Profiles!$C:$C,"Missing")</f>
        <v/>
      </c>
      <c r="J1561" s="4">
        <f>XLOOKUP(B1561,Raw_Risk_Profiles!$A:$A,Raw_Risk_Profiles!$D:$D,"")</f>
        <v/>
      </c>
      <c r="K1561" s="4">
        <f>IFERROR(INDEX(Raw_Risk_Profiles!$E:$E,MATCH(B1561,Raw_Risk_Profiles!$A:$A,0)),"Unknown")</f>
        <v/>
      </c>
      <c r="L1561" s="4">
        <f>IFERROR(XLOOKUP(A1561,Raw_Alerts!$B:$B,Raw_Alerts!$A:$A),"No Alert")</f>
        <v/>
      </c>
      <c r="M1561" s="4">
        <f>IFERROR(XLOOKUP(A1561,Raw_Alerts!$B:$B,Raw_Alerts!$C:$C),"")</f>
        <v/>
      </c>
      <c r="N1561" s="4">
        <f>IFERROR(XLOOKUP(A1561,Raw_Alerts!$B:$B,Raw_Alerts!$D:$D),"")</f>
        <v/>
      </c>
      <c r="O1561" s="4">
        <f>IFERROR(XLOOKUP(A1561,Raw_Alerts!$B:$B,Raw_Alerts!$F:$F),"")</f>
        <v/>
      </c>
      <c r="P1561" s="4">
        <f>IF(H1561="Not Found","CRITICAL: No Risk Profile",IF(I1561="Missing","WARN: Missing KYC",IF(I1561="Expired","WARN: KYC Expired",IF(I1561="Pending","INFO: KYC Pending","OK"))))</f>
        <v/>
      </c>
    </row>
    <row r="1562">
      <c r="A1562" s="2">
        <f>Raw_Transactions!A1562</f>
        <v/>
      </c>
      <c r="B1562" s="2">
        <f>Raw_Transactions!B1562</f>
        <v/>
      </c>
      <c r="C1562" s="2">
        <f>Raw_Transactions!C1562</f>
        <v/>
      </c>
      <c r="D1562" s="3">
        <f>Raw_Transactions!D1562</f>
        <v/>
      </c>
      <c r="E1562" s="2">
        <f>Raw_Transactions!E1562</f>
        <v/>
      </c>
      <c r="F1562" s="2">
        <f>Raw_Transactions!F1562</f>
        <v/>
      </c>
      <c r="G1562" s="2">
        <f>Raw_Transactions!G1562</f>
        <v/>
      </c>
      <c r="H1562" s="2">
        <f>XLOOKUP(B1562,Raw_Risk_Profiles!$A:$A,Raw_Risk_Profiles!$B:$B,"Not Found")</f>
        <v/>
      </c>
      <c r="I1562" s="2">
        <f>XLOOKUP(B1562,Raw_Risk_Profiles!$A:$A,Raw_Risk_Profiles!$C:$C,"Missing")</f>
        <v/>
      </c>
      <c r="J1562" s="2">
        <f>XLOOKUP(B1562,Raw_Risk_Profiles!$A:$A,Raw_Risk_Profiles!$D:$D,"")</f>
        <v/>
      </c>
      <c r="K1562" s="2">
        <f>IFERROR(INDEX(Raw_Risk_Profiles!$E:$E,MATCH(B1562,Raw_Risk_Profiles!$A:$A,0)),"Unknown")</f>
        <v/>
      </c>
      <c r="L1562" s="2">
        <f>IFERROR(XLOOKUP(A1562,Raw_Alerts!$B:$B,Raw_Alerts!$A:$A),"No Alert")</f>
        <v/>
      </c>
      <c r="M1562" s="2">
        <f>IFERROR(XLOOKUP(A1562,Raw_Alerts!$B:$B,Raw_Alerts!$C:$C),"")</f>
        <v/>
      </c>
      <c r="N1562" s="2">
        <f>IFERROR(XLOOKUP(A1562,Raw_Alerts!$B:$B,Raw_Alerts!$D:$D),"")</f>
        <v/>
      </c>
      <c r="O1562" s="2">
        <f>IFERROR(XLOOKUP(A1562,Raw_Alerts!$B:$B,Raw_Alerts!$F:$F),"")</f>
        <v/>
      </c>
      <c r="P1562" s="2">
        <f>IF(H1562="Not Found","CRITICAL: No Risk Profile",IF(I1562="Missing","WARN: Missing KYC",IF(I1562="Expired","WARN: KYC Expired",IF(I1562="Pending","INFO: KYC Pending","OK"))))</f>
        <v/>
      </c>
    </row>
    <row r="1563">
      <c r="A1563" s="4">
        <f>Raw_Transactions!A1563</f>
        <v/>
      </c>
      <c r="B1563" s="4">
        <f>Raw_Transactions!B1563</f>
        <v/>
      </c>
      <c r="C1563" s="4">
        <f>Raw_Transactions!C1563</f>
        <v/>
      </c>
      <c r="D1563" s="5">
        <f>Raw_Transactions!D1563</f>
        <v/>
      </c>
      <c r="E1563" s="4">
        <f>Raw_Transactions!E1563</f>
        <v/>
      </c>
      <c r="F1563" s="4">
        <f>Raw_Transactions!F1563</f>
        <v/>
      </c>
      <c r="G1563" s="4">
        <f>Raw_Transactions!G1563</f>
        <v/>
      </c>
      <c r="H1563" s="4">
        <f>XLOOKUP(B1563,Raw_Risk_Profiles!$A:$A,Raw_Risk_Profiles!$B:$B,"Not Found")</f>
        <v/>
      </c>
      <c r="I1563" s="4">
        <f>XLOOKUP(B1563,Raw_Risk_Profiles!$A:$A,Raw_Risk_Profiles!$C:$C,"Missing")</f>
        <v/>
      </c>
      <c r="J1563" s="4">
        <f>XLOOKUP(B1563,Raw_Risk_Profiles!$A:$A,Raw_Risk_Profiles!$D:$D,"")</f>
        <v/>
      </c>
      <c r="K1563" s="4">
        <f>IFERROR(INDEX(Raw_Risk_Profiles!$E:$E,MATCH(B1563,Raw_Risk_Profiles!$A:$A,0)),"Unknown")</f>
        <v/>
      </c>
      <c r="L1563" s="4">
        <f>IFERROR(XLOOKUP(A1563,Raw_Alerts!$B:$B,Raw_Alerts!$A:$A),"No Alert")</f>
        <v/>
      </c>
      <c r="M1563" s="4">
        <f>IFERROR(XLOOKUP(A1563,Raw_Alerts!$B:$B,Raw_Alerts!$C:$C),"")</f>
        <v/>
      </c>
      <c r="N1563" s="4">
        <f>IFERROR(XLOOKUP(A1563,Raw_Alerts!$B:$B,Raw_Alerts!$D:$D),"")</f>
        <v/>
      </c>
      <c r="O1563" s="4">
        <f>IFERROR(XLOOKUP(A1563,Raw_Alerts!$B:$B,Raw_Alerts!$F:$F),"")</f>
        <v/>
      </c>
      <c r="P1563" s="4">
        <f>IF(H1563="Not Found","CRITICAL: No Risk Profile",IF(I1563="Missing","WARN: Missing KYC",IF(I1563="Expired","WARN: KYC Expired",IF(I1563="Pending","INFO: KYC Pending","OK"))))</f>
        <v/>
      </c>
    </row>
    <row r="1564">
      <c r="A1564" s="2">
        <f>Raw_Transactions!A1564</f>
        <v/>
      </c>
      <c r="B1564" s="2">
        <f>Raw_Transactions!B1564</f>
        <v/>
      </c>
      <c r="C1564" s="2">
        <f>Raw_Transactions!C1564</f>
        <v/>
      </c>
      <c r="D1564" s="3">
        <f>Raw_Transactions!D1564</f>
        <v/>
      </c>
      <c r="E1564" s="2">
        <f>Raw_Transactions!E1564</f>
        <v/>
      </c>
      <c r="F1564" s="2">
        <f>Raw_Transactions!F1564</f>
        <v/>
      </c>
      <c r="G1564" s="2">
        <f>Raw_Transactions!G1564</f>
        <v/>
      </c>
      <c r="H1564" s="2">
        <f>XLOOKUP(B1564,Raw_Risk_Profiles!$A:$A,Raw_Risk_Profiles!$B:$B,"Not Found")</f>
        <v/>
      </c>
      <c r="I1564" s="2">
        <f>XLOOKUP(B1564,Raw_Risk_Profiles!$A:$A,Raw_Risk_Profiles!$C:$C,"Missing")</f>
        <v/>
      </c>
      <c r="J1564" s="2">
        <f>XLOOKUP(B1564,Raw_Risk_Profiles!$A:$A,Raw_Risk_Profiles!$D:$D,"")</f>
        <v/>
      </c>
      <c r="K1564" s="2">
        <f>IFERROR(INDEX(Raw_Risk_Profiles!$E:$E,MATCH(B1564,Raw_Risk_Profiles!$A:$A,0)),"Unknown")</f>
        <v/>
      </c>
      <c r="L1564" s="2">
        <f>IFERROR(XLOOKUP(A1564,Raw_Alerts!$B:$B,Raw_Alerts!$A:$A),"No Alert")</f>
        <v/>
      </c>
      <c r="M1564" s="2">
        <f>IFERROR(XLOOKUP(A1564,Raw_Alerts!$B:$B,Raw_Alerts!$C:$C),"")</f>
        <v/>
      </c>
      <c r="N1564" s="2">
        <f>IFERROR(XLOOKUP(A1564,Raw_Alerts!$B:$B,Raw_Alerts!$D:$D),"")</f>
        <v/>
      </c>
      <c r="O1564" s="2">
        <f>IFERROR(XLOOKUP(A1564,Raw_Alerts!$B:$B,Raw_Alerts!$F:$F),"")</f>
        <v/>
      </c>
      <c r="P1564" s="2">
        <f>IF(H1564="Not Found","CRITICAL: No Risk Profile",IF(I1564="Missing","WARN: Missing KYC",IF(I1564="Expired","WARN: KYC Expired",IF(I1564="Pending","INFO: KYC Pending","OK"))))</f>
        <v/>
      </c>
    </row>
    <row r="1565">
      <c r="A1565" s="4">
        <f>Raw_Transactions!A1565</f>
        <v/>
      </c>
      <c r="B1565" s="4">
        <f>Raw_Transactions!B1565</f>
        <v/>
      </c>
      <c r="C1565" s="4">
        <f>Raw_Transactions!C1565</f>
        <v/>
      </c>
      <c r="D1565" s="5">
        <f>Raw_Transactions!D1565</f>
        <v/>
      </c>
      <c r="E1565" s="4">
        <f>Raw_Transactions!E1565</f>
        <v/>
      </c>
      <c r="F1565" s="4">
        <f>Raw_Transactions!F1565</f>
        <v/>
      </c>
      <c r="G1565" s="4">
        <f>Raw_Transactions!G1565</f>
        <v/>
      </c>
      <c r="H1565" s="4">
        <f>XLOOKUP(B1565,Raw_Risk_Profiles!$A:$A,Raw_Risk_Profiles!$B:$B,"Not Found")</f>
        <v/>
      </c>
      <c r="I1565" s="4">
        <f>XLOOKUP(B1565,Raw_Risk_Profiles!$A:$A,Raw_Risk_Profiles!$C:$C,"Missing")</f>
        <v/>
      </c>
      <c r="J1565" s="4">
        <f>XLOOKUP(B1565,Raw_Risk_Profiles!$A:$A,Raw_Risk_Profiles!$D:$D,"")</f>
        <v/>
      </c>
      <c r="K1565" s="4">
        <f>IFERROR(INDEX(Raw_Risk_Profiles!$E:$E,MATCH(B1565,Raw_Risk_Profiles!$A:$A,0)),"Unknown")</f>
        <v/>
      </c>
      <c r="L1565" s="4">
        <f>IFERROR(XLOOKUP(A1565,Raw_Alerts!$B:$B,Raw_Alerts!$A:$A),"No Alert")</f>
        <v/>
      </c>
      <c r="M1565" s="4">
        <f>IFERROR(XLOOKUP(A1565,Raw_Alerts!$B:$B,Raw_Alerts!$C:$C),"")</f>
        <v/>
      </c>
      <c r="N1565" s="4">
        <f>IFERROR(XLOOKUP(A1565,Raw_Alerts!$B:$B,Raw_Alerts!$D:$D),"")</f>
        <v/>
      </c>
      <c r="O1565" s="4">
        <f>IFERROR(XLOOKUP(A1565,Raw_Alerts!$B:$B,Raw_Alerts!$F:$F),"")</f>
        <v/>
      </c>
      <c r="P1565" s="4">
        <f>IF(H1565="Not Found","CRITICAL: No Risk Profile",IF(I1565="Missing","WARN: Missing KYC",IF(I1565="Expired","WARN: KYC Expired",IF(I1565="Pending","INFO: KYC Pending","OK"))))</f>
        <v/>
      </c>
    </row>
    <row r="1566">
      <c r="A1566" s="2">
        <f>Raw_Transactions!A1566</f>
        <v/>
      </c>
      <c r="B1566" s="2">
        <f>Raw_Transactions!B1566</f>
        <v/>
      </c>
      <c r="C1566" s="2">
        <f>Raw_Transactions!C1566</f>
        <v/>
      </c>
      <c r="D1566" s="3">
        <f>Raw_Transactions!D1566</f>
        <v/>
      </c>
      <c r="E1566" s="2">
        <f>Raw_Transactions!E1566</f>
        <v/>
      </c>
      <c r="F1566" s="2">
        <f>Raw_Transactions!F1566</f>
        <v/>
      </c>
      <c r="G1566" s="2">
        <f>Raw_Transactions!G1566</f>
        <v/>
      </c>
      <c r="H1566" s="2">
        <f>XLOOKUP(B1566,Raw_Risk_Profiles!$A:$A,Raw_Risk_Profiles!$B:$B,"Not Found")</f>
        <v/>
      </c>
      <c r="I1566" s="2">
        <f>XLOOKUP(B1566,Raw_Risk_Profiles!$A:$A,Raw_Risk_Profiles!$C:$C,"Missing")</f>
        <v/>
      </c>
      <c r="J1566" s="2">
        <f>XLOOKUP(B1566,Raw_Risk_Profiles!$A:$A,Raw_Risk_Profiles!$D:$D,"")</f>
        <v/>
      </c>
      <c r="K1566" s="2">
        <f>IFERROR(INDEX(Raw_Risk_Profiles!$E:$E,MATCH(B1566,Raw_Risk_Profiles!$A:$A,0)),"Unknown")</f>
        <v/>
      </c>
      <c r="L1566" s="2">
        <f>IFERROR(XLOOKUP(A1566,Raw_Alerts!$B:$B,Raw_Alerts!$A:$A),"No Alert")</f>
        <v/>
      </c>
      <c r="M1566" s="2">
        <f>IFERROR(XLOOKUP(A1566,Raw_Alerts!$B:$B,Raw_Alerts!$C:$C),"")</f>
        <v/>
      </c>
      <c r="N1566" s="2">
        <f>IFERROR(XLOOKUP(A1566,Raw_Alerts!$B:$B,Raw_Alerts!$D:$D),"")</f>
        <v/>
      </c>
      <c r="O1566" s="2">
        <f>IFERROR(XLOOKUP(A1566,Raw_Alerts!$B:$B,Raw_Alerts!$F:$F),"")</f>
        <v/>
      </c>
      <c r="P1566" s="2">
        <f>IF(H1566="Not Found","CRITICAL: No Risk Profile",IF(I1566="Missing","WARN: Missing KYC",IF(I1566="Expired","WARN: KYC Expired",IF(I1566="Pending","INFO: KYC Pending","OK"))))</f>
        <v/>
      </c>
    </row>
    <row r="1567">
      <c r="A1567" s="4">
        <f>Raw_Transactions!A1567</f>
        <v/>
      </c>
      <c r="B1567" s="4">
        <f>Raw_Transactions!B1567</f>
        <v/>
      </c>
      <c r="C1567" s="4">
        <f>Raw_Transactions!C1567</f>
        <v/>
      </c>
      <c r="D1567" s="5">
        <f>Raw_Transactions!D1567</f>
        <v/>
      </c>
      <c r="E1567" s="4">
        <f>Raw_Transactions!E1567</f>
        <v/>
      </c>
      <c r="F1567" s="4">
        <f>Raw_Transactions!F1567</f>
        <v/>
      </c>
      <c r="G1567" s="4">
        <f>Raw_Transactions!G1567</f>
        <v/>
      </c>
      <c r="H1567" s="4">
        <f>XLOOKUP(B1567,Raw_Risk_Profiles!$A:$A,Raw_Risk_Profiles!$B:$B,"Not Found")</f>
        <v/>
      </c>
      <c r="I1567" s="4">
        <f>XLOOKUP(B1567,Raw_Risk_Profiles!$A:$A,Raw_Risk_Profiles!$C:$C,"Missing")</f>
        <v/>
      </c>
      <c r="J1567" s="4">
        <f>XLOOKUP(B1567,Raw_Risk_Profiles!$A:$A,Raw_Risk_Profiles!$D:$D,"")</f>
        <v/>
      </c>
      <c r="K1567" s="4">
        <f>IFERROR(INDEX(Raw_Risk_Profiles!$E:$E,MATCH(B1567,Raw_Risk_Profiles!$A:$A,0)),"Unknown")</f>
        <v/>
      </c>
      <c r="L1567" s="4">
        <f>IFERROR(XLOOKUP(A1567,Raw_Alerts!$B:$B,Raw_Alerts!$A:$A),"No Alert")</f>
        <v/>
      </c>
      <c r="M1567" s="4">
        <f>IFERROR(XLOOKUP(A1567,Raw_Alerts!$B:$B,Raw_Alerts!$C:$C),"")</f>
        <v/>
      </c>
      <c r="N1567" s="4">
        <f>IFERROR(XLOOKUP(A1567,Raw_Alerts!$B:$B,Raw_Alerts!$D:$D),"")</f>
        <v/>
      </c>
      <c r="O1567" s="4">
        <f>IFERROR(XLOOKUP(A1567,Raw_Alerts!$B:$B,Raw_Alerts!$F:$F),"")</f>
        <v/>
      </c>
      <c r="P1567" s="4">
        <f>IF(H1567="Not Found","CRITICAL: No Risk Profile",IF(I1567="Missing","WARN: Missing KYC",IF(I1567="Expired","WARN: KYC Expired",IF(I1567="Pending","INFO: KYC Pending","OK"))))</f>
        <v/>
      </c>
    </row>
    <row r="1568">
      <c r="A1568" s="2">
        <f>Raw_Transactions!A1568</f>
        <v/>
      </c>
      <c r="B1568" s="2">
        <f>Raw_Transactions!B1568</f>
        <v/>
      </c>
      <c r="C1568" s="2">
        <f>Raw_Transactions!C1568</f>
        <v/>
      </c>
      <c r="D1568" s="3">
        <f>Raw_Transactions!D1568</f>
        <v/>
      </c>
      <c r="E1568" s="2">
        <f>Raw_Transactions!E1568</f>
        <v/>
      </c>
      <c r="F1568" s="2">
        <f>Raw_Transactions!F1568</f>
        <v/>
      </c>
      <c r="G1568" s="2">
        <f>Raw_Transactions!G1568</f>
        <v/>
      </c>
      <c r="H1568" s="2">
        <f>XLOOKUP(B1568,Raw_Risk_Profiles!$A:$A,Raw_Risk_Profiles!$B:$B,"Not Found")</f>
        <v/>
      </c>
      <c r="I1568" s="2">
        <f>XLOOKUP(B1568,Raw_Risk_Profiles!$A:$A,Raw_Risk_Profiles!$C:$C,"Missing")</f>
        <v/>
      </c>
      <c r="J1568" s="2">
        <f>XLOOKUP(B1568,Raw_Risk_Profiles!$A:$A,Raw_Risk_Profiles!$D:$D,"")</f>
        <v/>
      </c>
      <c r="K1568" s="2">
        <f>IFERROR(INDEX(Raw_Risk_Profiles!$E:$E,MATCH(B1568,Raw_Risk_Profiles!$A:$A,0)),"Unknown")</f>
        <v/>
      </c>
      <c r="L1568" s="2">
        <f>IFERROR(XLOOKUP(A1568,Raw_Alerts!$B:$B,Raw_Alerts!$A:$A),"No Alert")</f>
        <v/>
      </c>
      <c r="M1568" s="2">
        <f>IFERROR(XLOOKUP(A1568,Raw_Alerts!$B:$B,Raw_Alerts!$C:$C),"")</f>
        <v/>
      </c>
      <c r="N1568" s="2">
        <f>IFERROR(XLOOKUP(A1568,Raw_Alerts!$B:$B,Raw_Alerts!$D:$D),"")</f>
        <v/>
      </c>
      <c r="O1568" s="2">
        <f>IFERROR(XLOOKUP(A1568,Raw_Alerts!$B:$B,Raw_Alerts!$F:$F),"")</f>
        <v/>
      </c>
      <c r="P1568" s="2">
        <f>IF(H1568="Not Found","CRITICAL: No Risk Profile",IF(I1568="Missing","WARN: Missing KYC",IF(I1568="Expired","WARN: KYC Expired",IF(I1568="Pending","INFO: KYC Pending","OK"))))</f>
        <v/>
      </c>
    </row>
    <row r="1569">
      <c r="A1569" s="4">
        <f>Raw_Transactions!A1569</f>
        <v/>
      </c>
      <c r="B1569" s="4">
        <f>Raw_Transactions!B1569</f>
        <v/>
      </c>
      <c r="C1569" s="4">
        <f>Raw_Transactions!C1569</f>
        <v/>
      </c>
      <c r="D1569" s="5">
        <f>Raw_Transactions!D1569</f>
        <v/>
      </c>
      <c r="E1569" s="4">
        <f>Raw_Transactions!E1569</f>
        <v/>
      </c>
      <c r="F1569" s="4">
        <f>Raw_Transactions!F1569</f>
        <v/>
      </c>
      <c r="G1569" s="4">
        <f>Raw_Transactions!G1569</f>
        <v/>
      </c>
      <c r="H1569" s="4">
        <f>XLOOKUP(B1569,Raw_Risk_Profiles!$A:$A,Raw_Risk_Profiles!$B:$B,"Not Found")</f>
        <v/>
      </c>
      <c r="I1569" s="4">
        <f>XLOOKUP(B1569,Raw_Risk_Profiles!$A:$A,Raw_Risk_Profiles!$C:$C,"Missing")</f>
        <v/>
      </c>
      <c r="J1569" s="4">
        <f>XLOOKUP(B1569,Raw_Risk_Profiles!$A:$A,Raw_Risk_Profiles!$D:$D,"")</f>
        <v/>
      </c>
      <c r="K1569" s="4">
        <f>IFERROR(INDEX(Raw_Risk_Profiles!$E:$E,MATCH(B1569,Raw_Risk_Profiles!$A:$A,0)),"Unknown")</f>
        <v/>
      </c>
      <c r="L1569" s="4">
        <f>IFERROR(XLOOKUP(A1569,Raw_Alerts!$B:$B,Raw_Alerts!$A:$A),"No Alert")</f>
        <v/>
      </c>
      <c r="M1569" s="4">
        <f>IFERROR(XLOOKUP(A1569,Raw_Alerts!$B:$B,Raw_Alerts!$C:$C),"")</f>
        <v/>
      </c>
      <c r="N1569" s="4">
        <f>IFERROR(XLOOKUP(A1569,Raw_Alerts!$B:$B,Raw_Alerts!$D:$D),"")</f>
        <v/>
      </c>
      <c r="O1569" s="4">
        <f>IFERROR(XLOOKUP(A1569,Raw_Alerts!$B:$B,Raw_Alerts!$F:$F),"")</f>
        <v/>
      </c>
      <c r="P1569" s="4">
        <f>IF(H1569="Not Found","CRITICAL: No Risk Profile",IF(I1569="Missing","WARN: Missing KYC",IF(I1569="Expired","WARN: KYC Expired",IF(I1569="Pending","INFO: KYC Pending","OK"))))</f>
        <v/>
      </c>
    </row>
    <row r="1570">
      <c r="A1570" s="2">
        <f>Raw_Transactions!A1570</f>
        <v/>
      </c>
      <c r="B1570" s="2">
        <f>Raw_Transactions!B1570</f>
        <v/>
      </c>
      <c r="C1570" s="2">
        <f>Raw_Transactions!C1570</f>
        <v/>
      </c>
      <c r="D1570" s="3">
        <f>Raw_Transactions!D1570</f>
        <v/>
      </c>
      <c r="E1570" s="2">
        <f>Raw_Transactions!E1570</f>
        <v/>
      </c>
      <c r="F1570" s="2">
        <f>Raw_Transactions!F1570</f>
        <v/>
      </c>
      <c r="G1570" s="2">
        <f>Raw_Transactions!G1570</f>
        <v/>
      </c>
      <c r="H1570" s="2">
        <f>XLOOKUP(B1570,Raw_Risk_Profiles!$A:$A,Raw_Risk_Profiles!$B:$B,"Not Found")</f>
        <v/>
      </c>
      <c r="I1570" s="2">
        <f>XLOOKUP(B1570,Raw_Risk_Profiles!$A:$A,Raw_Risk_Profiles!$C:$C,"Missing")</f>
        <v/>
      </c>
      <c r="J1570" s="2">
        <f>XLOOKUP(B1570,Raw_Risk_Profiles!$A:$A,Raw_Risk_Profiles!$D:$D,"")</f>
        <v/>
      </c>
      <c r="K1570" s="2">
        <f>IFERROR(INDEX(Raw_Risk_Profiles!$E:$E,MATCH(B1570,Raw_Risk_Profiles!$A:$A,0)),"Unknown")</f>
        <v/>
      </c>
      <c r="L1570" s="2">
        <f>IFERROR(XLOOKUP(A1570,Raw_Alerts!$B:$B,Raw_Alerts!$A:$A),"No Alert")</f>
        <v/>
      </c>
      <c r="M1570" s="2">
        <f>IFERROR(XLOOKUP(A1570,Raw_Alerts!$B:$B,Raw_Alerts!$C:$C),"")</f>
        <v/>
      </c>
      <c r="N1570" s="2">
        <f>IFERROR(XLOOKUP(A1570,Raw_Alerts!$B:$B,Raw_Alerts!$D:$D),"")</f>
        <v/>
      </c>
      <c r="O1570" s="2">
        <f>IFERROR(XLOOKUP(A1570,Raw_Alerts!$B:$B,Raw_Alerts!$F:$F),"")</f>
        <v/>
      </c>
      <c r="P1570" s="2">
        <f>IF(H1570="Not Found","CRITICAL: No Risk Profile",IF(I1570="Missing","WARN: Missing KYC",IF(I1570="Expired","WARN: KYC Expired",IF(I1570="Pending","INFO: KYC Pending","OK"))))</f>
        <v/>
      </c>
    </row>
    <row r="1571">
      <c r="A1571" s="4">
        <f>Raw_Transactions!A1571</f>
        <v/>
      </c>
      <c r="B1571" s="4">
        <f>Raw_Transactions!B1571</f>
        <v/>
      </c>
      <c r="C1571" s="4">
        <f>Raw_Transactions!C1571</f>
        <v/>
      </c>
      <c r="D1571" s="5">
        <f>Raw_Transactions!D1571</f>
        <v/>
      </c>
      <c r="E1571" s="4">
        <f>Raw_Transactions!E1571</f>
        <v/>
      </c>
      <c r="F1571" s="4">
        <f>Raw_Transactions!F1571</f>
        <v/>
      </c>
      <c r="G1571" s="4">
        <f>Raw_Transactions!G1571</f>
        <v/>
      </c>
      <c r="H1571" s="4">
        <f>XLOOKUP(B1571,Raw_Risk_Profiles!$A:$A,Raw_Risk_Profiles!$B:$B,"Not Found")</f>
        <v/>
      </c>
      <c r="I1571" s="4">
        <f>XLOOKUP(B1571,Raw_Risk_Profiles!$A:$A,Raw_Risk_Profiles!$C:$C,"Missing")</f>
        <v/>
      </c>
      <c r="J1571" s="4">
        <f>XLOOKUP(B1571,Raw_Risk_Profiles!$A:$A,Raw_Risk_Profiles!$D:$D,"")</f>
        <v/>
      </c>
      <c r="K1571" s="4">
        <f>IFERROR(INDEX(Raw_Risk_Profiles!$E:$E,MATCH(B1571,Raw_Risk_Profiles!$A:$A,0)),"Unknown")</f>
        <v/>
      </c>
      <c r="L1571" s="4">
        <f>IFERROR(XLOOKUP(A1571,Raw_Alerts!$B:$B,Raw_Alerts!$A:$A),"No Alert")</f>
        <v/>
      </c>
      <c r="M1571" s="4">
        <f>IFERROR(XLOOKUP(A1571,Raw_Alerts!$B:$B,Raw_Alerts!$C:$C),"")</f>
        <v/>
      </c>
      <c r="N1571" s="4">
        <f>IFERROR(XLOOKUP(A1571,Raw_Alerts!$B:$B,Raw_Alerts!$D:$D),"")</f>
        <v/>
      </c>
      <c r="O1571" s="4">
        <f>IFERROR(XLOOKUP(A1571,Raw_Alerts!$B:$B,Raw_Alerts!$F:$F),"")</f>
        <v/>
      </c>
      <c r="P1571" s="4">
        <f>IF(H1571="Not Found","CRITICAL: No Risk Profile",IF(I1571="Missing","WARN: Missing KYC",IF(I1571="Expired","WARN: KYC Expired",IF(I1571="Pending","INFO: KYC Pending","OK"))))</f>
        <v/>
      </c>
    </row>
    <row r="1572">
      <c r="A1572" s="2">
        <f>Raw_Transactions!A1572</f>
        <v/>
      </c>
      <c r="B1572" s="2">
        <f>Raw_Transactions!B1572</f>
        <v/>
      </c>
      <c r="C1572" s="2">
        <f>Raw_Transactions!C1572</f>
        <v/>
      </c>
      <c r="D1572" s="3">
        <f>Raw_Transactions!D1572</f>
        <v/>
      </c>
      <c r="E1572" s="2">
        <f>Raw_Transactions!E1572</f>
        <v/>
      </c>
      <c r="F1572" s="2">
        <f>Raw_Transactions!F1572</f>
        <v/>
      </c>
      <c r="G1572" s="2">
        <f>Raw_Transactions!G1572</f>
        <v/>
      </c>
      <c r="H1572" s="2">
        <f>XLOOKUP(B1572,Raw_Risk_Profiles!$A:$A,Raw_Risk_Profiles!$B:$B,"Not Found")</f>
        <v/>
      </c>
      <c r="I1572" s="2">
        <f>XLOOKUP(B1572,Raw_Risk_Profiles!$A:$A,Raw_Risk_Profiles!$C:$C,"Missing")</f>
        <v/>
      </c>
      <c r="J1572" s="2">
        <f>XLOOKUP(B1572,Raw_Risk_Profiles!$A:$A,Raw_Risk_Profiles!$D:$D,"")</f>
        <v/>
      </c>
      <c r="K1572" s="2">
        <f>IFERROR(INDEX(Raw_Risk_Profiles!$E:$E,MATCH(B1572,Raw_Risk_Profiles!$A:$A,0)),"Unknown")</f>
        <v/>
      </c>
      <c r="L1572" s="2">
        <f>IFERROR(XLOOKUP(A1572,Raw_Alerts!$B:$B,Raw_Alerts!$A:$A),"No Alert")</f>
        <v/>
      </c>
      <c r="M1572" s="2">
        <f>IFERROR(XLOOKUP(A1572,Raw_Alerts!$B:$B,Raw_Alerts!$C:$C),"")</f>
        <v/>
      </c>
      <c r="N1572" s="2">
        <f>IFERROR(XLOOKUP(A1572,Raw_Alerts!$B:$B,Raw_Alerts!$D:$D),"")</f>
        <v/>
      </c>
      <c r="O1572" s="2">
        <f>IFERROR(XLOOKUP(A1572,Raw_Alerts!$B:$B,Raw_Alerts!$F:$F),"")</f>
        <v/>
      </c>
      <c r="P1572" s="2">
        <f>IF(H1572="Not Found","CRITICAL: No Risk Profile",IF(I1572="Missing","WARN: Missing KYC",IF(I1572="Expired","WARN: KYC Expired",IF(I1572="Pending","INFO: KYC Pending","OK"))))</f>
        <v/>
      </c>
    </row>
    <row r="1573">
      <c r="A1573" s="4">
        <f>Raw_Transactions!A1573</f>
        <v/>
      </c>
      <c r="B1573" s="4">
        <f>Raw_Transactions!B1573</f>
        <v/>
      </c>
      <c r="C1573" s="4">
        <f>Raw_Transactions!C1573</f>
        <v/>
      </c>
      <c r="D1573" s="5">
        <f>Raw_Transactions!D1573</f>
        <v/>
      </c>
      <c r="E1573" s="4">
        <f>Raw_Transactions!E1573</f>
        <v/>
      </c>
      <c r="F1573" s="4">
        <f>Raw_Transactions!F1573</f>
        <v/>
      </c>
      <c r="G1573" s="4">
        <f>Raw_Transactions!G1573</f>
        <v/>
      </c>
      <c r="H1573" s="4">
        <f>XLOOKUP(B1573,Raw_Risk_Profiles!$A:$A,Raw_Risk_Profiles!$B:$B,"Not Found")</f>
        <v/>
      </c>
      <c r="I1573" s="4">
        <f>XLOOKUP(B1573,Raw_Risk_Profiles!$A:$A,Raw_Risk_Profiles!$C:$C,"Missing")</f>
        <v/>
      </c>
      <c r="J1573" s="4">
        <f>XLOOKUP(B1573,Raw_Risk_Profiles!$A:$A,Raw_Risk_Profiles!$D:$D,"")</f>
        <v/>
      </c>
      <c r="K1573" s="4">
        <f>IFERROR(INDEX(Raw_Risk_Profiles!$E:$E,MATCH(B1573,Raw_Risk_Profiles!$A:$A,0)),"Unknown")</f>
        <v/>
      </c>
      <c r="L1573" s="4">
        <f>IFERROR(XLOOKUP(A1573,Raw_Alerts!$B:$B,Raw_Alerts!$A:$A),"No Alert")</f>
        <v/>
      </c>
      <c r="M1573" s="4">
        <f>IFERROR(XLOOKUP(A1573,Raw_Alerts!$B:$B,Raw_Alerts!$C:$C),"")</f>
        <v/>
      </c>
      <c r="N1573" s="4">
        <f>IFERROR(XLOOKUP(A1573,Raw_Alerts!$B:$B,Raw_Alerts!$D:$D),"")</f>
        <v/>
      </c>
      <c r="O1573" s="4">
        <f>IFERROR(XLOOKUP(A1573,Raw_Alerts!$B:$B,Raw_Alerts!$F:$F),"")</f>
        <v/>
      </c>
      <c r="P1573" s="4">
        <f>IF(H1573="Not Found","CRITICAL: No Risk Profile",IF(I1573="Missing","WARN: Missing KYC",IF(I1573="Expired","WARN: KYC Expired",IF(I1573="Pending","INFO: KYC Pending","OK"))))</f>
        <v/>
      </c>
    </row>
    <row r="1574">
      <c r="A1574" s="2">
        <f>Raw_Transactions!A1574</f>
        <v/>
      </c>
      <c r="B1574" s="2">
        <f>Raw_Transactions!B1574</f>
        <v/>
      </c>
      <c r="C1574" s="2">
        <f>Raw_Transactions!C1574</f>
        <v/>
      </c>
      <c r="D1574" s="3">
        <f>Raw_Transactions!D1574</f>
        <v/>
      </c>
      <c r="E1574" s="2">
        <f>Raw_Transactions!E1574</f>
        <v/>
      </c>
      <c r="F1574" s="2">
        <f>Raw_Transactions!F1574</f>
        <v/>
      </c>
      <c r="G1574" s="2">
        <f>Raw_Transactions!G1574</f>
        <v/>
      </c>
      <c r="H1574" s="2">
        <f>XLOOKUP(B1574,Raw_Risk_Profiles!$A:$A,Raw_Risk_Profiles!$B:$B,"Not Found")</f>
        <v/>
      </c>
      <c r="I1574" s="2">
        <f>XLOOKUP(B1574,Raw_Risk_Profiles!$A:$A,Raw_Risk_Profiles!$C:$C,"Missing")</f>
        <v/>
      </c>
      <c r="J1574" s="2">
        <f>XLOOKUP(B1574,Raw_Risk_Profiles!$A:$A,Raw_Risk_Profiles!$D:$D,"")</f>
        <v/>
      </c>
      <c r="K1574" s="2">
        <f>IFERROR(INDEX(Raw_Risk_Profiles!$E:$E,MATCH(B1574,Raw_Risk_Profiles!$A:$A,0)),"Unknown")</f>
        <v/>
      </c>
      <c r="L1574" s="2">
        <f>IFERROR(XLOOKUP(A1574,Raw_Alerts!$B:$B,Raw_Alerts!$A:$A),"No Alert")</f>
        <v/>
      </c>
      <c r="M1574" s="2">
        <f>IFERROR(XLOOKUP(A1574,Raw_Alerts!$B:$B,Raw_Alerts!$C:$C),"")</f>
        <v/>
      </c>
      <c r="N1574" s="2">
        <f>IFERROR(XLOOKUP(A1574,Raw_Alerts!$B:$B,Raw_Alerts!$D:$D),"")</f>
        <v/>
      </c>
      <c r="O1574" s="2">
        <f>IFERROR(XLOOKUP(A1574,Raw_Alerts!$B:$B,Raw_Alerts!$F:$F),"")</f>
        <v/>
      </c>
      <c r="P1574" s="2">
        <f>IF(H1574="Not Found","CRITICAL: No Risk Profile",IF(I1574="Missing","WARN: Missing KYC",IF(I1574="Expired","WARN: KYC Expired",IF(I1574="Pending","INFO: KYC Pending","OK"))))</f>
        <v/>
      </c>
    </row>
    <row r="1575">
      <c r="A1575" s="4">
        <f>Raw_Transactions!A1575</f>
        <v/>
      </c>
      <c r="B1575" s="4">
        <f>Raw_Transactions!B1575</f>
        <v/>
      </c>
      <c r="C1575" s="4">
        <f>Raw_Transactions!C1575</f>
        <v/>
      </c>
      <c r="D1575" s="5">
        <f>Raw_Transactions!D1575</f>
        <v/>
      </c>
      <c r="E1575" s="4">
        <f>Raw_Transactions!E1575</f>
        <v/>
      </c>
      <c r="F1575" s="4">
        <f>Raw_Transactions!F1575</f>
        <v/>
      </c>
      <c r="G1575" s="4">
        <f>Raw_Transactions!G1575</f>
        <v/>
      </c>
      <c r="H1575" s="4">
        <f>XLOOKUP(B1575,Raw_Risk_Profiles!$A:$A,Raw_Risk_Profiles!$B:$B,"Not Found")</f>
        <v/>
      </c>
      <c r="I1575" s="4">
        <f>XLOOKUP(B1575,Raw_Risk_Profiles!$A:$A,Raw_Risk_Profiles!$C:$C,"Missing")</f>
        <v/>
      </c>
      <c r="J1575" s="4">
        <f>XLOOKUP(B1575,Raw_Risk_Profiles!$A:$A,Raw_Risk_Profiles!$D:$D,"")</f>
        <v/>
      </c>
      <c r="K1575" s="4">
        <f>IFERROR(INDEX(Raw_Risk_Profiles!$E:$E,MATCH(B1575,Raw_Risk_Profiles!$A:$A,0)),"Unknown")</f>
        <v/>
      </c>
      <c r="L1575" s="4">
        <f>IFERROR(XLOOKUP(A1575,Raw_Alerts!$B:$B,Raw_Alerts!$A:$A),"No Alert")</f>
        <v/>
      </c>
      <c r="M1575" s="4">
        <f>IFERROR(XLOOKUP(A1575,Raw_Alerts!$B:$B,Raw_Alerts!$C:$C),"")</f>
        <v/>
      </c>
      <c r="N1575" s="4">
        <f>IFERROR(XLOOKUP(A1575,Raw_Alerts!$B:$B,Raw_Alerts!$D:$D),"")</f>
        <v/>
      </c>
      <c r="O1575" s="4">
        <f>IFERROR(XLOOKUP(A1575,Raw_Alerts!$B:$B,Raw_Alerts!$F:$F),"")</f>
        <v/>
      </c>
      <c r="P1575" s="4">
        <f>IF(H1575="Not Found","CRITICAL: No Risk Profile",IF(I1575="Missing","WARN: Missing KYC",IF(I1575="Expired","WARN: KYC Expired",IF(I1575="Pending","INFO: KYC Pending","OK"))))</f>
        <v/>
      </c>
    </row>
    <row r="1576">
      <c r="A1576" s="2">
        <f>Raw_Transactions!A1576</f>
        <v/>
      </c>
      <c r="B1576" s="2">
        <f>Raw_Transactions!B1576</f>
        <v/>
      </c>
      <c r="C1576" s="2">
        <f>Raw_Transactions!C1576</f>
        <v/>
      </c>
      <c r="D1576" s="3">
        <f>Raw_Transactions!D1576</f>
        <v/>
      </c>
      <c r="E1576" s="2">
        <f>Raw_Transactions!E1576</f>
        <v/>
      </c>
      <c r="F1576" s="2">
        <f>Raw_Transactions!F1576</f>
        <v/>
      </c>
      <c r="G1576" s="2">
        <f>Raw_Transactions!G1576</f>
        <v/>
      </c>
      <c r="H1576" s="2">
        <f>XLOOKUP(B1576,Raw_Risk_Profiles!$A:$A,Raw_Risk_Profiles!$B:$B,"Not Found")</f>
        <v/>
      </c>
      <c r="I1576" s="2">
        <f>XLOOKUP(B1576,Raw_Risk_Profiles!$A:$A,Raw_Risk_Profiles!$C:$C,"Missing")</f>
        <v/>
      </c>
      <c r="J1576" s="2">
        <f>XLOOKUP(B1576,Raw_Risk_Profiles!$A:$A,Raw_Risk_Profiles!$D:$D,"")</f>
        <v/>
      </c>
      <c r="K1576" s="2">
        <f>IFERROR(INDEX(Raw_Risk_Profiles!$E:$E,MATCH(B1576,Raw_Risk_Profiles!$A:$A,0)),"Unknown")</f>
        <v/>
      </c>
      <c r="L1576" s="2">
        <f>IFERROR(XLOOKUP(A1576,Raw_Alerts!$B:$B,Raw_Alerts!$A:$A),"No Alert")</f>
        <v/>
      </c>
      <c r="M1576" s="2">
        <f>IFERROR(XLOOKUP(A1576,Raw_Alerts!$B:$B,Raw_Alerts!$C:$C),"")</f>
        <v/>
      </c>
      <c r="N1576" s="2">
        <f>IFERROR(XLOOKUP(A1576,Raw_Alerts!$B:$B,Raw_Alerts!$D:$D),"")</f>
        <v/>
      </c>
      <c r="O1576" s="2">
        <f>IFERROR(XLOOKUP(A1576,Raw_Alerts!$B:$B,Raw_Alerts!$F:$F),"")</f>
        <v/>
      </c>
      <c r="P1576" s="2">
        <f>IF(H1576="Not Found","CRITICAL: No Risk Profile",IF(I1576="Missing","WARN: Missing KYC",IF(I1576="Expired","WARN: KYC Expired",IF(I1576="Pending","INFO: KYC Pending","OK"))))</f>
        <v/>
      </c>
    </row>
    <row r="1577">
      <c r="A1577" s="4">
        <f>Raw_Transactions!A1577</f>
        <v/>
      </c>
      <c r="B1577" s="4">
        <f>Raw_Transactions!B1577</f>
        <v/>
      </c>
      <c r="C1577" s="4">
        <f>Raw_Transactions!C1577</f>
        <v/>
      </c>
      <c r="D1577" s="5">
        <f>Raw_Transactions!D1577</f>
        <v/>
      </c>
      <c r="E1577" s="4">
        <f>Raw_Transactions!E1577</f>
        <v/>
      </c>
      <c r="F1577" s="4">
        <f>Raw_Transactions!F1577</f>
        <v/>
      </c>
      <c r="G1577" s="4">
        <f>Raw_Transactions!G1577</f>
        <v/>
      </c>
      <c r="H1577" s="4">
        <f>XLOOKUP(B1577,Raw_Risk_Profiles!$A:$A,Raw_Risk_Profiles!$B:$B,"Not Found")</f>
        <v/>
      </c>
      <c r="I1577" s="4">
        <f>XLOOKUP(B1577,Raw_Risk_Profiles!$A:$A,Raw_Risk_Profiles!$C:$C,"Missing")</f>
        <v/>
      </c>
      <c r="J1577" s="4">
        <f>XLOOKUP(B1577,Raw_Risk_Profiles!$A:$A,Raw_Risk_Profiles!$D:$D,"")</f>
        <v/>
      </c>
      <c r="K1577" s="4">
        <f>IFERROR(INDEX(Raw_Risk_Profiles!$E:$E,MATCH(B1577,Raw_Risk_Profiles!$A:$A,0)),"Unknown")</f>
        <v/>
      </c>
      <c r="L1577" s="4">
        <f>IFERROR(XLOOKUP(A1577,Raw_Alerts!$B:$B,Raw_Alerts!$A:$A),"No Alert")</f>
        <v/>
      </c>
      <c r="M1577" s="4">
        <f>IFERROR(XLOOKUP(A1577,Raw_Alerts!$B:$B,Raw_Alerts!$C:$C),"")</f>
        <v/>
      </c>
      <c r="N1577" s="4">
        <f>IFERROR(XLOOKUP(A1577,Raw_Alerts!$B:$B,Raw_Alerts!$D:$D),"")</f>
        <v/>
      </c>
      <c r="O1577" s="4">
        <f>IFERROR(XLOOKUP(A1577,Raw_Alerts!$B:$B,Raw_Alerts!$F:$F),"")</f>
        <v/>
      </c>
      <c r="P1577" s="4">
        <f>IF(H1577="Not Found","CRITICAL: No Risk Profile",IF(I1577="Missing","WARN: Missing KYC",IF(I1577="Expired","WARN: KYC Expired",IF(I1577="Pending","INFO: KYC Pending","OK"))))</f>
        <v/>
      </c>
    </row>
    <row r="1578">
      <c r="A1578" s="2">
        <f>Raw_Transactions!A1578</f>
        <v/>
      </c>
      <c r="B1578" s="2">
        <f>Raw_Transactions!B1578</f>
        <v/>
      </c>
      <c r="C1578" s="2">
        <f>Raw_Transactions!C1578</f>
        <v/>
      </c>
      <c r="D1578" s="3">
        <f>Raw_Transactions!D1578</f>
        <v/>
      </c>
      <c r="E1578" s="2">
        <f>Raw_Transactions!E1578</f>
        <v/>
      </c>
      <c r="F1578" s="2">
        <f>Raw_Transactions!F1578</f>
        <v/>
      </c>
      <c r="G1578" s="2">
        <f>Raw_Transactions!G1578</f>
        <v/>
      </c>
      <c r="H1578" s="2">
        <f>XLOOKUP(B1578,Raw_Risk_Profiles!$A:$A,Raw_Risk_Profiles!$B:$B,"Not Found")</f>
        <v/>
      </c>
      <c r="I1578" s="2">
        <f>XLOOKUP(B1578,Raw_Risk_Profiles!$A:$A,Raw_Risk_Profiles!$C:$C,"Missing")</f>
        <v/>
      </c>
      <c r="J1578" s="2">
        <f>XLOOKUP(B1578,Raw_Risk_Profiles!$A:$A,Raw_Risk_Profiles!$D:$D,"")</f>
        <v/>
      </c>
      <c r="K1578" s="2">
        <f>IFERROR(INDEX(Raw_Risk_Profiles!$E:$E,MATCH(B1578,Raw_Risk_Profiles!$A:$A,0)),"Unknown")</f>
        <v/>
      </c>
      <c r="L1578" s="2">
        <f>IFERROR(XLOOKUP(A1578,Raw_Alerts!$B:$B,Raw_Alerts!$A:$A),"No Alert")</f>
        <v/>
      </c>
      <c r="M1578" s="2">
        <f>IFERROR(XLOOKUP(A1578,Raw_Alerts!$B:$B,Raw_Alerts!$C:$C),"")</f>
        <v/>
      </c>
      <c r="N1578" s="2">
        <f>IFERROR(XLOOKUP(A1578,Raw_Alerts!$B:$B,Raw_Alerts!$D:$D),"")</f>
        <v/>
      </c>
      <c r="O1578" s="2">
        <f>IFERROR(XLOOKUP(A1578,Raw_Alerts!$B:$B,Raw_Alerts!$F:$F),"")</f>
        <v/>
      </c>
      <c r="P1578" s="2">
        <f>IF(H1578="Not Found","CRITICAL: No Risk Profile",IF(I1578="Missing","WARN: Missing KYC",IF(I1578="Expired","WARN: KYC Expired",IF(I1578="Pending","INFO: KYC Pending","OK"))))</f>
        <v/>
      </c>
    </row>
    <row r="1579">
      <c r="A1579" s="4">
        <f>Raw_Transactions!A1579</f>
        <v/>
      </c>
      <c r="B1579" s="4">
        <f>Raw_Transactions!B1579</f>
        <v/>
      </c>
      <c r="C1579" s="4">
        <f>Raw_Transactions!C1579</f>
        <v/>
      </c>
      <c r="D1579" s="5">
        <f>Raw_Transactions!D1579</f>
        <v/>
      </c>
      <c r="E1579" s="4">
        <f>Raw_Transactions!E1579</f>
        <v/>
      </c>
      <c r="F1579" s="4">
        <f>Raw_Transactions!F1579</f>
        <v/>
      </c>
      <c r="G1579" s="4">
        <f>Raw_Transactions!G1579</f>
        <v/>
      </c>
      <c r="H1579" s="4">
        <f>XLOOKUP(B1579,Raw_Risk_Profiles!$A:$A,Raw_Risk_Profiles!$B:$B,"Not Found")</f>
        <v/>
      </c>
      <c r="I1579" s="4">
        <f>XLOOKUP(B1579,Raw_Risk_Profiles!$A:$A,Raw_Risk_Profiles!$C:$C,"Missing")</f>
        <v/>
      </c>
      <c r="J1579" s="4">
        <f>XLOOKUP(B1579,Raw_Risk_Profiles!$A:$A,Raw_Risk_Profiles!$D:$D,"")</f>
        <v/>
      </c>
      <c r="K1579" s="4">
        <f>IFERROR(INDEX(Raw_Risk_Profiles!$E:$E,MATCH(B1579,Raw_Risk_Profiles!$A:$A,0)),"Unknown")</f>
        <v/>
      </c>
      <c r="L1579" s="4">
        <f>IFERROR(XLOOKUP(A1579,Raw_Alerts!$B:$B,Raw_Alerts!$A:$A),"No Alert")</f>
        <v/>
      </c>
      <c r="M1579" s="4">
        <f>IFERROR(XLOOKUP(A1579,Raw_Alerts!$B:$B,Raw_Alerts!$C:$C),"")</f>
        <v/>
      </c>
      <c r="N1579" s="4">
        <f>IFERROR(XLOOKUP(A1579,Raw_Alerts!$B:$B,Raw_Alerts!$D:$D),"")</f>
        <v/>
      </c>
      <c r="O1579" s="4">
        <f>IFERROR(XLOOKUP(A1579,Raw_Alerts!$B:$B,Raw_Alerts!$F:$F),"")</f>
        <v/>
      </c>
      <c r="P1579" s="4">
        <f>IF(H1579="Not Found","CRITICAL: No Risk Profile",IF(I1579="Missing","WARN: Missing KYC",IF(I1579="Expired","WARN: KYC Expired",IF(I1579="Pending","INFO: KYC Pending","OK"))))</f>
        <v/>
      </c>
    </row>
    <row r="1580">
      <c r="A1580" s="2">
        <f>Raw_Transactions!A1580</f>
        <v/>
      </c>
      <c r="B1580" s="2">
        <f>Raw_Transactions!B1580</f>
        <v/>
      </c>
      <c r="C1580" s="2">
        <f>Raw_Transactions!C1580</f>
        <v/>
      </c>
      <c r="D1580" s="3">
        <f>Raw_Transactions!D1580</f>
        <v/>
      </c>
      <c r="E1580" s="2">
        <f>Raw_Transactions!E1580</f>
        <v/>
      </c>
      <c r="F1580" s="2">
        <f>Raw_Transactions!F1580</f>
        <v/>
      </c>
      <c r="G1580" s="2">
        <f>Raw_Transactions!G1580</f>
        <v/>
      </c>
      <c r="H1580" s="2">
        <f>XLOOKUP(B1580,Raw_Risk_Profiles!$A:$A,Raw_Risk_Profiles!$B:$B,"Not Found")</f>
        <v/>
      </c>
      <c r="I1580" s="2">
        <f>XLOOKUP(B1580,Raw_Risk_Profiles!$A:$A,Raw_Risk_Profiles!$C:$C,"Missing")</f>
        <v/>
      </c>
      <c r="J1580" s="2">
        <f>XLOOKUP(B1580,Raw_Risk_Profiles!$A:$A,Raw_Risk_Profiles!$D:$D,"")</f>
        <v/>
      </c>
      <c r="K1580" s="2">
        <f>IFERROR(INDEX(Raw_Risk_Profiles!$E:$E,MATCH(B1580,Raw_Risk_Profiles!$A:$A,0)),"Unknown")</f>
        <v/>
      </c>
      <c r="L1580" s="2">
        <f>IFERROR(XLOOKUP(A1580,Raw_Alerts!$B:$B,Raw_Alerts!$A:$A),"No Alert")</f>
        <v/>
      </c>
      <c r="M1580" s="2">
        <f>IFERROR(XLOOKUP(A1580,Raw_Alerts!$B:$B,Raw_Alerts!$C:$C),"")</f>
        <v/>
      </c>
      <c r="N1580" s="2">
        <f>IFERROR(XLOOKUP(A1580,Raw_Alerts!$B:$B,Raw_Alerts!$D:$D),"")</f>
        <v/>
      </c>
      <c r="O1580" s="2">
        <f>IFERROR(XLOOKUP(A1580,Raw_Alerts!$B:$B,Raw_Alerts!$F:$F),"")</f>
        <v/>
      </c>
      <c r="P1580" s="2">
        <f>IF(H1580="Not Found","CRITICAL: No Risk Profile",IF(I1580="Missing","WARN: Missing KYC",IF(I1580="Expired","WARN: KYC Expired",IF(I1580="Pending","INFO: KYC Pending","OK"))))</f>
        <v/>
      </c>
    </row>
    <row r="1581">
      <c r="A1581" s="4">
        <f>Raw_Transactions!A1581</f>
        <v/>
      </c>
      <c r="B1581" s="4">
        <f>Raw_Transactions!B1581</f>
        <v/>
      </c>
      <c r="C1581" s="4">
        <f>Raw_Transactions!C1581</f>
        <v/>
      </c>
      <c r="D1581" s="5">
        <f>Raw_Transactions!D1581</f>
        <v/>
      </c>
      <c r="E1581" s="4">
        <f>Raw_Transactions!E1581</f>
        <v/>
      </c>
      <c r="F1581" s="4">
        <f>Raw_Transactions!F1581</f>
        <v/>
      </c>
      <c r="G1581" s="4">
        <f>Raw_Transactions!G1581</f>
        <v/>
      </c>
      <c r="H1581" s="4">
        <f>XLOOKUP(B1581,Raw_Risk_Profiles!$A:$A,Raw_Risk_Profiles!$B:$B,"Not Found")</f>
        <v/>
      </c>
      <c r="I1581" s="4">
        <f>XLOOKUP(B1581,Raw_Risk_Profiles!$A:$A,Raw_Risk_Profiles!$C:$C,"Missing")</f>
        <v/>
      </c>
      <c r="J1581" s="4">
        <f>XLOOKUP(B1581,Raw_Risk_Profiles!$A:$A,Raw_Risk_Profiles!$D:$D,"")</f>
        <v/>
      </c>
      <c r="K1581" s="4">
        <f>IFERROR(INDEX(Raw_Risk_Profiles!$E:$E,MATCH(B1581,Raw_Risk_Profiles!$A:$A,0)),"Unknown")</f>
        <v/>
      </c>
      <c r="L1581" s="4">
        <f>IFERROR(XLOOKUP(A1581,Raw_Alerts!$B:$B,Raw_Alerts!$A:$A),"No Alert")</f>
        <v/>
      </c>
      <c r="M1581" s="4">
        <f>IFERROR(XLOOKUP(A1581,Raw_Alerts!$B:$B,Raw_Alerts!$C:$C),"")</f>
        <v/>
      </c>
      <c r="N1581" s="4">
        <f>IFERROR(XLOOKUP(A1581,Raw_Alerts!$B:$B,Raw_Alerts!$D:$D),"")</f>
        <v/>
      </c>
      <c r="O1581" s="4">
        <f>IFERROR(XLOOKUP(A1581,Raw_Alerts!$B:$B,Raw_Alerts!$F:$F),"")</f>
        <v/>
      </c>
      <c r="P1581" s="4">
        <f>IF(H1581="Not Found","CRITICAL: No Risk Profile",IF(I1581="Missing","WARN: Missing KYC",IF(I1581="Expired","WARN: KYC Expired",IF(I1581="Pending","INFO: KYC Pending","OK"))))</f>
        <v/>
      </c>
    </row>
    <row r="1582">
      <c r="A1582" s="2">
        <f>Raw_Transactions!A1582</f>
        <v/>
      </c>
      <c r="B1582" s="2">
        <f>Raw_Transactions!B1582</f>
        <v/>
      </c>
      <c r="C1582" s="2">
        <f>Raw_Transactions!C1582</f>
        <v/>
      </c>
      <c r="D1582" s="3">
        <f>Raw_Transactions!D1582</f>
        <v/>
      </c>
      <c r="E1582" s="2">
        <f>Raw_Transactions!E1582</f>
        <v/>
      </c>
      <c r="F1582" s="2">
        <f>Raw_Transactions!F1582</f>
        <v/>
      </c>
      <c r="G1582" s="2">
        <f>Raw_Transactions!G1582</f>
        <v/>
      </c>
      <c r="H1582" s="2">
        <f>XLOOKUP(B1582,Raw_Risk_Profiles!$A:$A,Raw_Risk_Profiles!$B:$B,"Not Found")</f>
        <v/>
      </c>
      <c r="I1582" s="2">
        <f>XLOOKUP(B1582,Raw_Risk_Profiles!$A:$A,Raw_Risk_Profiles!$C:$C,"Missing")</f>
        <v/>
      </c>
      <c r="J1582" s="2">
        <f>XLOOKUP(B1582,Raw_Risk_Profiles!$A:$A,Raw_Risk_Profiles!$D:$D,"")</f>
        <v/>
      </c>
      <c r="K1582" s="2">
        <f>IFERROR(INDEX(Raw_Risk_Profiles!$E:$E,MATCH(B1582,Raw_Risk_Profiles!$A:$A,0)),"Unknown")</f>
        <v/>
      </c>
      <c r="L1582" s="2">
        <f>IFERROR(XLOOKUP(A1582,Raw_Alerts!$B:$B,Raw_Alerts!$A:$A),"No Alert")</f>
        <v/>
      </c>
      <c r="M1582" s="2">
        <f>IFERROR(XLOOKUP(A1582,Raw_Alerts!$B:$B,Raw_Alerts!$C:$C),"")</f>
        <v/>
      </c>
      <c r="N1582" s="2">
        <f>IFERROR(XLOOKUP(A1582,Raw_Alerts!$B:$B,Raw_Alerts!$D:$D),"")</f>
        <v/>
      </c>
      <c r="O1582" s="2">
        <f>IFERROR(XLOOKUP(A1582,Raw_Alerts!$B:$B,Raw_Alerts!$F:$F),"")</f>
        <v/>
      </c>
      <c r="P1582" s="2">
        <f>IF(H1582="Not Found","CRITICAL: No Risk Profile",IF(I1582="Missing","WARN: Missing KYC",IF(I1582="Expired","WARN: KYC Expired",IF(I1582="Pending","INFO: KYC Pending","OK"))))</f>
        <v/>
      </c>
    </row>
    <row r="1583">
      <c r="A1583" s="4">
        <f>Raw_Transactions!A1583</f>
        <v/>
      </c>
      <c r="B1583" s="4">
        <f>Raw_Transactions!B1583</f>
        <v/>
      </c>
      <c r="C1583" s="4">
        <f>Raw_Transactions!C1583</f>
        <v/>
      </c>
      <c r="D1583" s="5">
        <f>Raw_Transactions!D1583</f>
        <v/>
      </c>
      <c r="E1583" s="4">
        <f>Raw_Transactions!E1583</f>
        <v/>
      </c>
      <c r="F1583" s="4">
        <f>Raw_Transactions!F1583</f>
        <v/>
      </c>
      <c r="G1583" s="4">
        <f>Raw_Transactions!G1583</f>
        <v/>
      </c>
      <c r="H1583" s="4">
        <f>XLOOKUP(B1583,Raw_Risk_Profiles!$A:$A,Raw_Risk_Profiles!$B:$B,"Not Found")</f>
        <v/>
      </c>
      <c r="I1583" s="4">
        <f>XLOOKUP(B1583,Raw_Risk_Profiles!$A:$A,Raw_Risk_Profiles!$C:$C,"Missing")</f>
        <v/>
      </c>
      <c r="J1583" s="4">
        <f>XLOOKUP(B1583,Raw_Risk_Profiles!$A:$A,Raw_Risk_Profiles!$D:$D,"")</f>
        <v/>
      </c>
      <c r="K1583" s="4">
        <f>IFERROR(INDEX(Raw_Risk_Profiles!$E:$E,MATCH(B1583,Raw_Risk_Profiles!$A:$A,0)),"Unknown")</f>
        <v/>
      </c>
      <c r="L1583" s="4">
        <f>IFERROR(XLOOKUP(A1583,Raw_Alerts!$B:$B,Raw_Alerts!$A:$A),"No Alert")</f>
        <v/>
      </c>
      <c r="M1583" s="4">
        <f>IFERROR(XLOOKUP(A1583,Raw_Alerts!$B:$B,Raw_Alerts!$C:$C),"")</f>
        <v/>
      </c>
      <c r="N1583" s="4">
        <f>IFERROR(XLOOKUP(A1583,Raw_Alerts!$B:$B,Raw_Alerts!$D:$D),"")</f>
        <v/>
      </c>
      <c r="O1583" s="4">
        <f>IFERROR(XLOOKUP(A1583,Raw_Alerts!$B:$B,Raw_Alerts!$F:$F),"")</f>
        <v/>
      </c>
      <c r="P1583" s="4">
        <f>IF(H1583="Not Found","CRITICAL: No Risk Profile",IF(I1583="Missing","WARN: Missing KYC",IF(I1583="Expired","WARN: KYC Expired",IF(I1583="Pending","INFO: KYC Pending","OK"))))</f>
        <v/>
      </c>
    </row>
    <row r="1584">
      <c r="A1584" s="2">
        <f>Raw_Transactions!A1584</f>
        <v/>
      </c>
      <c r="B1584" s="2">
        <f>Raw_Transactions!B1584</f>
        <v/>
      </c>
      <c r="C1584" s="2">
        <f>Raw_Transactions!C1584</f>
        <v/>
      </c>
      <c r="D1584" s="3">
        <f>Raw_Transactions!D1584</f>
        <v/>
      </c>
      <c r="E1584" s="2">
        <f>Raw_Transactions!E1584</f>
        <v/>
      </c>
      <c r="F1584" s="2">
        <f>Raw_Transactions!F1584</f>
        <v/>
      </c>
      <c r="G1584" s="2">
        <f>Raw_Transactions!G1584</f>
        <v/>
      </c>
      <c r="H1584" s="2">
        <f>XLOOKUP(B1584,Raw_Risk_Profiles!$A:$A,Raw_Risk_Profiles!$B:$B,"Not Found")</f>
        <v/>
      </c>
      <c r="I1584" s="2">
        <f>XLOOKUP(B1584,Raw_Risk_Profiles!$A:$A,Raw_Risk_Profiles!$C:$C,"Missing")</f>
        <v/>
      </c>
      <c r="J1584" s="2">
        <f>XLOOKUP(B1584,Raw_Risk_Profiles!$A:$A,Raw_Risk_Profiles!$D:$D,"")</f>
        <v/>
      </c>
      <c r="K1584" s="2">
        <f>IFERROR(INDEX(Raw_Risk_Profiles!$E:$E,MATCH(B1584,Raw_Risk_Profiles!$A:$A,0)),"Unknown")</f>
        <v/>
      </c>
      <c r="L1584" s="2">
        <f>IFERROR(XLOOKUP(A1584,Raw_Alerts!$B:$B,Raw_Alerts!$A:$A),"No Alert")</f>
        <v/>
      </c>
      <c r="M1584" s="2">
        <f>IFERROR(XLOOKUP(A1584,Raw_Alerts!$B:$B,Raw_Alerts!$C:$C),"")</f>
        <v/>
      </c>
      <c r="N1584" s="2">
        <f>IFERROR(XLOOKUP(A1584,Raw_Alerts!$B:$B,Raw_Alerts!$D:$D),"")</f>
        <v/>
      </c>
      <c r="O1584" s="2">
        <f>IFERROR(XLOOKUP(A1584,Raw_Alerts!$B:$B,Raw_Alerts!$F:$F),"")</f>
        <v/>
      </c>
      <c r="P1584" s="2">
        <f>IF(H1584="Not Found","CRITICAL: No Risk Profile",IF(I1584="Missing","WARN: Missing KYC",IF(I1584="Expired","WARN: KYC Expired",IF(I1584="Pending","INFO: KYC Pending","OK"))))</f>
        <v/>
      </c>
    </row>
    <row r="1585">
      <c r="A1585" s="4">
        <f>Raw_Transactions!A1585</f>
        <v/>
      </c>
      <c r="B1585" s="4">
        <f>Raw_Transactions!B1585</f>
        <v/>
      </c>
      <c r="C1585" s="4">
        <f>Raw_Transactions!C1585</f>
        <v/>
      </c>
      <c r="D1585" s="5">
        <f>Raw_Transactions!D1585</f>
        <v/>
      </c>
      <c r="E1585" s="4">
        <f>Raw_Transactions!E1585</f>
        <v/>
      </c>
      <c r="F1585" s="4">
        <f>Raw_Transactions!F1585</f>
        <v/>
      </c>
      <c r="G1585" s="4">
        <f>Raw_Transactions!G1585</f>
        <v/>
      </c>
      <c r="H1585" s="4">
        <f>XLOOKUP(B1585,Raw_Risk_Profiles!$A:$A,Raw_Risk_Profiles!$B:$B,"Not Found")</f>
        <v/>
      </c>
      <c r="I1585" s="4">
        <f>XLOOKUP(B1585,Raw_Risk_Profiles!$A:$A,Raw_Risk_Profiles!$C:$C,"Missing")</f>
        <v/>
      </c>
      <c r="J1585" s="4">
        <f>XLOOKUP(B1585,Raw_Risk_Profiles!$A:$A,Raw_Risk_Profiles!$D:$D,"")</f>
        <v/>
      </c>
      <c r="K1585" s="4">
        <f>IFERROR(INDEX(Raw_Risk_Profiles!$E:$E,MATCH(B1585,Raw_Risk_Profiles!$A:$A,0)),"Unknown")</f>
        <v/>
      </c>
      <c r="L1585" s="4">
        <f>IFERROR(XLOOKUP(A1585,Raw_Alerts!$B:$B,Raw_Alerts!$A:$A),"No Alert")</f>
        <v/>
      </c>
      <c r="M1585" s="4">
        <f>IFERROR(XLOOKUP(A1585,Raw_Alerts!$B:$B,Raw_Alerts!$C:$C),"")</f>
        <v/>
      </c>
      <c r="N1585" s="4">
        <f>IFERROR(XLOOKUP(A1585,Raw_Alerts!$B:$B,Raw_Alerts!$D:$D),"")</f>
        <v/>
      </c>
      <c r="O1585" s="4">
        <f>IFERROR(XLOOKUP(A1585,Raw_Alerts!$B:$B,Raw_Alerts!$F:$F),"")</f>
        <v/>
      </c>
      <c r="P1585" s="4">
        <f>IF(H1585="Not Found","CRITICAL: No Risk Profile",IF(I1585="Missing","WARN: Missing KYC",IF(I1585="Expired","WARN: KYC Expired",IF(I1585="Pending","INFO: KYC Pending","OK"))))</f>
        <v/>
      </c>
    </row>
    <row r="1586">
      <c r="A1586" s="2">
        <f>Raw_Transactions!A1586</f>
        <v/>
      </c>
      <c r="B1586" s="2">
        <f>Raw_Transactions!B1586</f>
        <v/>
      </c>
      <c r="C1586" s="2">
        <f>Raw_Transactions!C1586</f>
        <v/>
      </c>
      <c r="D1586" s="3">
        <f>Raw_Transactions!D1586</f>
        <v/>
      </c>
      <c r="E1586" s="2">
        <f>Raw_Transactions!E1586</f>
        <v/>
      </c>
      <c r="F1586" s="2">
        <f>Raw_Transactions!F1586</f>
        <v/>
      </c>
      <c r="G1586" s="2">
        <f>Raw_Transactions!G1586</f>
        <v/>
      </c>
      <c r="H1586" s="2">
        <f>XLOOKUP(B1586,Raw_Risk_Profiles!$A:$A,Raw_Risk_Profiles!$B:$B,"Not Found")</f>
        <v/>
      </c>
      <c r="I1586" s="2">
        <f>XLOOKUP(B1586,Raw_Risk_Profiles!$A:$A,Raw_Risk_Profiles!$C:$C,"Missing")</f>
        <v/>
      </c>
      <c r="J1586" s="2">
        <f>XLOOKUP(B1586,Raw_Risk_Profiles!$A:$A,Raw_Risk_Profiles!$D:$D,"")</f>
        <v/>
      </c>
      <c r="K1586" s="2">
        <f>IFERROR(INDEX(Raw_Risk_Profiles!$E:$E,MATCH(B1586,Raw_Risk_Profiles!$A:$A,0)),"Unknown")</f>
        <v/>
      </c>
      <c r="L1586" s="2">
        <f>IFERROR(XLOOKUP(A1586,Raw_Alerts!$B:$B,Raw_Alerts!$A:$A),"No Alert")</f>
        <v/>
      </c>
      <c r="M1586" s="2">
        <f>IFERROR(XLOOKUP(A1586,Raw_Alerts!$B:$B,Raw_Alerts!$C:$C),"")</f>
        <v/>
      </c>
      <c r="N1586" s="2">
        <f>IFERROR(XLOOKUP(A1586,Raw_Alerts!$B:$B,Raw_Alerts!$D:$D),"")</f>
        <v/>
      </c>
      <c r="O1586" s="2">
        <f>IFERROR(XLOOKUP(A1586,Raw_Alerts!$B:$B,Raw_Alerts!$F:$F),"")</f>
        <v/>
      </c>
      <c r="P1586" s="2">
        <f>IF(H1586="Not Found","CRITICAL: No Risk Profile",IF(I1586="Missing","WARN: Missing KYC",IF(I1586="Expired","WARN: KYC Expired",IF(I1586="Pending","INFO: KYC Pending","OK"))))</f>
        <v/>
      </c>
    </row>
    <row r="1587">
      <c r="A1587" s="4">
        <f>Raw_Transactions!A1587</f>
        <v/>
      </c>
      <c r="B1587" s="4">
        <f>Raw_Transactions!B1587</f>
        <v/>
      </c>
      <c r="C1587" s="4">
        <f>Raw_Transactions!C1587</f>
        <v/>
      </c>
      <c r="D1587" s="5">
        <f>Raw_Transactions!D1587</f>
        <v/>
      </c>
      <c r="E1587" s="4">
        <f>Raw_Transactions!E1587</f>
        <v/>
      </c>
      <c r="F1587" s="4">
        <f>Raw_Transactions!F1587</f>
        <v/>
      </c>
      <c r="G1587" s="4">
        <f>Raw_Transactions!G1587</f>
        <v/>
      </c>
      <c r="H1587" s="4">
        <f>XLOOKUP(B1587,Raw_Risk_Profiles!$A:$A,Raw_Risk_Profiles!$B:$B,"Not Found")</f>
        <v/>
      </c>
      <c r="I1587" s="4">
        <f>XLOOKUP(B1587,Raw_Risk_Profiles!$A:$A,Raw_Risk_Profiles!$C:$C,"Missing")</f>
        <v/>
      </c>
      <c r="J1587" s="4">
        <f>XLOOKUP(B1587,Raw_Risk_Profiles!$A:$A,Raw_Risk_Profiles!$D:$D,"")</f>
        <v/>
      </c>
      <c r="K1587" s="4">
        <f>IFERROR(INDEX(Raw_Risk_Profiles!$E:$E,MATCH(B1587,Raw_Risk_Profiles!$A:$A,0)),"Unknown")</f>
        <v/>
      </c>
      <c r="L1587" s="4">
        <f>IFERROR(XLOOKUP(A1587,Raw_Alerts!$B:$B,Raw_Alerts!$A:$A),"No Alert")</f>
        <v/>
      </c>
      <c r="M1587" s="4">
        <f>IFERROR(XLOOKUP(A1587,Raw_Alerts!$B:$B,Raw_Alerts!$C:$C),"")</f>
        <v/>
      </c>
      <c r="N1587" s="4">
        <f>IFERROR(XLOOKUP(A1587,Raw_Alerts!$B:$B,Raw_Alerts!$D:$D),"")</f>
        <v/>
      </c>
      <c r="O1587" s="4">
        <f>IFERROR(XLOOKUP(A1587,Raw_Alerts!$B:$B,Raw_Alerts!$F:$F),"")</f>
        <v/>
      </c>
      <c r="P1587" s="4">
        <f>IF(H1587="Not Found","CRITICAL: No Risk Profile",IF(I1587="Missing","WARN: Missing KYC",IF(I1587="Expired","WARN: KYC Expired",IF(I1587="Pending","INFO: KYC Pending","OK"))))</f>
        <v/>
      </c>
    </row>
    <row r="1588">
      <c r="A1588" s="2">
        <f>Raw_Transactions!A1588</f>
        <v/>
      </c>
      <c r="B1588" s="2">
        <f>Raw_Transactions!B1588</f>
        <v/>
      </c>
      <c r="C1588" s="2">
        <f>Raw_Transactions!C1588</f>
        <v/>
      </c>
      <c r="D1588" s="3">
        <f>Raw_Transactions!D1588</f>
        <v/>
      </c>
      <c r="E1588" s="2">
        <f>Raw_Transactions!E1588</f>
        <v/>
      </c>
      <c r="F1588" s="2">
        <f>Raw_Transactions!F1588</f>
        <v/>
      </c>
      <c r="G1588" s="2">
        <f>Raw_Transactions!G1588</f>
        <v/>
      </c>
      <c r="H1588" s="2">
        <f>XLOOKUP(B1588,Raw_Risk_Profiles!$A:$A,Raw_Risk_Profiles!$B:$B,"Not Found")</f>
        <v/>
      </c>
      <c r="I1588" s="2">
        <f>XLOOKUP(B1588,Raw_Risk_Profiles!$A:$A,Raw_Risk_Profiles!$C:$C,"Missing")</f>
        <v/>
      </c>
      <c r="J1588" s="2">
        <f>XLOOKUP(B1588,Raw_Risk_Profiles!$A:$A,Raw_Risk_Profiles!$D:$D,"")</f>
        <v/>
      </c>
      <c r="K1588" s="2">
        <f>IFERROR(INDEX(Raw_Risk_Profiles!$E:$E,MATCH(B1588,Raw_Risk_Profiles!$A:$A,0)),"Unknown")</f>
        <v/>
      </c>
      <c r="L1588" s="2">
        <f>IFERROR(XLOOKUP(A1588,Raw_Alerts!$B:$B,Raw_Alerts!$A:$A),"No Alert")</f>
        <v/>
      </c>
      <c r="M1588" s="2">
        <f>IFERROR(XLOOKUP(A1588,Raw_Alerts!$B:$B,Raw_Alerts!$C:$C),"")</f>
        <v/>
      </c>
      <c r="N1588" s="2">
        <f>IFERROR(XLOOKUP(A1588,Raw_Alerts!$B:$B,Raw_Alerts!$D:$D),"")</f>
        <v/>
      </c>
      <c r="O1588" s="2">
        <f>IFERROR(XLOOKUP(A1588,Raw_Alerts!$B:$B,Raw_Alerts!$F:$F),"")</f>
        <v/>
      </c>
      <c r="P1588" s="2">
        <f>IF(H1588="Not Found","CRITICAL: No Risk Profile",IF(I1588="Missing","WARN: Missing KYC",IF(I1588="Expired","WARN: KYC Expired",IF(I1588="Pending","INFO: KYC Pending","OK"))))</f>
        <v/>
      </c>
    </row>
    <row r="1589">
      <c r="A1589" s="4">
        <f>Raw_Transactions!A1589</f>
        <v/>
      </c>
      <c r="B1589" s="4">
        <f>Raw_Transactions!B1589</f>
        <v/>
      </c>
      <c r="C1589" s="4">
        <f>Raw_Transactions!C1589</f>
        <v/>
      </c>
      <c r="D1589" s="5">
        <f>Raw_Transactions!D1589</f>
        <v/>
      </c>
      <c r="E1589" s="4">
        <f>Raw_Transactions!E1589</f>
        <v/>
      </c>
      <c r="F1589" s="4">
        <f>Raw_Transactions!F1589</f>
        <v/>
      </c>
      <c r="G1589" s="4">
        <f>Raw_Transactions!G1589</f>
        <v/>
      </c>
      <c r="H1589" s="4">
        <f>XLOOKUP(B1589,Raw_Risk_Profiles!$A:$A,Raw_Risk_Profiles!$B:$B,"Not Found")</f>
        <v/>
      </c>
      <c r="I1589" s="4">
        <f>XLOOKUP(B1589,Raw_Risk_Profiles!$A:$A,Raw_Risk_Profiles!$C:$C,"Missing")</f>
        <v/>
      </c>
      <c r="J1589" s="4">
        <f>XLOOKUP(B1589,Raw_Risk_Profiles!$A:$A,Raw_Risk_Profiles!$D:$D,"")</f>
        <v/>
      </c>
      <c r="K1589" s="4">
        <f>IFERROR(INDEX(Raw_Risk_Profiles!$E:$E,MATCH(B1589,Raw_Risk_Profiles!$A:$A,0)),"Unknown")</f>
        <v/>
      </c>
      <c r="L1589" s="4">
        <f>IFERROR(XLOOKUP(A1589,Raw_Alerts!$B:$B,Raw_Alerts!$A:$A),"No Alert")</f>
        <v/>
      </c>
      <c r="M1589" s="4">
        <f>IFERROR(XLOOKUP(A1589,Raw_Alerts!$B:$B,Raw_Alerts!$C:$C),"")</f>
        <v/>
      </c>
      <c r="N1589" s="4">
        <f>IFERROR(XLOOKUP(A1589,Raw_Alerts!$B:$B,Raw_Alerts!$D:$D),"")</f>
        <v/>
      </c>
      <c r="O1589" s="4">
        <f>IFERROR(XLOOKUP(A1589,Raw_Alerts!$B:$B,Raw_Alerts!$F:$F),"")</f>
        <v/>
      </c>
      <c r="P1589" s="4">
        <f>IF(H1589="Not Found","CRITICAL: No Risk Profile",IF(I1589="Missing","WARN: Missing KYC",IF(I1589="Expired","WARN: KYC Expired",IF(I1589="Pending","INFO: KYC Pending","OK"))))</f>
        <v/>
      </c>
    </row>
    <row r="1590">
      <c r="A1590" s="2">
        <f>Raw_Transactions!A1590</f>
        <v/>
      </c>
      <c r="B1590" s="2">
        <f>Raw_Transactions!B1590</f>
        <v/>
      </c>
      <c r="C1590" s="2">
        <f>Raw_Transactions!C1590</f>
        <v/>
      </c>
      <c r="D1590" s="3">
        <f>Raw_Transactions!D1590</f>
        <v/>
      </c>
      <c r="E1590" s="2">
        <f>Raw_Transactions!E1590</f>
        <v/>
      </c>
      <c r="F1590" s="2">
        <f>Raw_Transactions!F1590</f>
        <v/>
      </c>
      <c r="G1590" s="2">
        <f>Raw_Transactions!G1590</f>
        <v/>
      </c>
      <c r="H1590" s="2">
        <f>XLOOKUP(B1590,Raw_Risk_Profiles!$A:$A,Raw_Risk_Profiles!$B:$B,"Not Found")</f>
        <v/>
      </c>
      <c r="I1590" s="2">
        <f>XLOOKUP(B1590,Raw_Risk_Profiles!$A:$A,Raw_Risk_Profiles!$C:$C,"Missing")</f>
        <v/>
      </c>
      <c r="J1590" s="2">
        <f>XLOOKUP(B1590,Raw_Risk_Profiles!$A:$A,Raw_Risk_Profiles!$D:$D,"")</f>
        <v/>
      </c>
      <c r="K1590" s="2">
        <f>IFERROR(INDEX(Raw_Risk_Profiles!$E:$E,MATCH(B1590,Raw_Risk_Profiles!$A:$A,0)),"Unknown")</f>
        <v/>
      </c>
      <c r="L1590" s="2">
        <f>IFERROR(XLOOKUP(A1590,Raw_Alerts!$B:$B,Raw_Alerts!$A:$A),"No Alert")</f>
        <v/>
      </c>
      <c r="M1590" s="2">
        <f>IFERROR(XLOOKUP(A1590,Raw_Alerts!$B:$B,Raw_Alerts!$C:$C),"")</f>
        <v/>
      </c>
      <c r="N1590" s="2">
        <f>IFERROR(XLOOKUP(A1590,Raw_Alerts!$B:$B,Raw_Alerts!$D:$D),"")</f>
        <v/>
      </c>
      <c r="O1590" s="2">
        <f>IFERROR(XLOOKUP(A1590,Raw_Alerts!$B:$B,Raw_Alerts!$F:$F),"")</f>
        <v/>
      </c>
      <c r="P1590" s="2">
        <f>IF(H1590="Not Found","CRITICAL: No Risk Profile",IF(I1590="Missing","WARN: Missing KYC",IF(I1590="Expired","WARN: KYC Expired",IF(I1590="Pending","INFO: KYC Pending","OK"))))</f>
        <v/>
      </c>
    </row>
    <row r="1591">
      <c r="A1591" s="4">
        <f>Raw_Transactions!A1591</f>
        <v/>
      </c>
      <c r="B1591" s="4">
        <f>Raw_Transactions!B1591</f>
        <v/>
      </c>
      <c r="C1591" s="4">
        <f>Raw_Transactions!C1591</f>
        <v/>
      </c>
      <c r="D1591" s="5">
        <f>Raw_Transactions!D1591</f>
        <v/>
      </c>
      <c r="E1591" s="4">
        <f>Raw_Transactions!E1591</f>
        <v/>
      </c>
      <c r="F1591" s="4">
        <f>Raw_Transactions!F1591</f>
        <v/>
      </c>
      <c r="G1591" s="4">
        <f>Raw_Transactions!G1591</f>
        <v/>
      </c>
      <c r="H1591" s="4">
        <f>XLOOKUP(B1591,Raw_Risk_Profiles!$A:$A,Raw_Risk_Profiles!$B:$B,"Not Found")</f>
        <v/>
      </c>
      <c r="I1591" s="4">
        <f>XLOOKUP(B1591,Raw_Risk_Profiles!$A:$A,Raw_Risk_Profiles!$C:$C,"Missing")</f>
        <v/>
      </c>
      <c r="J1591" s="4">
        <f>XLOOKUP(B1591,Raw_Risk_Profiles!$A:$A,Raw_Risk_Profiles!$D:$D,"")</f>
        <v/>
      </c>
      <c r="K1591" s="4">
        <f>IFERROR(INDEX(Raw_Risk_Profiles!$E:$E,MATCH(B1591,Raw_Risk_Profiles!$A:$A,0)),"Unknown")</f>
        <v/>
      </c>
      <c r="L1591" s="4">
        <f>IFERROR(XLOOKUP(A1591,Raw_Alerts!$B:$B,Raw_Alerts!$A:$A),"No Alert")</f>
        <v/>
      </c>
      <c r="M1591" s="4">
        <f>IFERROR(XLOOKUP(A1591,Raw_Alerts!$B:$B,Raw_Alerts!$C:$C),"")</f>
        <v/>
      </c>
      <c r="N1591" s="4">
        <f>IFERROR(XLOOKUP(A1591,Raw_Alerts!$B:$B,Raw_Alerts!$D:$D),"")</f>
        <v/>
      </c>
      <c r="O1591" s="4">
        <f>IFERROR(XLOOKUP(A1591,Raw_Alerts!$B:$B,Raw_Alerts!$F:$F),"")</f>
        <v/>
      </c>
      <c r="P1591" s="4">
        <f>IF(H1591="Not Found","CRITICAL: No Risk Profile",IF(I1591="Missing","WARN: Missing KYC",IF(I1591="Expired","WARN: KYC Expired",IF(I1591="Pending","INFO: KYC Pending","OK"))))</f>
        <v/>
      </c>
    </row>
    <row r="1592">
      <c r="A1592" s="2">
        <f>Raw_Transactions!A1592</f>
        <v/>
      </c>
      <c r="B1592" s="2">
        <f>Raw_Transactions!B1592</f>
        <v/>
      </c>
      <c r="C1592" s="2">
        <f>Raw_Transactions!C1592</f>
        <v/>
      </c>
      <c r="D1592" s="3">
        <f>Raw_Transactions!D1592</f>
        <v/>
      </c>
      <c r="E1592" s="2">
        <f>Raw_Transactions!E1592</f>
        <v/>
      </c>
      <c r="F1592" s="2">
        <f>Raw_Transactions!F1592</f>
        <v/>
      </c>
      <c r="G1592" s="2">
        <f>Raw_Transactions!G1592</f>
        <v/>
      </c>
      <c r="H1592" s="2">
        <f>XLOOKUP(B1592,Raw_Risk_Profiles!$A:$A,Raw_Risk_Profiles!$B:$B,"Not Found")</f>
        <v/>
      </c>
      <c r="I1592" s="2">
        <f>XLOOKUP(B1592,Raw_Risk_Profiles!$A:$A,Raw_Risk_Profiles!$C:$C,"Missing")</f>
        <v/>
      </c>
      <c r="J1592" s="2">
        <f>XLOOKUP(B1592,Raw_Risk_Profiles!$A:$A,Raw_Risk_Profiles!$D:$D,"")</f>
        <v/>
      </c>
      <c r="K1592" s="2">
        <f>IFERROR(INDEX(Raw_Risk_Profiles!$E:$E,MATCH(B1592,Raw_Risk_Profiles!$A:$A,0)),"Unknown")</f>
        <v/>
      </c>
      <c r="L1592" s="2">
        <f>IFERROR(XLOOKUP(A1592,Raw_Alerts!$B:$B,Raw_Alerts!$A:$A),"No Alert")</f>
        <v/>
      </c>
      <c r="M1592" s="2">
        <f>IFERROR(XLOOKUP(A1592,Raw_Alerts!$B:$B,Raw_Alerts!$C:$C),"")</f>
        <v/>
      </c>
      <c r="N1592" s="2">
        <f>IFERROR(XLOOKUP(A1592,Raw_Alerts!$B:$B,Raw_Alerts!$D:$D),"")</f>
        <v/>
      </c>
      <c r="O1592" s="2">
        <f>IFERROR(XLOOKUP(A1592,Raw_Alerts!$B:$B,Raw_Alerts!$F:$F),"")</f>
        <v/>
      </c>
      <c r="P1592" s="2">
        <f>IF(H1592="Not Found","CRITICAL: No Risk Profile",IF(I1592="Missing","WARN: Missing KYC",IF(I1592="Expired","WARN: KYC Expired",IF(I1592="Pending","INFO: KYC Pending","OK"))))</f>
        <v/>
      </c>
    </row>
    <row r="1593">
      <c r="A1593" s="4">
        <f>Raw_Transactions!A1593</f>
        <v/>
      </c>
      <c r="B1593" s="4">
        <f>Raw_Transactions!B1593</f>
        <v/>
      </c>
      <c r="C1593" s="4">
        <f>Raw_Transactions!C1593</f>
        <v/>
      </c>
      <c r="D1593" s="5">
        <f>Raw_Transactions!D1593</f>
        <v/>
      </c>
      <c r="E1593" s="4">
        <f>Raw_Transactions!E1593</f>
        <v/>
      </c>
      <c r="F1593" s="4">
        <f>Raw_Transactions!F1593</f>
        <v/>
      </c>
      <c r="G1593" s="4">
        <f>Raw_Transactions!G1593</f>
        <v/>
      </c>
      <c r="H1593" s="4">
        <f>XLOOKUP(B1593,Raw_Risk_Profiles!$A:$A,Raw_Risk_Profiles!$B:$B,"Not Found")</f>
        <v/>
      </c>
      <c r="I1593" s="4">
        <f>XLOOKUP(B1593,Raw_Risk_Profiles!$A:$A,Raw_Risk_Profiles!$C:$C,"Missing")</f>
        <v/>
      </c>
      <c r="J1593" s="4">
        <f>XLOOKUP(B1593,Raw_Risk_Profiles!$A:$A,Raw_Risk_Profiles!$D:$D,"")</f>
        <v/>
      </c>
      <c r="K1593" s="4">
        <f>IFERROR(INDEX(Raw_Risk_Profiles!$E:$E,MATCH(B1593,Raw_Risk_Profiles!$A:$A,0)),"Unknown")</f>
        <v/>
      </c>
      <c r="L1593" s="4">
        <f>IFERROR(XLOOKUP(A1593,Raw_Alerts!$B:$B,Raw_Alerts!$A:$A),"No Alert")</f>
        <v/>
      </c>
      <c r="M1593" s="4">
        <f>IFERROR(XLOOKUP(A1593,Raw_Alerts!$B:$B,Raw_Alerts!$C:$C),"")</f>
        <v/>
      </c>
      <c r="N1593" s="4">
        <f>IFERROR(XLOOKUP(A1593,Raw_Alerts!$B:$B,Raw_Alerts!$D:$D),"")</f>
        <v/>
      </c>
      <c r="O1593" s="4">
        <f>IFERROR(XLOOKUP(A1593,Raw_Alerts!$B:$B,Raw_Alerts!$F:$F),"")</f>
        <v/>
      </c>
      <c r="P1593" s="4">
        <f>IF(H1593="Not Found","CRITICAL: No Risk Profile",IF(I1593="Missing","WARN: Missing KYC",IF(I1593="Expired","WARN: KYC Expired",IF(I1593="Pending","INFO: KYC Pending","OK"))))</f>
        <v/>
      </c>
    </row>
    <row r="1594">
      <c r="A1594" s="2">
        <f>Raw_Transactions!A1594</f>
        <v/>
      </c>
      <c r="B1594" s="2">
        <f>Raw_Transactions!B1594</f>
        <v/>
      </c>
      <c r="C1594" s="2">
        <f>Raw_Transactions!C1594</f>
        <v/>
      </c>
      <c r="D1594" s="3">
        <f>Raw_Transactions!D1594</f>
        <v/>
      </c>
      <c r="E1594" s="2">
        <f>Raw_Transactions!E1594</f>
        <v/>
      </c>
      <c r="F1594" s="2">
        <f>Raw_Transactions!F1594</f>
        <v/>
      </c>
      <c r="G1594" s="2">
        <f>Raw_Transactions!G1594</f>
        <v/>
      </c>
      <c r="H1594" s="2">
        <f>XLOOKUP(B1594,Raw_Risk_Profiles!$A:$A,Raw_Risk_Profiles!$B:$B,"Not Found")</f>
        <v/>
      </c>
      <c r="I1594" s="2">
        <f>XLOOKUP(B1594,Raw_Risk_Profiles!$A:$A,Raw_Risk_Profiles!$C:$C,"Missing")</f>
        <v/>
      </c>
      <c r="J1594" s="2">
        <f>XLOOKUP(B1594,Raw_Risk_Profiles!$A:$A,Raw_Risk_Profiles!$D:$D,"")</f>
        <v/>
      </c>
      <c r="K1594" s="2">
        <f>IFERROR(INDEX(Raw_Risk_Profiles!$E:$E,MATCH(B1594,Raw_Risk_Profiles!$A:$A,0)),"Unknown")</f>
        <v/>
      </c>
      <c r="L1594" s="2">
        <f>IFERROR(XLOOKUP(A1594,Raw_Alerts!$B:$B,Raw_Alerts!$A:$A),"No Alert")</f>
        <v/>
      </c>
      <c r="M1594" s="2">
        <f>IFERROR(XLOOKUP(A1594,Raw_Alerts!$B:$B,Raw_Alerts!$C:$C),"")</f>
        <v/>
      </c>
      <c r="N1594" s="2">
        <f>IFERROR(XLOOKUP(A1594,Raw_Alerts!$B:$B,Raw_Alerts!$D:$D),"")</f>
        <v/>
      </c>
      <c r="O1594" s="2">
        <f>IFERROR(XLOOKUP(A1594,Raw_Alerts!$B:$B,Raw_Alerts!$F:$F),"")</f>
        <v/>
      </c>
      <c r="P1594" s="2">
        <f>IF(H1594="Not Found","CRITICAL: No Risk Profile",IF(I1594="Missing","WARN: Missing KYC",IF(I1594="Expired","WARN: KYC Expired",IF(I1594="Pending","INFO: KYC Pending","OK"))))</f>
        <v/>
      </c>
    </row>
    <row r="1595">
      <c r="A1595" s="4">
        <f>Raw_Transactions!A1595</f>
        <v/>
      </c>
      <c r="B1595" s="4">
        <f>Raw_Transactions!B1595</f>
        <v/>
      </c>
      <c r="C1595" s="4">
        <f>Raw_Transactions!C1595</f>
        <v/>
      </c>
      <c r="D1595" s="5">
        <f>Raw_Transactions!D1595</f>
        <v/>
      </c>
      <c r="E1595" s="4">
        <f>Raw_Transactions!E1595</f>
        <v/>
      </c>
      <c r="F1595" s="4">
        <f>Raw_Transactions!F1595</f>
        <v/>
      </c>
      <c r="G1595" s="4">
        <f>Raw_Transactions!G1595</f>
        <v/>
      </c>
      <c r="H1595" s="4">
        <f>XLOOKUP(B1595,Raw_Risk_Profiles!$A:$A,Raw_Risk_Profiles!$B:$B,"Not Found")</f>
        <v/>
      </c>
      <c r="I1595" s="4">
        <f>XLOOKUP(B1595,Raw_Risk_Profiles!$A:$A,Raw_Risk_Profiles!$C:$C,"Missing")</f>
        <v/>
      </c>
      <c r="J1595" s="4">
        <f>XLOOKUP(B1595,Raw_Risk_Profiles!$A:$A,Raw_Risk_Profiles!$D:$D,"")</f>
        <v/>
      </c>
      <c r="K1595" s="4">
        <f>IFERROR(INDEX(Raw_Risk_Profiles!$E:$E,MATCH(B1595,Raw_Risk_Profiles!$A:$A,0)),"Unknown")</f>
        <v/>
      </c>
      <c r="L1595" s="4">
        <f>IFERROR(XLOOKUP(A1595,Raw_Alerts!$B:$B,Raw_Alerts!$A:$A),"No Alert")</f>
        <v/>
      </c>
      <c r="M1595" s="4">
        <f>IFERROR(XLOOKUP(A1595,Raw_Alerts!$B:$B,Raw_Alerts!$C:$C),"")</f>
        <v/>
      </c>
      <c r="N1595" s="4">
        <f>IFERROR(XLOOKUP(A1595,Raw_Alerts!$B:$B,Raw_Alerts!$D:$D),"")</f>
        <v/>
      </c>
      <c r="O1595" s="4">
        <f>IFERROR(XLOOKUP(A1595,Raw_Alerts!$B:$B,Raw_Alerts!$F:$F),"")</f>
        <v/>
      </c>
      <c r="P1595" s="4">
        <f>IF(H1595="Not Found","CRITICAL: No Risk Profile",IF(I1595="Missing","WARN: Missing KYC",IF(I1595="Expired","WARN: KYC Expired",IF(I1595="Pending","INFO: KYC Pending","OK"))))</f>
        <v/>
      </c>
    </row>
    <row r="1596">
      <c r="A1596" s="2">
        <f>Raw_Transactions!A1596</f>
        <v/>
      </c>
      <c r="B1596" s="2">
        <f>Raw_Transactions!B1596</f>
        <v/>
      </c>
      <c r="C1596" s="2">
        <f>Raw_Transactions!C1596</f>
        <v/>
      </c>
      <c r="D1596" s="3">
        <f>Raw_Transactions!D1596</f>
        <v/>
      </c>
      <c r="E1596" s="2">
        <f>Raw_Transactions!E1596</f>
        <v/>
      </c>
      <c r="F1596" s="2">
        <f>Raw_Transactions!F1596</f>
        <v/>
      </c>
      <c r="G1596" s="2">
        <f>Raw_Transactions!G1596</f>
        <v/>
      </c>
      <c r="H1596" s="2">
        <f>XLOOKUP(B1596,Raw_Risk_Profiles!$A:$A,Raw_Risk_Profiles!$B:$B,"Not Found")</f>
        <v/>
      </c>
      <c r="I1596" s="2">
        <f>XLOOKUP(B1596,Raw_Risk_Profiles!$A:$A,Raw_Risk_Profiles!$C:$C,"Missing")</f>
        <v/>
      </c>
      <c r="J1596" s="2">
        <f>XLOOKUP(B1596,Raw_Risk_Profiles!$A:$A,Raw_Risk_Profiles!$D:$D,"")</f>
        <v/>
      </c>
      <c r="K1596" s="2">
        <f>IFERROR(INDEX(Raw_Risk_Profiles!$E:$E,MATCH(B1596,Raw_Risk_Profiles!$A:$A,0)),"Unknown")</f>
        <v/>
      </c>
      <c r="L1596" s="2">
        <f>IFERROR(XLOOKUP(A1596,Raw_Alerts!$B:$B,Raw_Alerts!$A:$A),"No Alert")</f>
        <v/>
      </c>
      <c r="M1596" s="2">
        <f>IFERROR(XLOOKUP(A1596,Raw_Alerts!$B:$B,Raw_Alerts!$C:$C),"")</f>
        <v/>
      </c>
      <c r="N1596" s="2">
        <f>IFERROR(XLOOKUP(A1596,Raw_Alerts!$B:$B,Raw_Alerts!$D:$D),"")</f>
        <v/>
      </c>
      <c r="O1596" s="2">
        <f>IFERROR(XLOOKUP(A1596,Raw_Alerts!$B:$B,Raw_Alerts!$F:$F),"")</f>
        <v/>
      </c>
      <c r="P1596" s="2">
        <f>IF(H1596="Not Found","CRITICAL: No Risk Profile",IF(I1596="Missing","WARN: Missing KYC",IF(I1596="Expired","WARN: KYC Expired",IF(I1596="Pending","INFO: KYC Pending","OK"))))</f>
        <v/>
      </c>
    </row>
    <row r="1597">
      <c r="A1597" s="4">
        <f>Raw_Transactions!A1597</f>
        <v/>
      </c>
      <c r="B1597" s="4">
        <f>Raw_Transactions!B1597</f>
        <v/>
      </c>
      <c r="C1597" s="4">
        <f>Raw_Transactions!C1597</f>
        <v/>
      </c>
      <c r="D1597" s="5">
        <f>Raw_Transactions!D1597</f>
        <v/>
      </c>
      <c r="E1597" s="4">
        <f>Raw_Transactions!E1597</f>
        <v/>
      </c>
      <c r="F1597" s="4">
        <f>Raw_Transactions!F1597</f>
        <v/>
      </c>
      <c r="G1597" s="4">
        <f>Raw_Transactions!G1597</f>
        <v/>
      </c>
      <c r="H1597" s="4">
        <f>XLOOKUP(B1597,Raw_Risk_Profiles!$A:$A,Raw_Risk_Profiles!$B:$B,"Not Found")</f>
        <v/>
      </c>
      <c r="I1597" s="4">
        <f>XLOOKUP(B1597,Raw_Risk_Profiles!$A:$A,Raw_Risk_Profiles!$C:$C,"Missing")</f>
        <v/>
      </c>
      <c r="J1597" s="4">
        <f>XLOOKUP(B1597,Raw_Risk_Profiles!$A:$A,Raw_Risk_Profiles!$D:$D,"")</f>
        <v/>
      </c>
      <c r="K1597" s="4">
        <f>IFERROR(INDEX(Raw_Risk_Profiles!$E:$E,MATCH(B1597,Raw_Risk_Profiles!$A:$A,0)),"Unknown")</f>
        <v/>
      </c>
      <c r="L1597" s="4">
        <f>IFERROR(XLOOKUP(A1597,Raw_Alerts!$B:$B,Raw_Alerts!$A:$A),"No Alert")</f>
        <v/>
      </c>
      <c r="M1597" s="4">
        <f>IFERROR(XLOOKUP(A1597,Raw_Alerts!$B:$B,Raw_Alerts!$C:$C),"")</f>
        <v/>
      </c>
      <c r="N1597" s="4">
        <f>IFERROR(XLOOKUP(A1597,Raw_Alerts!$B:$B,Raw_Alerts!$D:$D),"")</f>
        <v/>
      </c>
      <c r="O1597" s="4">
        <f>IFERROR(XLOOKUP(A1597,Raw_Alerts!$B:$B,Raw_Alerts!$F:$F),"")</f>
        <v/>
      </c>
      <c r="P1597" s="4">
        <f>IF(H1597="Not Found","CRITICAL: No Risk Profile",IF(I1597="Missing","WARN: Missing KYC",IF(I1597="Expired","WARN: KYC Expired",IF(I1597="Pending","INFO: KYC Pending","OK"))))</f>
        <v/>
      </c>
    </row>
    <row r="1598">
      <c r="A1598" s="2">
        <f>Raw_Transactions!A1598</f>
        <v/>
      </c>
      <c r="B1598" s="2">
        <f>Raw_Transactions!B1598</f>
        <v/>
      </c>
      <c r="C1598" s="2">
        <f>Raw_Transactions!C1598</f>
        <v/>
      </c>
      <c r="D1598" s="3">
        <f>Raw_Transactions!D1598</f>
        <v/>
      </c>
      <c r="E1598" s="2">
        <f>Raw_Transactions!E1598</f>
        <v/>
      </c>
      <c r="F1598" s="2">
        <f>Raw_Transactions!F1598</f>
        <v/>
      </c>
      <c r="G1598" s="2">
        <f>Raw_Transactions!G1598</f>
        <v/>
      </c>
      <c r="H1598" s="2">
        <f>XLOOKUP(B1598,Raw_Risk_Profiles!$A:$A,Raw_Risk_Profiles!$B:$B,"Not Found")</f>
        <v/>
      </c>
      <c r="I1598" s="2">
        <f>XLOOKUP(B1598,Raw_Risk_Profiles!$A:$A,Raw_Risk_Profiles!$C:$C,"Missing")</f>
        <v/>
      </c>
      <c r="J1598" s="2">
        <f>XLOOKUP(B1598,Raw_Risk_Profiles!$A:$A,Raw_Risk_Profiles!$D:$D,"")</f>
        <v/>
      </c>
      <c r="K1598" s="2">
        <f>IFERROR(INDEX(Raw_Risk_Profiles!$E:$E,MATCH(B1598,Raw_Risk_Profiles!$A:$A,0)),"Unknown")</f>
        <v/>
      </c>
      <c r="L1598" s="2">
        <f>IFERROR(XLOOKUP(A1598,Raw_Alerts!$B:$B,Raw_Alerts!$A:$A),"No Alert")</f>
        <v/>
      </c>
      <c r="M1598" s="2">
        <f>IFERROR(XLOOKUP(A1598,Raw_Alerts!$B:$B,Raw_Alerts!$C:$C),"")</f>
        <v/>
      </c>
      <c r="N1598" s="2">
        <f>IFERROR(XLOOKUP(A1598,Raw_Alerts!$B:$B,Raw_Alerts!$D:$D),"")</f>
        <v/>
      </c>
      <c r="O1598" s="2">
        <f>IFERROR(XLOOKUP(A1598,Raw_Alerts!$B:$B,Raw_Alerts!$F:$F),"")</f>
        <v/>
      </c>
      <c r="P1598" s="2">
        <f>IF(H1598="Not Found","CRITICAL: No Risk Profile",IF(I1598="Missing","WARN: Missing KYC",IF(I1598="Expired","WARN: KYC Expired",IF(I1598="Pending","INFO: KYC Pending","OK"))))</f>
        <v/>
      </c>
    </row>
    <row r="1599">
      <c r="A1599" s="4">
        <f>Raw_Transactions!A1599</f>
        <v/>
      </c>
      <c r="B1599" s="4">
        <f>Raw_Transactions!B1599</f>
        <v/>
      </c>
      <c r="C1599" s="4">
        <f>Raw_Transactions!C1599</f>
        <v/>
      </c>
      <c r="D1599" s="5">
        <f>Raw_Transactions!D1599</f>
        <v/>
      </c>
      <c r="E1599" s="4">
        <f>Raw_Transactions!E1599</f>
        <v/>
      </c>
      <c r="F1599" s="4">
        <f>Raw_Transactions!F1599</f>
        <v/>
      </c>
      <c r="G1599" s="4">
        <f>Raw_Transactions!G1599</f>
        <v/>
      </c>
      <c r="H1599" s="4">
        <f>XLOOKUP(B1599,Raw_Risk_Profiles!$A:$A,Raw_Risk_Profiles!$B:$B,"Not Found")</f>
        <v/>
      </c>
      <c r="I1599" s="4">
        <f>XLOOKUP(B1599,Raw_Risk_Profiles!$A:$A,Raw_Risk_Profiles!$C:$C,"Missing")</f>
        <v/>
      </c>
      <c r="J1599" s="4">
        <f>XLOOKUP(B1599,Raw_Risk_Profiles!$A:$A,Raw_Risk_Profiles!$D:$D,"")</f>
        <v/>
      </c>
      <c r="K1599" s="4">
        <f>IFERROR(INDEX(Raw_Risk_Profiles!$E:$E,MATCH(B1599,Raw_Risk_Profiles!$A:$A,0)),"Unknown")</f>
        <v/>
      </c>
      <c r="L1599" s="4">
        <f>IFERROR(XLOOKUP(A1599,Raw_Alerts!$B:$B,Raw_Alerts!$A:$A),"No Alert")</f>
        <v/>
      </c>
      <c r="M1599" s="4">
        <f>IFERROR(XLOOKUP(A1599,Raw_Alerts!$B:$B,Raw_Alerts!$C:$C),"")</f>
        <v/>
      </c>
      <c r="N1599" s="4">
        <f>IFERROR(XLOOKUP(A1599,Raw_Alerts!$B:$B,Raw_Alerts!$D:$D),"")</f>
        <v/>
      </c>
      <c r="O1599" s="4">
        <f>IFERROR(XLOOKUP(A1599,Raw_Alerts!$B:$B,Raw_Alerts!$F:$F),"")</f>
        <v/>
      </c>
      <c r="P1599" s="4">
        <f>IF(H1599="Not Found","CRITICAL: No Risk Profile",IF(I1599="Missing","WARN: Missing KYC",IF(I1599="Expired","WARN: KYC Expired",IF(I1599="Pending","INFO: KYC Pending","OK"))))</f>
        <v/>
      </c>
    </row>
    <row r="1600">
      <c r="A1600" s="2">
        <f>Raw_Transactions!A1600</f>
        <v/>
      </c>
      <c r="B1600" s="2">
        <f>Raw_Transactions!B1600</f>
        <v/>
      </c>
      <c r="C1600" s="2">
        <f>Raw_Transactions!C1600</f>
        <v/>
      </c>
      <c r="D1600" s="3">
        <f>Raw_Transactions!D1600</f>
        <v/>
      </c>
      <c r="E1600" s="2">
        <f>Raw_Transactions!E1600</f>
        <v/>
      </c>
      <c r="F1600" s="2">
        <f>Raw_Transactions!F1600</f>
        <v/>
      </c>
      <c r="G1600" s="2">
        <f>Raw_Transactions!G1600</f>
        <v/>
      </c>
      <c r="H1600" s="2">
        <f>XLOOKUP(B1600,Raw_Risk_Profiles!$A:$A,Raw_Risk_Profiles!$B:$B,"Not Found")</f>
        <v/>
      </c>
      <c r="I1600" s="2">
        <f>XLOOKUP(B1600,Raw_Risk_Profiles!$A:$A,Raw_Risk_Profiles!$C:$C,"Missing")</f>
        <v/>
      </c>
      <c r="J1600" s="2">
        <f>XLOOKUP(B1600,Raw_Risk_Profiles!$A:$A,Raw_Risk_Profiles!$D:$D,"")</f>
        <v/>
      </c>
      <c r="K1600" s="2">
        <f>IFERROR(INDEX(Raw_Risk_Profiles!$E:$E,MATCH(B1600,Raw_Risk_Profiles!$A:$A,0)),"Unknown")</f>
        <v/>
      </c>
      <c r="L1600" s="2">
        <f>IFERROR(XLOOKUP(A1600,Raw_Alerts!$B:$B,Raw_Alerts!$A:$A),"No Alert")</f>
        <v/>
      </c>
      <c r="M1600" s="2">
        <f>IFERROR(XLOOKUP(A1600,Raw_Alerts!$B:$B,Raw_Alerts!$C:$C),"")</f>
        <v/>
      </c>
      <c r="N1600" s="2">
        <f>IFERROR(XLOOKUP(A1600,Raw_Alerts!$B:$B,Raw_Alerts!$D:$D),"")</f>
        <v/>
      </c>
      <c r="O1600" s="2">
        <f>IFERROR(XLOOKUP(A1600,Raw_Alerts!$B:$B,Raw_Alerts!$F:$F),"")</f>
        <v/>
      </c>
      <c r="P1600" s="2">
        <f>IF(H1600="Not Found","CRITICAL: No Risk Profile",IF(I1600="Missing","WARN: Missing KYC",IF(I1600="Expired","WARN: KYC Expired",IF(I1600="Pending","INFO: KYC Pending","OK"))))</f>
        <v/>
      </c>
    </row>
    <row r="1601">
      <c r="A1601" s="4">
        <f>Raw_Transactions!A1601</f>
        <v/>
      </c>
      <c r="B1601" s="4">
        <f>Raw_Transactions!B1601</f>
        <v/>
      </c>
      <c r="C1601" s="4">
        <f>Raw_Transactions!C1601</f>
        <v/>
      </c>
      <c r="D1601" s="5">
        <f>Raw_Transactions!D1601</f>
        <v/>
      </c>
      <c r="E1601" s="4">
        <f>Raw_Transactions!E1601</f>
        <v/>
      </c>
      <c r="F1601" s="4">
        <f>Raw_Transactions!F1601</f>
        <v/>
      </c>
      <c r="G1601" s="4">
        <f>Raw_Transactions!G1601</f>
        <v/>
      </c>
      <c r="H1601" s="4">
        <f>XLOOKUP(B1601,Raw_Risk_Profiles!$A:$A,Raw_Risk_Profiles!$B:$B,"Not Found")</f>
        <v/>
      </c>
      <c r="I1601" s="4">
        <f>XLOOKUP(B1601,Raw_Risk_Profiles!$A:$A,Raw_Risk_Profiles!$C:$C,"Missing")</f>
        <v/>
      </c>
      <c r="J1601" s="4">
        <f>XLOOKUP(B1601,Raw_Risk_Profiles!$A:$A,Raw_Risk_Profiles!$D:$D,"")</f>
        <v/>
      </c>
      <c r="K1601" s="4">
        <f>IFERROR(INDEX(Raw_Risk_Profiles!$E:$E,MATCH(B1601,Raw_Risk_Profiles!$A:$A,0)),"Unknown")</f>
        <v/>
      </c>
      <c r="L1601" s="4">
        <f>IFERROR(XLOOKUP(A1601,Raw_Alerts!$B:$B,Raw_Alerts!$A:$A),"No Alert")</f>
        <v/>
      </c>
      <c r="M1601" s="4">
        <f>IFERROR(XLOOKUP(A1601,Raw_Alerts!$B:$B,Raw_Alerts!$C:$C),"")</f>
        <v/>
      </c>
      <c r="N1601" s="4">
        <f>IFERROR(XLOOKUP(A1601,Raw_Alerts!$B:$B,Raw_Alerts!$D:$D),"")</f>
        <v/>
      </c>
      <c r="O1601" s="4">
        <f>IFERROR(XLOOKUP(A1601,Raw_Alerts!$B:$B,Raw_Alerts!$F:$F),"")</f>
        <v/>
      </c>
      <c r="P1601" s="4">
        <f>IF(H1601="Not Found","CRITICAL: No Risk Profile",IF(I1601="Missing","WARN: Missing KYC",IF(I1601="Expired","WARN: KYC Expired",IF(I1601="Pending","INFO: KYC Pending","OK"))))</f>
        <v/>
      </c>
    </row>
    <row r="1602">
      <c r="A1602" s="2">
        <f>Raw_Transactions!A1602</f>
        <v/>
      </c>
      <c r="B1602" s="2">
        <f>Raw_Transactions!B1602</f>
        <v/>
      </c>
      <c r="C1602" s="2">
        <f>Raw_Transactions!C1602</f>
        <v/>
      </c>
      <c r="D1602" s="3">
        <f>Raw_Transactions!D1602</f>
        <v/>
      </c>
      <c r="E1602" s="2">
        <f>Raw_Transactions!E1602</f>
        <v/>
      </c>
      <c r="F1602" s="2">
        <f>Raw_Transactions!F1602</f>
        <v/>
      </c>
      <c r="G1602" s="2">
        <f>Raw_Transactions!G1602</f>
        <v/>
      </c>
      <c r="H1602" s="2">
        <f>XLOOKUP(B1602,Raw_Risk_Profiles!$A:$A,Raw_Risk_Profiles!$B:$B,"Not Found")</f>
        <v/>
      </c>
      <c r="I1602" s="2">
        <f>XLOOKUP(B1602,Raw_Risk_Profiles!$A:$A,Raw_Risk_Profiles!$C:$C,"Missing")</f>
        <v/>
      </c>
      <c r="J1602" s="2">
        <f>XLOOKUP(B1602,Raw_Risk_Profiles!$A:$A,Raw_Risk_Profiles!$D:$D,"")</f>
        <v/>
      </c>
      <c r="K1602" s="2">
        <f>IFERROR(INDEX(Raw_Risk_Profiles!$E:$E,MATCH(B1602,Raw_Risk_Profiles!$A:$A,0)),"Unknown")</f>
        <v/>
      </c>
      <c r="L1602" s="2">
        <f>IFERROR(XLOOKUP(A1602,Raw_Alerts!$B:$B,Raw_Alerts!$A:$A),"No Alert")</f>
        <v/>
      </c>
      <c r="M1602" s="2">
        <f>IFERROR(XLOOKUP(A1602,Raw_Alerts!$B:$B,Raw_Alerts!$C:$C),"")</f>
        <v/>
      </c>
      <c r="N1602" s="2">
        <f>IFERROR(XLOOKUP(A1602,Raw_Alerts!$B:$B,Raw_Alerts!$D:$D),"")</f>
        <v/>
      </c>
      <c r="O1602" s="2">
        <f>IFERROR(XLOOKUP(A1602,Raw_Alerts!$B:$B,Raw_Alerts!$F:$F),"")</f>
        <v/>
      </c>
      <c r="P1602" s="2">
        <f>IF(H1602="Not Found","CRITICAL: No Risk Profile",IF(I1602="Missing","WARN: Missing KYC",IF(I1602="Expired","WARN: KYC Expired",IF(I1602="Pending","INFO: KYC Pending","OK"))))</f>
        <v/>
      </c>
    </row>
    <row r="1603">
      <c r="A1603" s="4">
        <f>Raw_Transactions!A1603</f>
        <v/>
      </c>
      <c r="B1603" s="4">
        <f>Raw_Transactions!B1603</f>
        <v/>
      </c>
      <c r="C1603" s="4">
        <f>Raw_Transactions!C1603</f>
        <v/>
      </c>
      <c r="D1603" s="5">
        <f>Raw_Transactions!D1603</f>
        <v/>
      </c>
      <c r="E1603" s="4">
        <f>Raw_Transactions!E1603</f>
        <v/>
      </c>
      <c r="F1603" s="4">
        <f>Raw_Transactions!F1603</f>
        <v/>
      </c>
      <c r="G1603" s="4">
        <f>Raw_Transactions!G1603</f>
        <v/>
      </c>
      <c r="H1603" s="4">
        <f>XLOOKUP(B1603,Raw_Risk_Profiles!$A:$A,Raw_Risk_Profiles!$B:$B,"Not Found")</f>
        <v/>
      </c>
      <c r="I1603" s="4">
        <f>XLOOKUP(B1603,Raw_Risk_Profiles!$A:$A,Raw_Risk_Profiles!$C:$C,"Missing")</f>
        <v/>
      </c>
      <c r="J1603" s="4">
        <f>XLOOKUP(B1603,Raw_Risk_Profiles!$A:$A,Raw_Risk_Profiles!$D:$D,"")</f>
        <v/>
      </c>
      <c r="K1603" s="4">
        <f>IFERROR(INDEX(Raw_Risk_Profiles!$E:$E,MATCH(B1603,Raw_Risk_Profiles!$A:$A,0)),"Unknown")</f>
        <v/>
      </c>
      <c r="L1603" s="4">
        <f>IFERROR(XLOOKUP(A1603,Raw_Alerts!$B:$B,Raw_Alerts!$A:$A),"No Alert")</f>
        <v/>
      </c>
      <c r="M1603" s="4">
        <f>IFERROR(XLOOKUP(A1603,Raw_Alerts!$B:$B,Raw_Alerts!$C:$C),"")</f>
        <v/>
      </c>
      <c r="N1603" s="4">
        <f>IFERROR(XLOOKUP(A1603,Raw_Alerts!$B:$B,Raw_Alerts!$D:$D),"")</f>
        <v/>
      </c>
      <c r="O1603" s="4">
        <f>IFERROR(XLOOKUP(A1603,Raw_Alerts!$B:$B,Raw_Alerts!$F:$F),"")</f>
        <v/>
      </c>
      <c r="P1603" s="4">
        <f>IF(H1603="Not Found","CRITICAL: No Risk Profile",IF(I1603="Missing","WARN: Missing KYC",IF(I1603="Expired","WARN: KYC Expired",IF(I1603="Pending","INFO: KYC Pending","OK"))))</f>
        <v/>
      </c>
    </row>
    <row r="1604">
      <c r="A1604" s="2">
        <f>Raw_Transactions!A1604</f>
        <v/>
      </c>
      <c r="B1604" s="2">
        <f>Raw_Transactions!B1604</f>
        <v/>
      </c>
      <c r="C1604" s="2">
        <f>Raw_Transactions!C1604</f>
        <v/>
      </c>
      <c r="D1604" s="3">
        <f>Raw_Transactions!D1604</f>
        <v/>
      </c>
      <c r="E1604" s="2">
        <f>Raw_Transactions!E1604</f>
        <v/>
      </c>
      <c r="F1604" s="2">
        <f>Raw_Transactions!F1604</f>
        <v/>
      </c>
      <c r="G1604" s="2">
        <f>Raw_Transactions!G1604</f>
        <v/>
      </c>
      <c r="H1604" s="2">
        <f>XLOOKUP(B1604,Raw_Risk_Profiles!$A:$A,Raw_Risk_Profiles!$B:$B,"Not Found")</f>
        <v/>
      </c>
      <c r="I1604" s="2">
        <f>XLOOKUP(B1604,Raw_Risk_Profiles!$A:$A,Raw_Risk_Profiles!$C:$C,"Missing")</f>
        <v/>
      </c>
      <c r="J1604" s="2">
        <f>XLOOKUP(B1604,Raw_Risk_Profiles!$A:$A,Raw_Risk_Profiles!$D:$D,"")</f>
        <v/>
      </c>
      <c r="K1604" s="2">
        <f>IFERROR(INDEX(Raw_Risk_Profiles!$E:$E,MATCH(B1604,Raw_Risk_Profiles!$A:$A,0)),"Unknown")</f>
        <v/>
      </c>
      <c r="L1604" s="2">
        <f>IFERROR(XLOOKUP(A1604,Raw_Alerts!$B:$B,Raw_Alerts!$A:$A),"No Alert")</f>
        <v/>
      </c>
      <c r="M1604" s="2">
        <f>IFERROR(XLOOKUP(A1604,Raw_Alerts!$B:$B,Raw_Alerts!$C:$C),"")</f>
        <v/>
      </c>
      <c r="N1604" s="2">
        <f>IFERROR(XLOOKUP(A1604,Raw_Alerts!$B:$B,Raw_Alerts!$D:$D),"")</f>
        <v/>
      </c>
      <c r="O1604" s="2">
        <f>IFERROR(XLOOKUP(A1604,Raw_Alerts!$B:$B,Raw_Alerts!$F:$F),"")</f>
        <v/>
      </c>
      <c r="P1604" s="2">
        <f>IF(H1604="Not Found","CRITICAL: No Risk Profile",IF(I1604="Missing","WARN: Missing KYC",IF(I1604="Expired","WARN: KYC Expired",IF(I1604="Pending","INFO: KYC Pending","OK"))))</f>
        <v/>
      </c>
    </row>
    <row r="1605">
      <c r="A1605" s="4">
        <f>Raw_Transactions!A1605</f>
        <v/>
      </c>
      <c r="B1605" s="4">
        <f>Raw_Transactions!B1605</f>
        <v/>
      </c>
      <c r="C1605" s="4">
        <f>Raw_Transactions!C1605</f>
        <v/>
      </c>
      <c r="D1605" s="5">
        <f>Raw_Transactions!D1605</f>
        <v/>
      </c>
      <c r="E1605" s="4">
        <f>Raw_Transactions!E1605</f>
        <v/>
      </c>
      <c r="F1605" s="4">
        <f>Raw_Transactions!F1605</f>
        <v/>
      </c>
      <c r="G1605" s="4">
        <f>Raw_Transactions!G1605</f>
        <v/>
      </c>
      <c r="H1605" s="4">
        <f>XLOOKUP(B1605,Raw_Risk_Profiles!$A:$A,Raw_Risk_Profiles!$B:$B,"Not Found")</f>
        <v/>
      </c>
      <c r="I1605" s="4">
        <f>XLOOKUP(B1605,Raw_Risk_Profiles!$A:$A,Raw_Risk_Profiles!$C:$C,"Missing")</f>
        <v/>
      </c>
      <c r="J1605" s="4">
        <f>XLOOKUP(B1605,Raw_Risk_Profiles!$A:$A,Raw_Risk_Profiles!$D:$D,"")</f>
        <v/>
      </c>
      <c r="K1605" s="4">
        <f>IFERROR(INDEX(Raw_Risk_Profiles!$E:$E,MATCH(B1605,Raw_Risk_Profiles!$A:$A,0)),"Unknown")</f>
        <v/>
      </c>
      <c r="L1605" s="4">
        <f>IFERROR(XLOOKUP(A1605,Raw_Alerts!$B:$B,Raw_Alerts!$A:$A),"No Alert")</f>
        <v/>
      </c>
      <c r="M1605" s="4">
        <f>IFERROR(XLOOKUP(A1605,Raw_Alerts!$B:$B,Raw_Alerts!$C:$C),"")</f>
        <v/>
      </c>
      <c r="N1605" s="4">
        <f>IFERROR(XLOOKUP(A1605,Raw_Alerts!$B:$B,Raw_Alerts!$D:$D),"")</f>
        <v/>
      </c>
      <c r="O1605" s="4">
        <f>IFERROR(XLOOKUP(A1605,Raw_Alerts!$B:$B,Raw_Alerts!$F:$F),"")</f>
        <v/>
      </c>
      <c r="P1605" s="4">
        <f>IF(H1605="Not Found","CRITICAL: No Risk Profile",IF(I1605="Missing","WARN: Missing KYC",IF(I1605="Expired","WARN: KYC Expired",IF(I1605="Pending","INFO: KYC Pending","OK"))))</f>
        <v/>
      </c>
    </row>
    <row r="1606">
      <c r="A1606" s="2">
        <f>Raw_Transactions!A1606</f>
        <v/>
      </c>
      <c r="B1606" s="2">
        <f>Raw_Transactions!B1606</f>
        <v/>
      </c>
      <c r="C1606" s="2">
        <f>Raw_Transactions!C1606</f>
        <v/>
      </c>
      <c r="D1606" s="3">
        <f>Raw_Transactions!D1606</f>
        <v/>
      </c>
      <c r="E1606" s="2">
        <f>Raw_Transactions!E1606</f>
        <v/>
      </c>
      <c r="F1606" s="2">
        <f>Raw_Transactions!F1606</f>
        <v/>
      </c>
      <c r="G1606" s="2">
        <f>Raw_Transactions!G1606</f>
        <v/>
      </c>
      <c r="H1606" s="2">
        <f>XLOOKUP(B1606,Raw_Risk_Profiles!$A:$A,Raw_Risk_Profiles!$B:$B,"Not Found")</f>
        <v/>
      </c>
      <c r="I1606" s="2">
        <f>XLOOKUP(B1606,Raw_Risk_Profiles!$A:$A,Raw_Risk_Profiles!$C:$C,"Missing")</f>
        <v/>
      </c>
      <c r="J1606" s="2">
        <f>XLOOKUP(B1606,Raw_Risk_Profiles!$A:$A,Raw_Risk_Profiles!$D:$D,"")</f>
        <v/>
      </c>
      <c r="K1606" s="2">
        <f>IFERROR(INDEX(Raw_Risk_Profiles!$E:$E,MATCH(B1606,Raw_Risk_Profiles!$A:$A,0)),"Unknown")</f>
        <v/>
      </c>
      <c r="L1606" s="2">
        <f>IFERROR(XLOOKUP(A1606,Raw_Alerts!$B:$B,Raw_Alerts!$A:$A),"No Alert")</f>
        <v/>
      </c>
      <c r="M1606" s="2">
        <f>IFERROR(XLOOKUP(A1606,Raw_Alerts!$B:$B,Raw_Alerts!$C:$C),"")</f>
        <v/>
      </c>
      <c r="N1606" s="2">
        <f>IFERROR(XLOOKUP(A1606,Raw_Alerts!$B:$B,Raw_Alerts!$D:$D),"")</f>
        <v/>
      </c>
      <c r="O1606" s="2">
        <f>IFERROR(XLOOKUP(A1606,Raw_Alerts!$B:$B,Raw_Alerts!$F:$F),"")</f>
        <v/>
      </c>
      <c r="P1606" s="2">
        <f>IF(H1606="Not Found","CRITICAL: No Risk Profile",IF(I1606="Missing","WARN: Missing KYC",IF(I1606="Expired","WARN: KYC Expired",IF(I1606="Pending","INFO: KYC Pending","OK"))))</f>
        <v/>
      </c>
    </row>
    <row r="1607">
      <c r="A1607" s="4">
        <f>Raw_Transactions!A1607</f>
        <v/>
      </c>
      <c r="B1607" s="4">
        <f>Raw_Transactions!B1607</f>
        <v/>
      </c>
      <c r="C1607" s="4">
        <f>Raw_Transactions!C1607</f>
        <v/>
      </c>
      <c r="D1607" s="5">
        <f>Raw_Transactions!D1607</f>
        <v/>
      </c>
      <c r="E1607" s="4">
        <f>Raw_Transactions!E1607</f>
        <v/>
      </c>
      <c r="F1607" s="4">
        <f>Raw_Transactions!F1607</f>
        <v/>
      </c>
      <c r="G1607" s="4">
        <f>Raw_Transactions!G1607</f>
        <v/>
      </c>
      <c r="H1607" s="4">
        <f>XLOOKUP(B1607,Raw_Risk_Profiles!$A:$A,Raw_Risk_Profiles!$B:$B,"Not Found")</f>
        <v/>
      </c>
      <c r="I1607" s="4">
        <f>XLOOKUP(B1607,Raw_Risk_Profiles!$A:$A,Raw_Risk_Profiles!$C:$C,"Missing")</f>
        <v/>
      </c>
      <c r="J1607" s="4">
        <f>XLOOKUP(B1607,Raw_Risk_Profiles!$A:$A,Raw_Risk_Profiles!$D:$D,"")</f>
        <v/>
      </c>
      <c r="K1607" s="4">
        <f>IFERROR(INDEX(Raw_Risk_Profiles!$E:$E,MATCH(B1607,Raw_Risk_Profiles!$A:$A,0)),"Unknown")</f>
        <v/>
      </c>
      <c r="L1607" s="4">
        <f>IFERROR(XLOOKUP(A1607,Raw_Alerts!$B:$B,Raw_Alerts!$A:$A),"No Alert")</f>
        <v/>
      </c>
      <c r="M1607" s="4">
        <f>IFERROR(XLOOKUP(A1607,Raw_Alerts!$B:$B,Raw_Alerts!$C:$C),"")</f>
        <v/>
      </c>
      <c r="N1607" s="4">
        <f>IFERROR(XLOOKUP(A1607,Raw_Alerts!$B:$B,Raw_Alerts!$D:$D),"")</f>
        <v/>
      </c>
      <c r="O1607" s="4">
        <f>IFERROR(XLOOKUP(A1607,Raw_Alerts!$B:$B,Raw_Alerts!$F:$F),"")</f>
        <v/>
      </c>
      <c r="P1607" s="4">
        <f>IF(H1607="Not Found","CRITICAL: No Risk Profile",IF(I1607="Missing","WARN: Missing KYC",IF(I1607="Expired","WARN: KYC Expired",IF(I1607="Pending","INFO: KYC Pending","OK"))))</f>
        <v/>
      </c>
    </row>
    <row r="1608">
      <c r="A1608" s="2">
        <f>Raw_Transactions!A1608</f>
        <v/>
      </c>
      <c r="B1608" s="2">
        <f>Raw_Transactions!B1608</f>
        <v/>
      </c>
      <c r="C1608" s="2">
        <f>Raw_Transactions!C1608</f>
        <v/>
      </c>
      <c r="D1608" s="3">
        <f>Raw_Transactions!D1608</f>
        <v/>
      </c>
      <c r="E1608" s="2">
        <f>Raw_Transactions!E1608</f>
        <v/>
      </c>
      <c r="F1608" s="2">
        <f>Raw_Transactions!F1608</f>
        <v/>
      </c>
      <c r="G1608" s="2">
        <f>Raw_Transactions!G1608</f>
        <v/>
      </c>
      <c r="H1608" s="2">
        <f>XLOOKUP(B1608,Raw_Risk_Profiles!$A:$A,Raw_Risk_Profiles!$B:$B,"Not Found")</f>
        <v/>
      </c>
      <c r="I1608" s="2">
        <f>XLOOKUP(B1608,Raw_Risk_Profiles!$A:$A,Raw_Risk_Profiles!$C:$C,"Missing")</f>
        <v/>
      </c>
      <c r="J1608" s="2">
        <f>XLOOKUP(B1608,Raw_Risk_Profiles!$A:$A,Raw_Risk_Profiles!$D:$D,"")</f>
        <v/>
      </c>
      <c r="K1608" s="2">
        <f>IFERROR(INDEX(Raw_Risk_Profiles!$E:$E,MATCH(B1608,Raw_Risk_Profiles!$A:$A,0)),"Unknown")</f>
        <v/>
      </c>
      <c r="L1608" s="2">
        <f>IFERROR(XLOOKUP(A1608,Raw_Alerts!$B:$B,Raw_Alerts!$A:$A),"No Alert")</f>
        <v/>
      </c>
      <c r="M1608" s="2">
        <f>IFERROR(XLOOKUP(A1608,Raw_Alerts!$B:$B,Raw_Alerts!$C:$C),"")</f>
        <v/>
      </c>
      <c r="N1608" s="2">
        <f>IFERROR(XLOOKUP(A1608,Raw_Alerts!$B:$B,Raw_Alerts!$D:$D),"")</f>
        <v/>
      </c>
      <c r="O1608" s="2">
        <f>IFERROR(XLOOKUP(A1608,Raw_Alerts!$B:$B,Raw_Alerts!$F:$F),"")</f>
        <v/>
      </c>
      <c r="P1608" s="2">
        <f>IF(H1608="Not Found","CRITICAL: No Risk Profile",IF(I1608="Missing","WARN: Missing KYC",IF(I1608="Expired","WARN: KYC Expired",IF(I1608="Pending","INFO: KYC Pending","OK"))))</f>
        <v/>
      </c>
    </row>
    <row r="1609">
      <c r="A1609" s="4">
        <f>Raw_Transactions!A1609</f>
        <v/>
      </c>
      <c r="B1609" s="4">
        <f>Raw_Transactions!B1609</f>
        <v/>
      </c>
      <c r="C1609" s="4">
        <f>Raw_Transactions!C1609</f>
        <v/>
      </c>
      <c r="D1609" s="5">
        <f>Raw_Transactions!D1609</f>
        <v/>
      </c>
      <c r="E1609" s="4">
        <f>Raw_Transactions!E1609</f>
        <v/>
      </c>
      <c r="F1609" s="4">
        <f>Raw_Transactions!F1609</f>
        <v/>
      </c>
      <c r="G1609" s="4">
        <f>Raw_Transactions!G1609</f>
        <v/>
      </c>
      <c r="H1609" s="4">
        <f>XLOOKUP(B1609,Raw_Risk_Profiles!$A:$A,Raw_Risk_Profiles!$B:$B,"Not Found")</f>
        <v/>
      </c>
      <c r="I1609" s="4">
        <f>XLOOKUP(B1609,Raw_Risk_Profiles!$A:$A,Raw_Risk_Profiles!$C:$C,"Missing")</f>
        <v/>
      </c>
      <c r="J1609" s="4">
        <f>XLOOKUP(B1609,Raw_Risk_Profiles!$A:$A,Raw_Risk_Profiles!$D:$D,"")</f>
        <v/>
      </c>
      <c r="K1609" s="4">
        <f>IFERROR(INDEX(Raw_Risk_Profiles!$E:$E,MATCH(B1609,Raw_Risk_Profiles!$A:$A,0)),"Unknown")</f>
        <v/>
      </c>
      <c r="L1609" s="4">
        <f>IFERROR(XLOOKUP(A1609,Raw_Alerts!$B:$B,Raw_Alerts!$A:$A),"No Alert")</f>
        <v/>
      </c>
      <c r="M1609" s="4">
        <f>IFERROR(XLOOKUP(A1609,Raw_Alerts!$B:$B,Raw_Alerts!$C:$C),"")</f>
        <v/>
      </c>
      <c r="N1609" s="4">
        <f>IFERROR(XLOOKUP(A1609,Raw_Alerts!$B:$B,Raw_Alerts!$D:$D),"")</f>
        <v/>
      </c>
      <c r="O1609" s="4">
        <f>IFERROR(XLOOKUP(A1609,Raw_Alerts!$B:$B,Raw_Alerts!$F:$F),"")</f>
        <v/>
      </c>
      <c r="P1609" s="4">
        <f>IF(H1609="Not Found","CRITICAL: No Risk Profile",IF(I1609="Missing","WARN: Missing KYC",IF(I1609="Expired","WARN: KYC Expired",IF(I1609="Pending","INFO: KYC Pending","OK"))))</f>
        <v/>
      </c>
    </row>
    <row r="1610">
      <c r="A1610" s="2">
        <f>Raw_Transactions!A1610</f>
        <v/>
      </c>
      <c r="B1610" s="2">
        <f>Raw_Transactions!B1610</f>
        <v/>
      </c>
      <c r="C1610" s="2">
        <f>Raw_Transactions!C1610</f>
        <v/>
      </c>
      <c r="D1610" s="3">
        <f>Raw_Transactions!D1610</f>
        <v/>
      </c>
      <c r="E1610" s="2">
        <f>Raw_Transactions!E1610</f>
        <v/>
      </c>
      <c r="F1610" s="2">
        <f>Raw_Transactions!F1610</f>
        <v/>
      </c>
      <c r="G1610" s="2">
        <f>Raw_Transactions!G1610</f>
        <v/>
      </c>
      <c r="H1610" s="2">
        <f>XLOOKUP(B1610,Raw_Risk_Profiles!$A:$A,Raw_Risk_Profiles!$B:$B,"Not Found")</f>
        <v/>
      </c>
      <c r="I1610" s="2">
        <f>XLOOKUP(B1610,Raw_Risk_Profiles!$A:$A,Raw_Risk_Profiles!$C:$C,"Missing")</f>
        <v/>
      </c>
      <c r="J1610" s="2">
        <f>XLOOKUP(B1610,Raw_Risk_Profiles!$A:$A,Raw_Risk_Profiles!$D:$D,"")</f>
        <v/>
      </c>
      <c r="K1610" s="2">
        <f>IFERROR(INDEX(Raw_Risk_Profiles!$E:$E,MATCH(B1610,Raw_Risk_Profiles!$A:$A,0)),"Unknown")</f>
        <v/>
      </c>
      <c r="L1610" s="2">
        <f>IFERROR(XLOOKUP(A1610,Raw_Alerts!$B:$B,Raw_Alerts!$A:$A),"No Alert")</f>
        <v/>
      </c>
      <c r="M1610" s="2">
        <f>IFERROR(XLOOKUP(A1610,Raw_Alerts!$B:$B,Raw_Alerts!$C:$C),"")</f>
        <v/>
      </c>
      <c r="N1610" s="2">
        <f>IFERROR(XLOOKUP(A1610,Raw_Alerts!$B:$B,Raw_Alerts!$D:$D),"")</f>
        <v/>
      </c>
      <c r="O1610" s="2">
        <f>IFERROR(XLOOKUP(A1610,Raw_Alerts!$B:$B,Raw_Alerts!$F:$F),"")</f>
        <v/>
      </c>
      <c r="P1610" s="2">
        <f>IF(H1610="Not Found","CRITICAL: No Risk Profile",IF(I1610="Missing","WARN: Missing KYC",IF(I1610="Expired","WARN: KYC Expired",IF(I1610="Pending","INFO: KYC Pending","OK"))))</f>
        <v/>
      </c>
    </row>
    <row r="1611">
      <c r="A1611" s="4">
        <f>Raw_Transactions!A1611</f>
        <v/>
      </c>
      <c r="B1611" s="4">
        <f>Raw_Transactions!B1611</f>
        <v/>
      </c>
      <c r="C1611" s="4">
        <f>Raw_Transactions!C1611</f>
        <v/>
      </c>
      <c r="D1611" s="5">
        <f>Raw_Transactions!D1611</f>
        <v/>
      </c>
      <c r="E1611" s="4">
        <f>Raw_Transactions!E1611</f>
        <v/>
      </c>
      <c r="F1611" s="4">
        <f>Raw_Transactions!F1611</f>
        <v/>
      </c>
      <c r="G1611" s="4">
        <f>Raw_Transactions!G1611</f>
        <v/>
      </c>
      <c r="H1611" s="4">
        <f>XLOOKUP(B1611,Raw_Risk_Profiles!$A:$A,Raw_Risk_Profiles!$B:$B,"Not Found")</f>
        <v/>
      </c>
      <c r="I1611" s="4">
        <f>XLOOKUP(B1611,Raw_Risk_Profiles!$A:$A,Raw_Risk_Profiles!$C:$C,"Missing")</f>
        <v/>
      </c>
      <c r="J1611" s="4">
        <f>XLOOKUP(B1611,Raw_Risk_Profiles!$A:$A,Raw_Risk_Profiles!$D:$D,"")</f>
        <v/>
      </c>
      <c r="K1611" s="4">
        <f>IFERROR(INDEX(Raw_Risk_Profiles!$E:$E,MATCH(B1611,Raw_Risk_Profiles!$A:$A,0)),"Unknown")</f>
        <v/>
      </c>
      <c r="L1611" s="4">
        <f>IFERROR(XLOOKUP(A1611,Raw_Alerts!$B:$B,Raw_Alerts!$A:$A),"No Alert")</f>
        <v/>
      </c>
      <c r="M1611" s="4">
        <f>IFERROR(XLOOKUP(A1611,Raw_Alerts!$B:$B,Raw_Alerts!$C:$C),"")</f>
        <v/>
      </c>
      <c r="N1611" s="4">
        <f>IFERROR(XLOOKUP(A1611,Raw_Alerts!$B:$B,Raw_Alerts!$D:$D),"")</f>
        <v/>
      </c>
      <c r="O1611" s="4">
        <f>IFERROR(XLOOKUP(A1611,Raw_Alerts!$B:$B,Raw_Alerts!$F:$F),"")</f>
        <v/>
      </c>
      <c r="P1611" s="4">
        <f>IF(H1611="Not Found","CRITICAL: No Risk Profile",IF(I1611="Missing","WARN: Missing KYC",IF(I1611="Expired","WARN: KYC Expired",IF(I1611="Pending","INFO: KYC Pending","OK"))))</f>
        <v/>
      </c>
    </row>
    <row r="1612">
      <c r="A1612" s="2">
        <f>Raw_Transactions!A1612</f>
        <v/>
      </c>
      <c r="B1612" s="2">
        <f>Raw_Transactions!B1612</f>
        <v/>
      </c>
      <c r="C1612" s="2">
        <f>Raw_Transactions!C1612</f>
        <v/>
      </c>
      <c r="D1612" s="3">
        <f>Raw_Transactions!D1612</f>
        <v/>
      </c>
      <c r="E1612" s="2">
        <f>Raw_Transactions!E1612</f>
        <v/>
      </c>
      <c r="F1612" s="2">
        <f>Raw_Transactions!F1612</f>
        <v/>
      </c>
      <c r="G1612" s="2">
        <f>Raw_Transactions!G1612</f>
        <v/>
      </c>
      <c r="H1612" s="2">
        <f>XLOOKUP(B1612,Raw_Risk_Profiles!$A:$A,Raw_Risk_Profiles!$B:$B,"Not Found")</f>
        <v/>
      </c>
      <c r="I1612" s="2">
        <f>XLOOKUP(B1612,Raw_Risk_Profiles!$A:$A,Raw_Risk_Profiles!$C:$C,"Missing")</f>
        <v/>
      </c>
      <c r="J1612" s="2">
        <f>XLOOKUP(B1612,Raw_Risk_Profiles!$A:$A,Raw_Risk_Profiles!$D:$D,"")</f>
        <v/>
      </c>
      <c r="K1612" s="2">
        <f>IFERROR(INDEX(Raw_Risk_Profiles!$E:$E,MATCH(B1612,Raw_Risk_Profiles!$A:$A,0)),"Unknown")</f>
        <v/>
      </c>
      <c r="L1612" s="2">
        <f>IFERROR(XLOOKUP(A1612,Raw_Alerts!$B:$B,Raw_Alerts!$A:$A),"No Alert")</f>
        <v/>
      </c>
      <c r="M1612" s="2">
        <f>IFERROR(XLOOKUP(A1612,Raw_Alerts!$B:$B,Raw_Alerts!$C:$C),"")</f>
        <v/>
      </c>
      <c r="N1612" s="2">
        <f>IFERROR(XLOOKUP(A1612,Raw_Alerts!$B:$B,Raw_Alerts!$D:$D),"")</f>
        <v/>
      </c>
      <c r="O1612" s="2">
        <f>IFERROR(XLOOKUP(A1612,Raw_Alerts!$B:$B,Raw_Alerts!$F:$F),"")</f>
        <v/>
      </c>
      <c r="P1612" s="2">
        <f>IF(H1612="Not Found","CRITICAL: No Risk Profile",IF(I1612="Missing","WARN: Missing KYC",IF(I1612="Expired","WARN: KYC Expired",IF(I1612="Pending","INFO: KYC Pending","OK"))))</f>
        <v/>
      </c>
    </row>
    <row r="1613">
      <c r="A1613" s="4">
        <f>Raw_Transactions!A1613</f>
        <v/>
      </c>
      <c r="B1613" s="4">
        <f>Raw_Transactions!B1613</f>
        <v/>
      </c>
      <c r="C1613" s="4">
        <f>Raw_Transactions!C1613</f>
        <v/>
      </c>
      <c r="D1613" s="5">
        <f>Raw_Transactions!D1613</f>
        <v/>
      </c>
      <c r="E1613" s="4">
        <f>Raw_Transactions!E1613</f>
        <v/>
      </c>
      <c r="F1613" s="4">
        <f>Raw_Transactions!F1613</f>
        <v/>
      </c>
      <c r="G1613" s="4">
        <f>Raw_Transactions!G1613</f>
        <v/>
      </c>
      <c r="H1613" s="4">
        <f>XLOOKUP(B1613,Raw_Risk_Profiles!$A:$A,Raw_Risk_Profiles!$B:$B,"Not Found")</f>
        <v/>
      </c>
      <c r="I1613" s="4">
        <f>XLOOKUP(B1613,Raw_Risk_Profiles!$A:$A,Raw_Risk_Profiles!$C:$C,"Missing")</f>
        <v/>
      </c>
      <c r="J1613" s="4">
        <f>XLOOKUP(B1613,Raw_Risk_Profiles!$A:$A,Raw_Risk_Profiles!$D:$D,"")</f>
        <v/>
      </c>
      <c r="K1613" s="4">
        <f>IFERROR(INDEX(Raw_Risk_Profiles!$E:$E,MATCH(B1613,Raw_Risk_Profiles!$A:$A,0)),"Unknown")</f>
        <v/>
      </c>
      <c r="L1613" s="4">
        <f>IFERROR(XLOOKUP(A1613,Raw_Alerts!$B:$B,Raw_Alerts!$A:$A),"No Alert")</f>
        <v/>
      </c>
      <c r="M1613" s="4">
        <f>IFERROR(XLOOKUP(A1613,Raw_Alerts!$B:$B,Raw_Alerts!$C:$C),"")</f>
        <v/>
      </c>
      <c r="N1613" s="4">
        <f>IFERROR(XLOOKUP(A1613,Raw_Alerts!$B:$B,Raw_Alerts!$D:$D),"")</f>
        <v/>
      </c>
      <c r="O1613" s="4">
        <f>IFERROR(XLOOKUP(A1613,Raw_Alerts!$B:$B,Raw_Alerts!$F:$F),"")</f>
        <v/>
      </c>
      <c r="P1613" s="4">
        <f>IF(H1613="Not Found","CRITICAL: No Risk Profile",IF(I1613="Missing","WARN: Missing KYC",IF(I1613="Expired","WARN: KYC Expired",IF(I1613="Pending","INFO: KYC Pending","OK"))))</f>
        <v/>
      </c>
    </row>
    <row r="1614">
      <c r="A1614" s="2">
        <f>Raw_Transactions!A1614</f>
        <v/>
      </c>
      <c r="B1614" s="2">
        <f>Raw_Transactions!B1614</f>
        <v/>
      </c>
      <c r="C1614" s="2">
        <f>Raw_Transactions!C1614</f>
        <v/>
      </c>
      <c r="D1614" s="3">
        <f>Raw_Transactions!D1614</f>
        <v/>
      </c>
      <c r="E1614" s="2">
        <f>Raw_Transactions!E1614</f>
        <v/>
      </c>
      <c r="F1614" s="2">
        <f>Raw_Transactions!F1614</f>
        <v/>
      </c>
      <c r="G1614" s="2">
        <f>Raw_Transactions!G1614</f>
        <v/>
      </c>
      <c r="H1614" s="2">
        <f>XLOOKUP(B1614,Raw_Risk_Profiles!$A:$A,Raw_Risk_Profiles!$B:$B,"Not Found")</f>
        <v/>
      </c>
      <c r="I1614" s="2">
        <f>XLOOKUP(B1614,Raw_Risk_Profiles!$A:$A,Raw_Risk_Profiles!$C:$C,"Missing")</f>
        <v/>
      </c>
      <c r="J1614" s="2">
        <f>XLOOKUP(B1614,Raw_Risk_Profiles!$A:$A,Raw_Risk_Profiles!$D:$D,"")</f>
        <v/>
      </c>
      <c r="K1614" s="2">
        <f>IFERROR(INDEX(Raw_Risk_Profiles!$E:$E,MATCH(B1614,Raw_Risk_Profiles!$A:$A,0)),"Unknown")</f>
        <v/>
      </c>
      <c r="L1614" s="2">
        <f>IFERROR(XLOOKUP(A1614,Raw_Alerts!$B:$B,Raw_Alerts!$A:$A),"No Alert")</f>
        <v/>
      </c>
      <c r="M1614" s="2">
        <f>IFERROR(XLOOKUP(A1614,Raw_Alerts!$B:$B,Raw_Alerts!$C:$C),"")</f>
        <v/>
      </c>
      <c r="N1614" s="2">
        <f>IFERROR(XLOOKUP(A1614,Raw_Alerts!$B:$B,Raw_Alerts!$D:$D),"")</f>
        <v/>
      </c>
      <c r="O1614" s="2">
        <f>IFERROR(XLOOKUP(A1614,Raw_Alerts!$B:$B,Raw_Alerts!$F:$F),"")</f>
        <v/>
      </c>
      <c r="P1614" s="2">
        <f>IF(H1614="Not Found","CRITICAL: No Risk Profile",IF(I1614="Missing","WARN: Missing KYC",IF(I1614="Expired","WARN: KYC Expired",IF(I1614="Pending","INFO: KYC Pending","OK"))))</f>
        <v/>
      </c>
    </row>
    <row r="1615">
      <c r="A1615" s="4">
        <f>Raw_Transactions!A1615</f>
        <v/>
      </c>
      <c r="B1615" s="4">
        <f>Raw_Transactions!B1615</f>
        <v/>
      </c>
      <c r="C1615" s="4">
        <f>Raw_Transactions!C1615</f>
        <v/>
      </c>
      <c r="D1615" s="5">
        <f>Raw_Transactions!D1615</f>
        <v/>
      </c>
      <c r="E1615" s="4">
        <f>Raw_Transactions!E1615</f>
        <v/>
      </c>
      <c r="F1615" s="4">
        <f>Raw_Transactions!F1615</f>
        <v/>
      </c>
      <c r="G1615" s="4">
        <f>Raw_Transactions!G1615</f>
        <v/>
      </c>
      <c r="H1615" s="4">
        <f>XLOOKUP(B1615,Raw_Risk_Profiles!$A:$A,Raw_Risk_Profiles!$B:$B,"Not Found")</f>
        <v/>
      </c>
      <c r="I1615" s="4">
        <f>XLOOKUP(B1615,Raw_Risk_Profiles!$A:$A,Raw_Risk_Profiles!$C:$C,"Missing")</f>
        <v/>
      </c>
      <c r="J1615" s="4">
        <f>XLOOKUP(B1615,Raw_Risk_Profiles!$A:$A,Raw_Risk_Profiles!$D:$D,"")</f>
        <v/>
      </c>
      <c r="K1615" s="4">
        <f>IFERROR(INDEX(Raw_Risk_Profiles!$E:$E,MATCH(B1615,Raw_Risk_Profiles!$A:$A,0)),"Unknown")</f>
        <v/>
      </c>
      <c r="L1615" s="4">
        <f>IFERROR(XLOOKUP(A1615,Raw_Alerts!$B:$B,Raw_Alerts!$A:$A),"No Alert")</f>
        <v/>
      </c>
      <c r="M1615" s="4">
        <f>IFERROR(XLOOKUP(A1615,Raw_Alerts!$B:$B,Raw_Alerts!$C:$C),"")</f>
        <v/>
      </c>
      <c r="N1615" s="4">
        <f>IFERROR(XLOOKUP(A1615,Raw_Alerts!$B:$B,Raw_Alerts!$D:$D),"")</f>
        <v/>
      </c>
      <c r="O1615" s="4">
        <f>IFERROR(XLOOKUP(A1615,Raw_Alerts!$B:$B,Raw_Alerts!$F:$F),"")</f>
        <v/>
      </c>
      <c r="P1615" s="4">
        <f>IF(H1615="Not Found","CRITICAL: No Risk Profile",IF(I1615="Missing","WARN: Missing KYC",IF(I1615="Expired","WARN: KYC Expired",IF(I1615="Pending","INFO: KYC Pending","OK"))))</f>
        <v/>
      </c>
    </row>
    <row r="1616">
      <c r="A1616" s="2">
        <f>Raw_Transactions!A1616</f>
        <v/>
      </c>
      <c r="B1616" s="2">
        <f>Raw_Transactions!B1616</f>
        <v/>
      </c>
      <c r="C1616" s="2">
        <f>Raw_Transactions!C1616</f>
        <v/>
      </c>
      <c r="D1616" s="3">
        <f>Raw_Transactions!D1616</f>
        <v/>
      </c>
      <c r="E1616" s="2">
        <f>Raw_Transactions!E1616</f>
        <v/>
      </c>
      <c r="F1616" s="2">
        <f>Raw_Transactions!F1616</f>
        <v/>
      </c>
      <c r="G1616" s="2">
        <f>Raw_Transactions!G1616</f>
        <v/>
      </c>
      <c r="H1616" s="2">
        <f>XLOOKUP(B1616,Raw_Risk_Profiles!$A:$A,Raw_Risk_Profiles!$B:$B,"Not Found")</f>
        <v/>
      </c>
      <c r="I1616" s="2">
        <f>XLOOKUP(B1616,Raw_Risk_Profiles!$A:$A,Raw_Risk_Profiles!$C:$C,"Missing")</f>
        <v/>
      </c>
      <c r="J1616" s="2">
        <f>XLOOKUP(B1616,Raw_Risk_Profiles!$A:$A,Raw_Risk_Profiles!$D:$D,"")</f>
        <v/>
      </c>
      <c r="K1616" s="2">
        <f>IFERROR(INDEX(Raw_Risk_Profiles!$E:$E,MATCH(B1616,Raw_Risk_Profiles!$A:$A,0)),"Unknown")</f>
        <v/>
      </c>
      <c r="L1616" s="2">
        <f>IFERROR(XLOOKUP(A1616,Raw_Alerts!$B:$B,Raw_Alerts!$A:$A),"No Alert")</f>
        <v/>
      </c>
      <c r="M1616" s="2">
        <f>IFERROR(XLOOKUP(A1616,Raw_Alerts!$B:$B,Raw_Alerts!$C:$C),"")</f>
        <v/>
      </c>
      <c r="N1616" s="2">
        <f>IFERROR(XLOOKUP(A1616,Raw_Alerts!$B:$B,Raw_Alerts!$D:$D),"")</f>
        <v/>
      </c>
      <c r="O1616" s="2">
        <f>IFERROR(XLOOKUP(A1616,Raw_Alerts!$B:$B,Raw_Alerts!$F:$F),"")</f>
        <v/>
      </c>
      <c r="P1616" s="2">
        <f>IF(H1616="Not Found","CRITICAL: No Risk Profile",IF(I1616="Missing","WARN: Missing KYC",IF(I1616="Expired","WARN: KYC Expired",IF(I1616="Pending","INFO: KYC Pending","OK"))))</f>
        <v/>
      </c>
    </row>
    <row r="1617">
      <c r="A1617" s="4">
        <f>Raw_Transactions!A1617</f>
        <v/>
      </c>
      <c r="B1617" s="4">
        <f>Raw_Transactions!B1617</f>
        <v/>
      </c>
      <c r="C1617" s="4">
        <f>Raw_Transactions!C1617</f>
        <v/>
      </c>
      <c r="D1617" s="5">
        <f>Raw_Transactions!D1617</f>
        <v/>
      </c>
      <c r="E1617" s="4">
        <f>Raw_Transactions!E1617</f>
        <v/>
      </c>
      <c r="F1617" s="4">
        <f>Raw_Transactions!F1617</f>
        <v/>
      </c>
      <c r="G1617" s="4">
        <f>Raw_Transactions!G1617</f>
        <v/>
      </c>
      <c r="H1617" s="4">
        <f>XLOOKUP(B1617,Raw_Risk_Profiles!$A:$A,Raw_Risk_Profiles!$B:$B,"Not Found")</f>
        <v/>
      </c>
      <c r="I1617" s="4">
        <f>XLOOKUP(B1617,Raw_Risk_Profiles!$A:$A,Raw_Risk_Profiles!$C:$C,"Missing")</f>
        <v/>
      </c>
      <c r="J1617" s="4">
        <f>XLOOKUP(B1617,Raw_Risk_Profiles!$A:$A,Raw_Risk_Profiles!$D:$D,"")</f>
        <v/>
      </c>
      <c r="K1617" s="4">
        <f>IFERROR(INDEX(Raw_Risk_Profiles!$E:$E,MATCH(B1617,Raw_Risk_Profiles!$A:$A,0)),"Unknown")</f>
        <v/>
      </c>
      <c r="L1617" s="4">
        <f>IFERROR(XLOOKUP(A1617,Raw_Alerts!$B:$B,Raw_Alerts!$A:$A),"No Alert")</f>
        <v/>
      </c>
      <c r="M1617" s="4">
        <f>IFERROR(XLOOKUP(A1617,Raw_Alerts!$B:$B,Raw_Alerts!$C:$C),"")</f>
        <v/>
      </c>
      <c r="N1617" s="4">
        <f>IFERROR(XLOOKUP(A1617,Raw_Alerts!$B:$B,Raw_Alerts!$D:$D),"")</f>
        <v/>
      </c>
      <c r="O1617" s="4">
        <f>IFERROR(XLOOKUP(A1617,Raw_Alerts!$B:$B,Raw_Alerts!$F:$F),"")</f>
        <v/>
      </c>
      <c r="P1617" s="4">
        <f>IF(H1617="Not Found","CRITICAL: No Risk Profile",IF(I1617="Missing","WARN: Missing KYC",IF(I1617="Expired","WARN: KYC Expired",IF(I1617="Pending","INFO: KYC Pending","OK"))))</f>
        <v/>
      </c>
    </row>
    <row r="1618">
      <c r="A1618" s="2">
        <f>Raw_Transactions!A1618</f>
        <v/>
      </c>
      <c r="B1618" s="2">
        <f>Raw_Transactions!B1618</f>
        <v/>
      </c>
      <c r="C1618" s="2">
        <f>Raw_Transactions!C1618</f>
        <v/>
      </c>
      <c r="D1618" s="3">
        <f>Raw_Transactions!D1618</f>
        <v/>
      </c>
      <c r="E1618" s="2">
        <f>Raw_Transactions!E1618</f>
        <v/>
      </c>
      <c r="F1618" s="2">
        <f>Raw_Transactions!F1618</f>
        <v/>
      </c>
      <c r="G1618" s="2">
        <f>Raw_Transactions!G1618</f>
        <v/>
      </c>
      <c r="H1618" s="2">
        <f>XLOOKUP(B1618,Raw_Risk_Profiles!$A:$A,Raw_Risk_Profiles!$B:$B,"Not Found")</f>
        <v/>
      </c>
      <c r="I1618" s="2">
        <f>XLOOKUP(B1618,Raw_Risk_Profiles!$A:$A,Raw_Risk_Profiles!$C:$C,"Missing")</f>
        <v/>
      </c>
      <c r="J1618" s="2">
        <f>XLOOKUP(B1618,Raw_Risk_Profiles!$A:$A,Raw_Risk_Profiles!$D:$D,"")</f>
        <v/>
      </c>
      <c r="K1618" s="2">
        <f>IFERROR(INDEX(Raw_Risk_Profiles!$E:$E,MATCH(B1618,Raw_Risk_Profiles!$A:$A,0)),"Unknown")</f>
        <v/>
      </c>
      <c r="L1618" s="2">
        <f>IFERROR(XLOOKUP(A1618,Raw_Alerts!$B:$B,Raw_Alerts!$A:$A),"No Alert")</f>
        <v/>
      </c>
      <c r="M1618" s="2">
        <f>IFERROR(XLOOKUP(A1618,Raw_Alerts!$B:$B,Raw_Alerts!$C:$C),"")</f>
        <v/>
      </c>
      <c r="N1618" s="2">
        <f>IFERROR(XLOOKUP(A1618,Raw_Alerts!$B:$B,Raw_Alerts!$D:$D),"")</f>
        <v/>
      </c>
      <c r="O1618" s="2">
        <f>IFERROR(XLOOKUP(A1618,Raw_Alerts!$B:$B,Raw_Alerts!$F:$F),"")</f>
        <v/>
      </c>
      <c r="P1618" s="2">
        <f>IF(H1618="Not Found","CRITICAL: No Risk Profile",IF(I1618="Missing","WARN: Missing KYC",IF(I1618="Expired","WARN: KYC Expired",IF(I1618="Pending","INFO: KYC Pending","OK"))))</f>
        <v/>
      </c>
    </row>
    <row r="1619">
      <c r="A1619" s="4">
        <f>Raw_Transactions!A1619</f>
        <v/>
      </c>
      <c r="B1619" s="4">
        <f>Raw_Transactions!B1619</f>
        <v/>
      </c>
      <c r="C1619" s="4">
        <f>Raw_Transactions!C1619</f>
        <v/>
      </c>
      <c r="D1619" s="5">
        <f>Raw_Transactions!D1619</f>
        <v/>
      </c>
      <c r="E1619" s="4">
        <f>Raw_Transactions!E1619</f>
        <v/>
      </c>
      <c r="F1619" s="4">
        <f>Raw_Transactions!F1619</f>
        <v/>
      </c>
      <c r="G1619" s="4">
        <f>Raw_Transactions!G1619</f>
        <v/>
      </c>
      <c r="H1619" s="4">
        <f>XLOOKUP(B1619,Raw_Risk_Profiles!$A:$A,Raw_Risk_Profiles!$B:$B,"Not Found")</f>
        <v/>
      </c>
      <c r="I1619" s="4">
        <f>XLOOKUP(B1619,Raw_Risk_Profiles!$A:$A,Raw_Risk_Profiles!$C:$C,"Missing")</f>
        <v/>
      </c>
      <c r="J1619" s="4">
        <f>XLOOKUP(B1619,Raw_Risk_Profiles!$A:$A,Raw_Risk_Profiles!$D:$D,"")</f>
        <v/>
      </c>
      <c r="K1619" s="4">
        <f>IFERROR(INDEX(Raw_Risk_Profiles!$E:$E,MATCH(B1619,Raw_Risk_Profiles!$A:$A,0)),"Unknown")</f>
        <v/>
      </c>
      <c r="L1619" s="4">
        <f>IFERROR(XLOOKUP(A1619,Raw_Alerts!$B:$B,Raw_Alerts!$A:$A),"No Alert")</f>
        <v/>
      </c>
      <c r="M1619" s="4">
        <f>IFERROR(XLOOKUP(A1619,Raw_Alerts!$B:$B,Raw_Alerts!$C:$C),"")</f>
        <v/>
      </c>
      <c r="N1619" s="4">
        <f>IFERROR(XLOOKUP(A1619,Raw_Alerts!$B:$B,Raw_Alerts!$D:$D),"")</f>
        <v/>
      </c>
      <c r="O1619" s="4">
        <f>IFERROR(XLOOKUP(A1619,Raw_Alerts!$B:$B,Raw_Alerts!$F:$F),"")</f>
        <v/>
      </c>
      <c r="P1619" s="4">
        <f>IF(H1619="Not Found","CRITICAL: No Risk Profile",IF(I1619="Missing","WARN: Missing KYC",IF(I1619="Expired","WARN: KYC Expired",IF(I1619="Pending","INFO: KYC Pending","OK"))))</f>
        <v/>
      </c>
    </row>
    <row r="1620">
      <c r="A1620" s="2">
        <f>Raw_Transactions!A1620</f>
        <v/>
      </c>
      <c r="B1620" s="2">
        <f>Raw_Transactions!B1620</f>
        <v/>
      </c>
      <c r="C1620" s="2">
        <f>Raw_Transactions!C1620</f>
        <v/>
      </c>
      <c r="D1620" s="3">
        <f>Raw_Transactions!D1620</f>
        <v/>
      </c>
      <c r="E1620" s="2">
        <f>Raw_Transactions!E1620</f>
        <v/>
      </c>
      <c r="F1620" s="2">
        <f>Raw_Transactions!F1620</f>
        <v/>
      </c>
      <c r="G1620" s="2">
        <f>Raw_Transactions!G1620</f>
        <v/>
      </c>
      <c r="H1620" s="2">
        <f>XLOOKUP(B1620,Raw_Risk_Profiles!$A:$A,Raw_Risk_Profiles!$B:$B,"Not Found")</f>
        <v/>
      </c>
      <c r="I1620" s="2">
        <f>XLOOKUP(B1620,Raw_Risk_Profiles!$A:$A,Raw_Risk_Profiles!$C:$C,"Missing")</f>
        <v/>
      </c>
      <c r="J1620" s="2">
        <f>XLOOKUP(B1620,Raw_Risk_Profiles!$A:$A,Raw_Risk_Profiles!$D:$D,"")</f>
        <v/>
      </c>
      <c r="K1620" s="2">
        <f>IFERROR(INDEX(Raw_Risk_Profiles!$E:$E,MATCH(B1620,Raw_Risk_Profiles!$A:$A,0)),"Unknown")</f>
        <v/>
      </c>
      <c r="L1620" s="2">
        <f>IFERROR(XLOOKUP(A1620,Raw_Alerts!$B:$B,Raw_Alerts!$A:$A),"No Alert")</f>
        <v/>
      </c>
      <c r="M1620" s="2">
        <f>IFERROR(XLOOKUP(A1620,Raw_Alerts!$B:$B,Raw_Alerts!$C:$C),"")</f>
        <v/>
      </c>
      <c r="N1620" s="2">
        <f>IFERROR(XLOOKUP(A1620,Raw_Alerts!$B:$B,Raw_Alerts!$D:$D),"")</f>
        <v/>
      </c>
      <c r="O1620" s="2">
        <f>IFERROR(XLOOKUP(A1620,Raw_Alerts!$B:$B,Raw_Alerts!$F:$F),"")</f>
        <v/>
      </c>
      <c r="P1620" s="2">
        <f>IF(H1620="Not Found","CRITICAL: No Risk Profile",IF(I1620="Missing","WARN: Missing KYC",IF(I1620="Expired","WARN: KYC Expired",IF(I1620="Pending","INFO: KYC Pending","OK"))))</f>
        <v/>
      </c>
    </row>
    <row r="1621">
      <c r="A1621" s="4">
        <f>Raw_Transactions!A1621</f>
        <v/>
      </c>
      <c r="B1621" s="4">
        <f>Raw_Transactions!B1621</f>
        <v/>
      </c>
      <c r="C1621" s="4">
        <f>Raw_Transactions!C1621</f>
        <v/>
      </c>
      <c r="D1621" s="5">
        <f>Raw_Transactions!D1621</f>
        <v/>
      </c>
      <c r="E1621" s="4">
        <f>Raw_Transactions!E1621</f>
        <v/>
      </c>
      <c r="F1621" s="4">
        <f>Raw_Transactions!F1621</f>
        <v/>
      </c>
      <c r="G1621" s="4">
        <f>Raw_Transactions!G1621</f>
        <v/>
      </c>
      <c r="H1621" s="4">
        <f>XLOOKUP(B1621,Raw_Risk_Profiles!$A:$A,Raw_Risk_Profiles!$B:$B,"Not Found")</f>
        <v/>
      </c>
      <c r="I1621" s="4">
        <f>XLOOKUP(B1621,Raw_Risk_Profiles!$A:$A,Raw_Risk_Profiles!$C:$C,"Missing")</f>
        <v/>
      </c>
      <c r="J1621" s="4">
        <f>XLOOKUP(B1621,Raw_Risk_Profiles!$A:$A,Raw_Risk_Profiles!$D:$D,"")</f>
        <v/>
      </c>
      <c r="K1621" s="4">
        <f>IFERROR(INDEX(Raw_Risk_Profiles!$E:$E,MATCH(B1621,Raw_Risk_Profiles!$A:$A,0)),"Unknown")</f>
        <v/>
      </c>
      <c r="L1621" s="4">
        <f>IFERROR(XLOOKUP(A1621,Raw_Alerts!$B:$B,Raw_Alerts!$A:$A),"No Alert")</f>
        <v/>
      </c>
      <c r="M1621" s="4">
        <f>IFERROR(XLOOKUP(A1621,Raw_Alerts!$B:$B,Raw_Alerts!$C:$C),"")</f>
        <v/>
      </c>
      <c r="N1621" s="4">
        <f>IFERROR(XLOOKUP(A1621,Raw_Alerts!$B:$B,Raw_Alerts!$D:$D),"")</f>
        <v/>
      </c>
      <c r="O1621" s="4">
        <f>IFERROR(XLOOKUP(A1621,Raw_Alerts!$B:$B,Raw_Alerts!$F:$F),"")</f>
        <v/>
      </c>
      <c r="P1621" s="4">
        <f>IF(H1621="Not Found","CRITICAL: No Risk Profile",IF(I1621="Missing","WARN: Missing KYC",IF(I1621="Expired","WARN: KYC Expired",IF(I1621="Pending","INFO: KYC Pending","OK"))))</f>
        <v/>
      </c>
    </row>
    <row r="1622">
      <c r="A1622" s="2">
        <f>Raw_Transactions!A1622</f>
        <v/>
      </c>
      <c r="B1622" s="2">
        <f>Raw_Transactions!B1622</f>
        <v/>
      </c>
      <c r="C1622" s="2">
        <f>Raw_Transactions!C1622</f>
        <v/>
      </c>
      <c r="D1622" s="3">
        <f>Raw_Transactions!D1622</f>
        <v/>
      </c>
      <c r="E1622" s="2">
        <f>Raw_Transactions!E1622</f>
        <v/>
      </c>
      <c r="F1622" s="2">
        <f>Raw_Transactions!F1622</f>
        <v/>
      </c>
      <c r="G1622" s="2">
        <f>Raw_Transactions!G1622</f>
        <v/>
      </c>
      <c r="H1622" s="2">
        <f>XLOOKUP(B1622,Raw_Risk_Profiles!$A:$A,Raw_Risk_Profiles!$B:$B,"Not Found")</f>
        <v/>
      </c>
      <c r="I1622" s="2">
        <f>XLOOKUP(B1622,Raw_Risk_Profiles!$A:$A,Raw_Risk_Profiles!$C:$C,"Missing")</f>
        <v/>
      </c>
      <c r="J1622" s="2">
        <f>XLOOKUP(B1622,Raw_Risk_Profiles!$A:$A,Raw_Risk_Profiles!$D:$D,"")</f>
        <v/>
      </c>
      <c r="K1622" s="2">
        <f>IFERROR(INDEX(Raw_Risk_Profiles!$E:$E,MATCH(B1622,Raw_Risk_Profiles!$A:$A,0)),"Unknown")</f>
        <v/>
      </c>
      <c r="L1622" s="2">
        <f>IFERROR(XLOOKUP(A1622,Raw_Alerts!$B:$B,Raw_Alerts!$A:$A),"No Alert")</f>
        <v/>
      </c>
      <c r="M1622" s="2">
        <f>IFERROR(XLOOKUP(A1622,Raw_Alerts!$B:$B,Raw_Alerts!$C:$C),"")</f>
        <v/>
      </c>
      <c r="N1622" s="2">
        <f>IFERROR(XLOOKUP(A1622,Raw_Alerts!$B:$B,Raw_Alerts!$D:$D),"")</f>
        <v/>
      </c>
      <c r="O1622" s="2">
        <f>IFERROR(XLOOKUP(A1622,Raw_Alerts!$B:$B,Raw_Alerts!$F:$F),"")</f>
        <v/>
      </c>
      <c r="P1622" s="2">
        <f>IF(H1622="Not Found","CRITICAL: No Risk Profile",IF(I1622="Missing","WARN: Missing KYC",IF(I1622="Expired","WARN: KYC Expired",IF(I1622="Pending","INFO: KYC Pending","OK"))))</f>
        <v/>
      </c>
    </row>
    <row r="1623">
      <c r="A1623" s="4">
        <f>Raw_Transactions!A1623</f>
        <v/>
      </c>
      <c r="B1623" s="4">
        <f>Raw_Transactions!B1623</f>
        <v/>
      </c>
      <c r="C1623" s="4">
        <f>Raw_Transactions!C1623</f>
        <v/>
      </c>
      <c r="D1623" s="5">
        <f>Raw_Transactions!D1623</f>
        <v/>
      </c>
      <c r="E1623" s="4">
        <f>Raw_Transactions!E1623</f>
        <v/>
      </c>
      <c r="F1623" s="4">
        <f>Raw_Transactions!F1623</f>
        <v/>
      </c>
      <c r="G1623" s="4">
        <f>Raw_Transactions!G1623</f>
        <v/>
      </c>
      <c r="H1623" s="4">
        <f>XLOOKUP(B1623,Raw_Risk_Profiles!$A:$A,Raw_Risk_Profiles!$B:$B,"Not Found")</f>
        <v/>
      </c>
      <c r="I1623" s="4">
        <f>XLOOKUP(B1623,Raw_Risk_Profiles!$A:$A,Raw_Risk_Profiles!$C:$C,"Missing")</f>
        <v/>
      </c>
      <c r="J1623" s="4">
        <f>XLOOKUP(B1623,Raw_Risk_Profiles!$A:$A,Raw_Risk_Profiles!$D:$D,"")</f>
        <v/>
      </c>
      <c r="K1623" s="4">
        <f>IFERROR(INDEX(Raw_Risk_Profiles!$E:$E,MATCH(B1623,Raw_Risk_Profiles!$A:$A,0)),"Unknown")</f>
        <v/>
      </c>
      <c r="L1623" s="4">
        <f>IFERROR(XLOOKUP(A1623,Raw_Alerts!$B:$B,Raw_Alerts!$A:$A),"No Alert")</f>
        <v/>
      </c>
      <c r="M1623" s="4">
        <f>IFERROR(XLOOKUP(A1623,Raw_Alerts!$B:$B,Raw_Alerts!$C:$C),"")</f>
        <v/>
      </c>
      <c r="N1623" s="4">
        <f>IFERROR(XLOOKUP(A1623,Raw_Alerts!$B:$B,Raw_Alerts!$D:$D),"")</f>
        <v/>
      </c>
      <c r="O1623" s="4">
        <f>IFERROR(XLOOKUP(A1623,Raw_Alerts!$B:$B,Raw_Alerts!$F:$F),"")</f>
        <v/>
      </c>
      <c r="P1623" s="4">
        <f>IF(H1623="Not Found","CRITICAL: No Risk Profile",IF(I1623="Missing","WARN: Missing KYC",IF(I1623="Expired","WARN: KYC Expired",IF(I1623="Pending","INFO: KYC Pending","OK"))))</f>
        <v/>
      </c>
    </row>
    <row r="1624">
      <c r="A1624" s="2">
        <f>Raw_Transactions!A1624</f>
        <v/>
      </c>
      <c r="B1624" s="2">
        <f>Raw_Transactions!B1624</f>
        <v/>
      </c>
      <c r="C1624" s="2">
        <f>Raw_Transactions!C1624</f>
        <v/>
      </c>
      <c r="D1624" s="3">
        <f>Raw_Transactions!D1624</f>
        <v/>
      </c>
      <c r="E1624" s="2">
        <f>Raw_Transactions!E1624</f>
        <v/>
      </c>
      <c r="F1624" s="2">
        <f>Raw_Transactions!F1624</f>
        <v/>
      </c>
      <c r="G1624" s="2">
        <f>Raw_Transactions!G1624</f>
        <v/>
      </c>
      <c r="H1624" s="2">
        <f>XLOOKUP(B1624,Raw_Risk_Profiles!$A:$A,Raw_Risk_Profiles!$B:$B,"Not Found")</f>
        <v/>
      </c>
      <c r="I1624" s="2">
        <f>XLOOKUP(B1624,Raw_Risk_Profiles!$A:$A,Raw_Risk_Profiles!$C:$C,"Missing")</f>
        <v/>
      </c>
      <c r="J1624" s="2">
        <f>XLOOKUP(B1624,Raw_Risk_Profiles!$A:$A,Raw_Risk_Profiles!$D:$D,"")</f>
        <v/>
      </c>
      <c r="K1624" s="2">
        <f>IFERROR(INDEX(Raw_Risk_Profiles!$E:$E,MATCH(B1624,Raw_Risk_Profiles!$A:$A,0)),"Unknown")</f>
        <v/>
      </c>
      <c r="L1624" s="2">
        <f>IFERROR(XLOOKUP(A1624,Raw_Alerts!$B:$B,Raw_Alerts!$A:$A),"No Alert")</f>
        <v/>
      </c>
      <c r="M1624" s="2">
        <f>IFERROR(XLOOKUP(A1624,Raw_Alerts!$B:$B,Raw_Alerts!$C:$C),"")</f>
        <v/>
      </c>
      <c r="N1624" s="2">
        <f>IFERROR(XLOOKUP(A1624,Raw_Alerts!$B:$B,Raw_Alerts!$D:$D),"")</f>
        <v/>
      </c>
      <c r="O1624" s="2">
        <f>IFERROR(XLOOKUP(A1624,Raw_Alerts!$B:$B,Raw_Alerts!$F:$F),"")</f>
        <v/>
      </c>
      <c r="P1624" s="2">
        <f>IF(H1624="Not Found","CRITICAL: No Risk Profile",IF(I1624="Missing","WARN: Missing KYC",IF(I1624="Expired","WARN: KYC Expired",IF(I1624="Pending","INFO: KYC Pending","OK"))))</f>
        <v/>
      </c>
    </row>
    <row r="1625">
      <c r="A1625" s="4">
        <f>Raw_Transactions!A1625</f>
        <v/>
      </c>
      <c r="B1625" s="4">
        <f>Raw_Transactions!B1625</f>
        <v/>
      </c>
      <c r="C1625" s="4">
        <f>Raw_Transactions!C1625</f>
        <v/>
      </c>
      <c r="D1625" s="5">
        <f>Raw_Transactions!D1625</f>
        <v/>
      </c>
      <c r="E1625" s="4">
        <f>Raw_Transactions!E1625</f>
        <v/>
      </c>
      <c r="F1625" s="4">
        <f>Raw_Transactions!F1625</f>
        <v/>
      </c>
      <c r="G1625" s="4">
        <f>Raw_Transactions!G1625</f>
        <v/>
      </c>
      <c r="H1625" s="4">
        <f>XLOOKUP(B1625,Raw_Risk_Profiles!$A:$A,Raw_Risk_Profiles!$B:$B,"Not Found")</f>
        <v/>
      </c>
      <c r="I1625" s="4">
        <f>XLOOKUP(B1625,Raw_Risk_Profiles!$A:$A,Raw_Risk_Profiles!$C:$C,"Missing")</f>
        <v/>
      </c>
      <c r="J1625" s="4">
        <f>XLOOKUP(B1625,Raw_Risk_Profiles!$A:$A,Raw_Risk_Profiles!$D:$D,"")</f>
        <v/>
      </c>
      <c r="K1625" s="4">
        <f>IFERROR(INDEX(Raw_Risk_Profiles!$E:$E,MATCH(B1625,Raw_Risk_Profiles!$A:$A,0)),"Unknown")</f>
        <v/>
      </c>
      <c r="L1625" s="4">
        <f>IFERROR(XLOOKUP(A1625,Raw_Alerts!$B:$B,Raw_Alerts!$A:$A),"No Alert")</f>
        <v/>
      </c>
      <c r="M1625" s="4">
        <f>IFERROR(XLOOKUP(A1625,Raw_Alerts!$B:$B,Raw_Alerts!$C:$C),"")</f>
        <v/>
      </c>
      <c r="N1625" s="4">
        <f>IFERROR(XLOOKUP(A1625,Raw_Alerts!$B:$B,Raw_Alerts!$D:$D),"")</f>
        <v/>
      </c>
      <c r="O1625" s="4">
        <f>IFERROR(XLOOKUP(A1625,Raw_Alerts!$B:$B,Raw_Alerts!$F:$F),"")</f>
        <v/>
      </c>
      <c r="P1625" s="4">
        <f>IF(H1625="Not Found","CRITICAL: No Risk Profile",IF(I1625="Missing","WARN: Missing KYC",IF(I1625="Expired","WARN: KYC Expired",IF(I1625="Pending","INFO: KYC Pending","OK"))))</f>
        <v/>
      </c>
    </row>
    <row r="1626">
      <c r="A1626" s="2">
        <f>Raw_Transactions!A1626</f>
        <v/>
      </c>
      <c r="B1626" s="2">
        <f>Raw_Transactions!B1626</f>
        <v/>
      </c>
      <c r="C1626" s="2">
        <f>Raw_Transactions!C1626</f>
        <v/>
      </c>
      <c r="D1626" s="3">
        <f>Raw_Transactions!D1626</f>
        <v/>
      </c>
      <c r="E1626" s="2">
        <f>Raw_Transactions!E1626</f>
        <v/>
      </c>
      <c r="F1626" s="2">
        <f>Raw_Transactions!F1626</f>
        <v/>
      </c>
      <c r="G1626" s="2">
        <f>Raw_Transactions!G1626</f>
        <v/>
      </c>
      <c r="H1626" s="2">
        <f>XLOOKUP(B1626,Raw_Risk_Profiles!$A:$A,Raw_Risk_Profiles!$B:$B,"Not Found")</f>
        <v/>
      </c>
      <c r="I1626" s="2">
        <f>XLOOKUP(B1626,Raw_Risk_Profiles!$A:$A,Raw_Risk_Profiles!$C:$C,"Missing")</f>
        <v/>
      </c>
      <c r="J1626" s="2">
        <f>XLOOKUP(B1626,Raw_Risk_Profiles!$A:$A,Raw_Risk_Profiles!$D:$D,"")</f>
        <v/>
      </c>
      <c r="K1626" s="2">
        <f>IFERROR(INDEX(Raw_Risk_Profiles!$E:$E,MATCH(B1626,Raw_Risk_Profiles!$A:$A,0)),"Unknown")</f>
        <v/>
      </c>
      <c r="L1626" s="2">
        <f>IFERROR(XLOOKUP(A1626,Raw_Alerts!$B:$B,Raw_Alerts!$A:$A),"No Alert")</f>
        <v/>
      </c>
      <c r="M1626" s="2">
        <f>IFERROR(XLOOKUP(A1626,Raw_Alerts!$B:$B,Raw_Alerts!$C:$C),"")</f>
        <v/>
      </c>
      <c r="N1626" s="2">
        <f>IFERROR(XLOOKUP(A1626,Raw_Alerts!$B:$B,Raw_Alerts!$D:$D),"")</f>
        <v/>
      </c>
      <c r="O1626" s="2">
        <f>IFERROR(XLOOKUP(A1626,Raw_Alerts!$B:$B,Raw_Alerts!$F:$F),"")</f>
        <v/>
      </c>
      <c r="P1626" s="2">
        <f>IF(H1626="Not Found","CRITICAL: No Risk Profile",IF(I1626="Missing","WARN: Missing KYC",IF(I1626="Expired","WARN: KYC Expired",IF(I1626="Pending","INFO: KYC Pending","OK"))))</f>
        <v/>
      </c>
    </row>
    <row r="1627">
      <c r="A1627" s="4">
        <f>Raw_Transactions!A1627</f>
        <v/>
      </c>
      <c r="B1627" s="4">
        <f>Raw_Transactions!B1627</f>
        <v/>
      </c>
      <c r="C1627" s="4">
        <f>Raw_Transactions!C1627</f>
        <v/>
      </c>
      <c r="D1627" s="5">
        <f>Raw_Transactions!D1627</f>
        <v/>
      </c>
      <c r="E1627" s="4">
        <f>Raw_Transactions!E1627</f>
        <v/>
      </c>
      <c r="F1627" s="4">
        <f>Raw_Transactions!F1627</f>
        <v/>
      </c>
      <c r="G1627" s="4">
        <f>Raw_Transactions!G1627</f>
        <v/>
      </c>
      <c r="H1627" s="4">
        <f>XLOOKUP(B1627,Raw_Risk_Profiles!$A:$A,Raw_Risk_Profiles!$B:$B,"Not Found")</f>
        <v/>
      </c>
      <c r="I1627" s="4">
        <f>XLOOKUP(B1627,Raw_Risk_Profiles!$A:$A,Raw_Risk_Profiles!$C:$C,"Missing")</f>
        <v/>
      </c>
      <c r="J1627" s="4">
        <f>XLOOKUP(B1627,Raw_Risk_Profiles!$A:$A,Raw_Risk_Profiles!$D:$D,"")</f>
        <v/>
      </c>
      <c r="K1627" s="4">
        <f>IFERROR(INDEX(Raw_Risk_Profiles!$E:$E,MATCH(B1627,Raw_Risk_Profiles!$A:$A,0)),"Unknown")</f>
        <v/>
      </c>
      <c r="L1627" s="4">
        <f>IFERROR(XLOOKUP(A1627,Raw_Alerts!$B:$B,Raw_Alerts!$A:$A),"No Alert")</f>
        <v/>
      </c>
      <c r="M1627" s="4">
        <f>IFERROR(XLOOKUP(A1627,Raw_Alerts!$B:$B,Raw_Alerts!$C:$C),"")</f>
        <v/>
      </c>
      <c r="N1627" s="4">
        <f>IFERROR(XLOOKUP(A1627,Raw_Alerts!$B:$B,Raw_Alerts!$D:$D),"")</f>
        <v/>
      </c>
      <c r="O1627" s="4">
        <f>IFERROR(XLOOKUP(A1627,Raw_Alerts!$B:$B,Raw_Alerts!$F:$F),"")</f>
        <v/>
      </c>
      <c r="P1627" s="4">
        <f>IF(H1627="Not Found","CRITICAL: No Risk Profile",IF(I1627="Missing","WARN: Missing KYC",IF(I1627="Expired","WARN: KYC Expired",IF(I1627="Pending","INFO: KYC Pending","OK"))))</f>
        <v/>
      </c>
    </row>
    <row r="1628">
      <c r="A1628" s="2">
        <f>Raw_Transactions!A1628</f>
        <v/>
      </c>
      <c r="B1628" s="2">
        <f>Raw_Transactions!B1628</f>
        <v/>
      </c>
      <c r="C1628" s="2">
        <f>Raw_Transactions!C1628</f>
        <v/>
      </c>
      <c r="D1628" s="3">
        <f>Raw_Transactions!D1628</f>
        <v/>
      </c>
      <c r="E1628" s="2">
        <f>Raw_Transactions!E1628</f>
        <v/>
      </c>
      <c r="F1628" s="2">
        <f>Raw_Transactions!F1628</f>
        <v/>
      </c>
      <c r="G1628" s="2">
        <f>Raw_Transactions!G1628</f>
        <v/>
      </c>
      <c r="H1628" s="2">
        <f>XLOOKUP(B1628,Raw_Risk_Profiles!$A:$A,Raw_Risk_Profiles!$B:$B,"Not Found")</f>
        <v/>
      </c>
      <c r="I1628" s="2">
        <f>XLOOKUP(B1628,Raw_Risk_Profiles!$A:$A,Raw_Risk_Profiles!$C:$C,"Missing")</f>
        <v/>
      </c>
      <c r="J1628" s="2">
        <f>XLOOKUP(B1628,Raw_Risk_Profiles!$A:$A,Raw_Risk_Profiles!$D:$D,"")</f>
        <v/>
      </c>
      <c r="K1628" s="2">
        <f>IFERROR(INDEX(Raw_Risk_Profiles!$E:$E,MATCH(B1628,Raw_Risk_Profiles!$A:$A,0)),"Unknown")</f>
        <v/>
      </c>
      <c r="L1628" s="2">
        <f>IFERROR(XLOOKUP(A1628,Raw_Alerts!$B:$B,Raw_Alerts!$A:$A),"No Alert")</f>
        <v/>
      </c>
      <c r="M1628" s="2">
        <f>IFERROR(XLOOKUP(A1628,Raw_Alerts!$B:$B,Raw_Alerts!$C:$C),"")</f>
        <v/>
      </c>
      <c r="N1628" s="2">
        <f>IFERROR(XLOOKUP(A1628,Raw_Alerts!$B:$B,Raw_Alerts!$D:$D),"")</f>
        <v/>
      </c>
      <c r="O1628" s="2">
        <f>IFERROR(XLOOKUP(A1628,Raw_Alerts!$B:$B,Raw_Alerts!$F:$F),"")</f>
        <v/>
      </c>
      <c r="P1628" s="2">
        <f>IF(H1628="Not Found","CRITICAL: No Risk Profile",IF(I1628="Missing","WARN: Missing KYC",IF(I1628="Expired","WARN: KYC Expired",IF(I1628="Pending","INFO: KYC Pending","OK"))))</f>
        <v/>
      </c>
    </row>
    <row r="1629">
      <c r="A1629" s="4">
        <f>Raw_Transactions!A1629</f>
        <v/>
      </c>
      <c r="B1629" s="4">
        <f>Raw_Transactions!B1629</f>
        <v/>
      </c>
      <c r="C1629" s="4">
        <f>Raw_Transactions!C1629</f>
        <v/>
      </c>
      <c r="D1629" s="5">
        <f>Raw_Transactions!D1629</f>
        <v/>
      </c>
      <c r="E1629" s="4">
        <f>Raw_Transactions!E1629</f>
        <v/>
      </c>
      <c r="F1629" s="4">
        <f>Raw_Transactions!F1629</f>
        <v/>
      </c>
      <c r="G1629" s="4">
        <f>Raw_Transactions!G1629</f>
        <v/>
      </c>
      <c r="H1629" s="4">
        <f>XLOOKUP(B1629,Raw_Risk_Profiles!$A:$A,Raw_Risk_Profiles!$B:$B,"Not Found")</f>
        <v/>
      </c>
      <c r="I1629" s="4">
        <f>XLOOKUP(B1629,Raw_Risk_Profiles!$A:$A,Raw_Risk_Profiles!$C:$C,"Missing")</f>
        <v/>
      </c>
      <c r="J1629" s="4">
        <f>XLOOKUP(B1629,Raw_Risk_Profiles!$A:$A,Raw_Risk_Profiles!$D:$D,"")</f>
        <v/>
      </c>
      <c r="K1629" s="4">
        <f>IFERROR(INDEX(Raw_Risk_Profiles!$E:$E,MATCH(B1629,Raw_Risk_Profiles!$A:$A,0)),"Unknown")</f>
        <v/>
      </c>
      <c r="L1629" s="4">
        <f>IFERROR(XLOOKUP(A1629,Raw_Alerts!$B:$B,Raw_Alerts!$A:$A),"No Alert")</f>
        <v/>
      </c>
      <c r="M1629" s="4">
        <f>IFERROR(XLOOKUP(A1629,Raw_Alerts!$B:$B,Raw_Alerts!$C:$C),"")</f>
        <v/>
      </c>
      <c r="N1629" s="4">
        <f>IFERROR(XLOOKUP(A1629,Raw_Alerts!$B:$B,Raw_Alerts!$D:$D),"")</f>
        <v/>
      </c>
      <c r="O1629" s="4">
        <f>IFERROR(XLOOKUP(A1629,Raw_Alerts!$B:$B,Raw_Alerts!$F:$F),"")</f>
        <v/>
      </c>
      <c r="P1629" s="4">
        <f>IF(H1629="Not Found","CRITICAL: No Risk Profile",IF(I1629="Missing","WARN: Missing KYC",IF(I1629="Expired","WARN: KYC Expired",IF(I1629="Pending","INFO: KYC Pending","OK"))))</f>
        <v/>
      </c>
    </row>
    <row r="1630">
      <c r="A1630" s="2">
        <f>Raw_Transactions!A1630</f>
        <v/>
      </c>
      <c r="B1630" s="2">
        <f>Raw_Transactions!B1630</f>
        <v/>
      </c>
      <c r="C1630" s="2">
        <f>Raw_Transactions!C1630</f>
        <v/>
      </c>
      <c r="D1630" s="3">
        <f>Raw_Transactions!D1630</f>
        <v/>
      </c>
      <c r="E1630" s="2">
        <f>Raw_Transactions!E1630</f>
        <v/>
      </c>
      <c r="F1630" s="2">
        <f>Raw_Transactions!F1630</f>
        <v/>
      </c>
      <c r="G1630" s="2">
        <f>Raw_Transactions!G1630</f>
        <v/>
      </c>
      <c r="H1630" s="2">
        <f>XLOOKUP(B1630,Raw_Risk_Profiles!$A:$A,Raw_Risk_Profiles!$B:$B,"Not Found")</f>
        <v/>
      </c>
      <c r="I1630" s="2">
        <f>XLOOKUP(B1630,Raw_Risk_Profiles!$A:$A,Raw_Risk_Profiles!$C:$C,"Missing")</f>
        <v/>
      </c>
      <c r="J1630" s="2">
        <f>XLOOKUP(B1630,Raw_Risk_Profiles!$A:$A,Raw_Risk_Profiles!$D:$D,"")</f>
        <v/>
      </c>
      <c r="K1630" s="2">
        <f>IFERROR(INDEX(Raw_Risk_Profiles!$E:$E,MATCH(B1630,Raw_Risk_Profiles!$A:$A,0)),"Unknown")</f>
        <v/>
      </c>
      <c r="L1630" s="2">
        <f>IFERROR(XLOOKUP(A1630,Raw_Alerts!$B:$B,Raw_Alerts!$A:$A),"No Alert")</f>
        <v/>
      </c>
      <c r="M1630" s="2">
        <f>IFERROR(XLOOKUP(A1630,Raw_Alerts!$B:$B,Raw_Alerts!$C:$C),"")</f>
        <v/>
      </c>
      <c r="N1630" s="2">
        <f>IFERROR(XLOOKUP(A1630,Raw_Alerts!$B:$B,Raw_Alerts!$D:$D),"")</f>
        <v/>
      </c>
      <c r="O1630" s="2">
        <f>IFERROR(XLOOKUP(A1630,Raw_Alerts!$B:$B,Raw_Alerts!$F:$F),"")</f>
        <v/>
      </c>
      <c r="P1630" s="2">
        <f>IF(H1630="Not Found","CRITICAL: No Risk Profile",IF(I1630="Missing","WARN: Missing KYC",IF(I1630="Expired","WARN: KYC Expired",IF(I1630="Pending","INFO: KYC Pending","OK"))))</f>
        <v/>
      </c>
    </row>
    <row r="1631">
      <c r="A1631" s="4">
        <f>Raw_Transactions!A1631</f>
        <v/>
      </c>
      <c r="B1631" s="4">
        <f>Raw_Transactions!B1631</f>
        <v/>
      </c>
      <c r="C1631" s="4">
        <f>Raw_Transactions!C1631</f>
        <v/>
      </c>
      <c r="D1631" s="5">
        <f>Raw_Transactions!D1631</f>
        <v/>
      </c>
      <c r="E1631" s="4">
        <f>Raw_Transactions!E1631</f>
        <v/>
      </c>
      <c r="F1631" s="4">
        <f>Raw_Transactions!F1631</f>
        <v/>
      </c>
      <c r="G1631" s="4">
        <f>Raw_Transactions!G1631</f>
        <v/>
      </c>
      <c r="H1631" s="4">
        <f>XLOOKUP(B1631,Raw_Risk_Profiles!$A:$A,Raw_Risk_Profiles!$B:$B,"Not Found")</f>
        <v/>
      </c>
      <c r="I1631" s="4">
        <f>XLOOKUP(B1631,Raw_Risk_Profiles!$A:$A,Raw_Risk_Profiles!$C:$C,"Missing")</f>
        <v/>
      </c>
      <c r="J1631" s="4">
        <f>XLOOKUP(B1631,Raw_Risk_Profiles!$A:$A,Raw_Risk_Profiles!$D:$D,"")</f>
        <v/>
      </c>
      <c r="K1631" s="4">
        <f>IFERROR(INDEX(Raw_Risk_Profiles!$E:$E,MATCH(B1631,Raw_Risk_Profiles!$A:$A,0)),"Unknown")</f>
        <v/>
      </c>
      <c r="L1631" s="4">
        <f>IFERROR(XLOOKUP(A1631,Raw_Alerts!$B:$B,Raw_Alerts!$A:$A),"No Alert")</f>
        <v/>
      </c>
      <c r="M1631" s="4">
        <f>IFERROR(XLOOKUP(A1631,Raw_Alerts!$B:$B,Raw_Alerts!$C:$C),"")</f>
        <v/>
      </c>
      <c r="N1631" s="4">
        <f>IFERROR(XLOOKUP(A1631,Raw_Alerts!$B:$B,Raw_Alerts!$D:$D),"")</f>
        <v/>
      </c>
      <c r="O1631" s="4">
        <f>IFERROR(XLOOKUP(A1631,Raw_Alerts!$B:$B,Raw_Alerts!$F:$F),"")</f>
        <v/>
      </c>
      <c r="P1631" s="4">
        <f>IF(H1631="Not Found","CRITICAL: No Risk Profile",IF(I1631="Missing","WARN: Missing KYC",IF(I1631="Expired","WARN: KYC Expired",IF(I1631="Pending","INFO: KYC Pending","OK"))))</f>
        <v/>
      </c>
    </row>
    <row r="1632">
      <c r="A1632" s="2">
        <f>Raw_Transactions!A1632</f>
        <v/>
      </c>
      <c r="B1632" s="2">
        <f>Raw_Transactions!B1632</f>
        <v/>
      </c>
      <c r="C1632" s="2">
        <f>Raw_Transactions!C1632</f>
        <v/>
      </c>
      <c r="D1632" s="3">
        <f>Raw_Transactions!D1632</f>
        <v/>
      </c>
      <c r="E1632" s="2">
        <f>Raw_Transactions!E1632</f>
        <v/>
      </c>
      <c r="F1632" s="2">
        <f>Raw_Transactions!F1632</f>
        <v/>
      </c>
      <c r="G1632" s="2">
        <f>Raw_Transactions!G1632</f>
        <v/>
      </c>
      <c r="H1632" s="2">
        <f>XLOOKUP(B1632,Raw_Risk_Profiles!$A:$A,Raw_Risk_Profiles!$B:$B,"Not Found")</f>
        <v/>
      </c>
      <c r="I1632" s="2">
        <f>XLOOKUP(B1632,Raw_Risk_Profiles!$A:$A,Raw_Risk_Profiles!$C:$C,"Missing")</f>
        <v/>
      </c>
      <c r="J1632" s="2">
        <f>XLOOKUP(B1632,Raw_Risk_Profiles!$A:$A,Raw_Risk_Profiles!$D:$D,"")</f>
        <v/>
      </c>
      <c r="K1632" s="2">
        <f>IFERROR(INDEX(Raw_Risk_Profiles!$E:$E,MATCH(B1632,Raw_Risk_Profiles!$A:$A,0)),"Unknown")</f>
        <v/>
      </c>
      <c r="L1632" s="2">
        <f>IFERROR(XLOOKUP(A1632,Raw_Alerts!$B:$B,Raw_Alerts!$A:$A),"No Alert")</f>
        <v/>
      </c>
      <c r="M1632" s="2">
        <f>IFERROR(XLOOKUP(A1632,Raw_Alerts!$B:$B,Raw_Alerts!$C:$C),"")</f>
        <v/>
      </c>
      <c r="N1632" s="2">
        <f>IFERROR(XLOOKUP(A1632,Raw_Alerts!$B:$B,Raw_Alerts!$D:$D),"")</f>
        <v/>
      </c>
      <c r="O1632" s="2">
        <f>IFERROR(XLOOKUP(A1632,Raw_Alerts!$B:$B,Raw_Alerts!$F:$F),"")</f>
        <v/>
      </c>
      <c r="P1632" s="2">
        <f>IF(H1632="Not Found","CRITICAL: No Risk Profile",IF(I1632="Missing","WARN: Missing KYC",IF(I1632="Expired","WARN: KYC Expired",IF(I1632="Pending","INFO: KYC Pending","OK"))))</f>
        <v/>
      </c>
    </row>
    <row r="1633">
      <c r="A1633" s="4">
        <f>Raw_Transactions!A1633</f>
        <v/>
      </c>
      <c r="B1633" s="4">
        <f>Raw_Transactions!B1633</f>
        <v/>
      </c>
      <c r="C1633" s="4">
        <f>Raw_Transactions!C1633</f>
        <v/>
      </c>
      <c r="D1633" s="5">
        <f>Raw_Transactions!D1633</f>
        <v/>
      </c>
      <c r="E1633" s="4">
        <f>Raw_Transactions!E1633</f>
        <v/>
      </c>
      <c r="F1633" s="4">
        <f>Raw_Transactions!F1633</f>
        <v/>
      </c>
      <c r="G1633" s="4">
        <f>Raw_Transactions!G1633</f>
        <v/>
      </c>
      <c r="H1633" s="4">
        <f>XLOOKUP(B1633,Raw_Risk_Profiles!$A:$A,Raw_Risk_Profiles!$B:$B,"Not Found")</f>
        <v/>
      </c>
      <c r="I1633" s="4">
        <f>XLOOKUP(B1633,Raw_Risk_Profiles!$A:$A,Raw_Risk_Profiles!$C:$C,"Missing")</f>
        <v/>
      </c>
      <c r="J1633" s="4">
        <f>XLOOKUP(B1633,Raw_Risk_Profiles!$A:$A,Raw_Risk_Profiles!$D:$D,"")</f>
        <v/>
      </c>
      <c r="K1633" s="4">
        <f>IFERROR(INDEX(Raw_Risk_Profiles!$E:$E,MATCH(B1633,Raw_Risk_Profiles!$A:$A,0)),"Unknown")</f>
        <v/>
      </c>
      <c r="L1633" s="4">
        <f>IFERROR(XLOOKUP(A1633,Raw_Alerts!$B:$B,Raw_Alerts!$A:$A),"No Alert")</f>
        <v/>
      </c>
      <c r="M1633" s="4">
        <f>IFERROR(XLOOKUP(A1633,Raw_Alerts!$B:$B,Raw_Alerts!$C:$C),"")</f>
        <v/>
      </c>
      <c r="N1633" s="4">
        <f>IFERROR(XLOOKUP(A1633,Raw_Alerts!$B:$B,Raw_Alerts!$D:$D),"")</f>
        <v/>
      </c>
      <c r="O1633" s="4">
        <f>IFERROR(XLOOKUP(A1633,Raw_Alerts!$B:$B,Raw_Alerts!$F:$F),"")</f>
        <v/>
      </c>
      <c r="P1633" s="4">
        <f>IF(H1633="Not Found","CRITICAL: No Risk Profile",IF(I1633="Missing","WARN: Missing KYC",IF(I1633="Expired","WARN: KYC Expired",IF(I1633="Pending","INFO: KYC Pending","OK"))))</f>
        <v/>
      </c>
    </row>
    <row r="1634">
      <c r="A1634" s="2">
        <f>Raw_Transactions!A1634</f>
        <v/>
      </c>
      <c r="B1634" s="2">
        <f>Raw_Transactions!B1634</f>
        <v/>
      </c>
      <c r="C1634" s="2">
        <f>Raw_Transactions!C1634</f>
        <v/>
      </c>
      <c r="D1634" s="3">
        <f>Raw_Transactions!D1634</f>
        <v/>
      </c>
      <c r="E1634" s="2">
        <f>Raw_Transactions!E1634</f>
        <v/>
      </c>
      <c r="F1634" s="2">
        <f>Raw_Transactions!F1634</f>
        <v/>
      </c>
      <c r="G1634" s="2">
        <f>Raw_Transactions!G1634</f>
        <v/>
      </c>
      <c r="H1634" s="2">
        <f>XLOOKUP(B1634,Raw_Risk_Profiles!$A:$A,Raw_Risk_Profiles!$B:$B,"Not Found")</f>
        <v/>
      </c>
      <c r="I1634" s="2">
        <f>XLOOKUP(B1634,Raw_Risk_Profiles!$A:$A,Raw_Risk_Profiles!$C:$C,"Missing")</f>
        <v/>
      </c>
      <c r="J1634" s="2">
        <f>XLOOKUP(B1634,Raw_Risk_Profiles!$A:$A,Raw_Risk_Profiles!$D:$D,"")</f>
        <v/>
      </c>
      <c r="K1634" s="2">
        <f>IFERROR(INDEX(Raw_Risk_Profiles!$E:$E,MATCH(B1634,Raw_Risk_Profiles!$A:$A,0)),"Unknown")</f>
        <v/>
      </c>
      <c r="L1634" s="2">
        <f>IFERROR(XLOOKUP(A1634,Raw_Alerts!$B:$B,Raw_Alerts!$A:$A),"No Alert")</f>
        <v/>
      </c>
      <c r="M1634" s="2">
        <f>IFERROR(XLOOKUP(A1634,Raw_Alerts!$B:$B,Raw_Alerts!$C:$C),"")</f>
        <v/>
      </c>
      <c r="N1634" s="2">
        <f>IFERROR(XLOOKUP(A1634,Raw_Alerts!$B:$B,Raw_Alerts!$D:$D),"")</f>
        <v/>
      </c>
      <c r="O1634" s="2">
        <f>IFERROR(XLOOKUP(A1634,Raw_Alerts!$B:$B,Raw_Alerts!$F:$F),"")</f>
        <v/>
      </c>
      <c r="P1634" s="2">
        <f>IF(H1634="Not Found","CRITICAL: No Risk Profile",IF(I1634="Missing","WARN: Missing KYC",IF(I1634="Expired","WARN: KYC Expired",IF(I1634="Pending","INFO: KYC Pending","OK"))))</f>
        <v/>
      </c>
    </row>
    <row r="1635">
      <c r="A1635" s="4">
        <f>Raw_Transactions!A1635</f>
        <v/>
      </c>
      <c r="B1635" s="4">
        <f>Raw_Transactions!B1635</f>
        <v/>
      </c>
      <c r="C1635" s="4">
        <f>Raw_Transactions!C1635</f>
        <v/>
      </c>
      <c r="D1635" s="5">
        <f>Raw_Transactions!D1635</f>
        <v/>
      </c>
      <c r="E1635" s="4">
        <f>Raw_Transactions!E1635</f>
        <v/>
      </c>
      <c r="F1635" s="4">
        <f>Raw_Transactions!F1635</f>
        <v/>
      </c>
      <c r="G1635" s="4">
        <f>Raw_Transactions!G1635</f>
        <v/>
      </c>
      <c r="H1635" s="4">
        <f>XLOOKUP(B1635,Raw_Risk_Profiles!$A:$A,Raw_Risk_Profiles!$B:$B,"Not Found")</f>
        <v/>
      </c>
      <c r="I1635" s="4">
        <f>XLOOKUP(B1635,Raw_Risk_Profiles!$A:$A,Raw_Risk_Profiles!$C:$C,"Missing")</f>
        <v/>
      </c>
      <c r="J1635" s="4">
        <f>XLOOKUP(B1635,Raw_Risk_Profiles!$A:$A,Raw_Risk_Profiles!$D:$D,"")</f>
        <v/>
      </c>
      <c r="K1635" s="4">
        <f>IFERROR(INDEX(Raw_Risk_Profiles!$E:$E,MATCH(B1635,Raw_Risk_Profiles!$A:$A,0)),"Unknown")</f>
        <v/>
      </c>
      <c r="L1635" s="4">
        <f>IFERROR(XLOOKUP(A1635,Raw_Alerts!$B:$B,Raw_Alerts!$A:$A),"No Alert")</f>
        <v/>
      </c>
      <c r="M1635" s="4">
        <f>IFERROR(XLOOKUP(A1635,Raw_Alerts!$B:$B,Raw_Alerts!$C:$C),"")</f>
        <v/>
      </c>
      <c r="N1635" s="4">
        <f>IFERROR(XLOOKUP(A1635,Raw_Alerts!$B:$B,Raw_Alerts!$D:$D),"")</f>
        <v/>
      </c>
      <c r="O1635" s="4">
        <f>IFERROR(XLOOKUP(A1635,Raw_Alerts!$B:$B,Raw_Alerts!$F:$F),"")</f>
        <v/>
      </c>
      <c r="P1635" s="4">
        <f>IF(H1635="Not Found","CRITICAL: No Risk Profile",IF(I1635="Missing","WARN: Missing KYC",IF(I1635="Expired","WARN: KYC Expired",IF(I1635="Pending","INFO: KYC Pending","OK"))))</f>
        <v/>
      </c>
    </row>
    <row r="1636">
      <c r="A1636" s="2">
        <f>Raw_Transactions!A1636</f>
        <v/>
      </c>
      <c r="B1636" s="2">
        <f>Raw_Transactions!B1636</f>
        <v/>
      </c>
      <c r="C1636" s="2">
        <f>Raw_Transactions!C1636</f>
        <v/>
      </c>
      <c r="D1636" s="3">
        <f>Raw_Transactions!D1636</f>
        <v/>
      </c>
      <c r="E1636" s="2">
        <f>Raw_Transactions!E1636</f>
        <v/>
      </c>
      <c r="F1636" s="2">
        <f>Raw_Transactions!F1636</f>
        <v/>
      </c>
      <c r="G1636" s="2">
        <f>Raw_Transactions!G1636</f>
        <v/>
      </c>
      <c r="H1636" s="2">
        <f>XLOOKUP(B1636,Raw_Risk_Profiles!$A:$A,Raw_Risk_Profiles!$B:$B,"Not Found")</f>
        <v/>
      </c>
      <c r="I1636" s="2">
        <f>XLOOKUP(B1636,Raw_Risk_Profiles!$A:$A,Raw_Risk_Profiles!$C:$C,"Missing")</f>
        <v/>
      </c>
      <c r="J1636" s="2">
        <f>XLOOKUP(B1636,Raw_Risk_Profiles!$A:$A,Raw_Risk_Profiles!$D:$D,"")</f>
        <v/>
      </c>
      <c r="K1636" s="2">
        <f>IFERROR(INDEX(Raw_Risk_Profiles!$E:$E,MATCH(B1636,Raw_Risk_Profiles!$A:$A,0)),"Unknown")</f>
        <v/>
      </c>
      <c r="L1636" s="2">
        <f>IFERROR(XLOOKUP(A1636,Raw_Alerts!$B:$B,Raw_Alerts!$A:$A),"No Alert")</f>
        <v/>
      </c>
      <c r="M1636" s="2">
        <f>IFERROR(XLOOKUP(A1636,Raw_Alerts!$B:$B,Raw_Alerts!$C:$C),"")</f>
        <v/>
      </c>
      <c r="N1636" s="2">
        <f>IFERROR(XLOOKUP(A1636,Raw_Alerts!$B:$B,Raw_Alerts!$D:$D),"")</f>
        <v/>
      </c>
      <c r="O1636" s="2">
        <f>IFERROR(XLOOKUP(A1636,Raw_Alerts!$B:$B,Raw_Alerts!$F:$F),"")</f>
        <v/>
      </c>
      <c r="P1636" s="2">
        <f>IF(H1636="Not Found","CRITICAL: No Risk Profile",IF(I1636="Missing","WARN: Missing KYC",IF(I1636="Expired","WARN: KYC Expired",IF(I1636="Pending","INFO: KYC Pending","OK"))))</f>
        <v/>
      </c>
    </row>
    <row r="1637">
      <c r="A1637" s="4">
        <f>Raw_Transactions!A1637</f>
        <v/>
      </c>
      <c r="B1637" s="4">
        <f>Raw_Transactions!B1637</f>
        <v/>
      </c>
      <c r="C1637" s="4">
        <f>Raw_Transactions!C1637</f>
        <v/>
      </c>
      <c r="D1637" s="5">
        <f>Raw_Transactions!D1637</f>
        <v/>
      </c>
      <c r="E1637" s="4">
        <f>Raw_Transactions!E1637</f>
        <v/>
      </c>
      <c r="F1637" s="4">
        <f>Raw_Transactions!F1637</f>
        <v/>
      </c>
      <c r="G1637" s="4">
        <f>Raw_Transactions!G1637</f>
        <v/>
      </c>
      <c r="H1637" s="4">
        <f>XLOOKUP(B1637,Raw_Risk_Profiles!$A:$A,Raw_Risk_Profiles!$B:$B,"Not Found")</f>
        <v/>
      </c>
      <c r="I1637" s="4">
        <f>XLOOKUP(B1637,Raw_Risk_Profiles!$A:$A,Raw_Risk_Profiles!$C:$C,"Missing")</f>
        <v/>
      </c>
      <c r="J1637" s="4">
        <f>XLOOKUP(B1637,Raw_Risk_Profiles!$A:$A,Raw_Risk_Profiles!$D:$D,"")</f>
        <v/>
      </c>
      <c r="K1637" s="4">
        <f>IFERROR(INDEX(Raw_Risk_Profiles!$E:$E,MATCH(B1637,Raw_Risk_Profiles!$A:$A,0)),"Unknown")</f>
        <v/>
      </c>
      <c r="L1637" s="4">
        <f>IFERROR(XLOOKUP(A1637,Raw_Alerts!$B:$B,Raw_Alerts!$A:$A),"No Alert")</f>
        <v/>
      </c>
      <c r="M1637" s="4">
        <f>IFERROR(XLOOKUP(A1637,Raw_Alerts!$B:$B,Raw_Alerts!$C:$C),"")</f>
        <v/>
      </c>
      <c r="N1637" s="4">
        <f>IFERROR(XLOOKUP(A1637,Raw_Alerts!$B:$B,Raw_Alerts!$D:$D),"")</f>
        <v/>
      </c>
      <c r="O1637" s="4">
        <f>IFERROR(XLOOKUP(A1637,Raw_Alerts!$B:$B,Raw_Alerts!$F:$F),"")</f>
        <v/>
      </c>
      <c r="P1637" s="4">
        <f>IF(H1637="Not Found","CRITICAL: No Risk Profile",IF(I1637="Missing","WARN: Missing KYC",IF(I1637="Expired","WARN: KYC Expired",IF(I1637="Pending","INFO: KYC Pending","OK"))))</f>
        <v/>
      </c>
    </row>
    <row r="1638">
      <c r="A1638" s="2">
        <f>Raw_Transactions!A1638</f>
        <v/>
      </c>
      <c r="B1638" s="2">
        <f>Raw_Transactions!B1638</f>
        <v/>
      </c>
      <c r="C1638" s="2">
        <f>Raw_Transactions!C1638</f>
        <v/>
      </c>
      <c r="D1638" s="3">
        <f>Raw_Transactions!D1638</f>
        <v/>
      </c>
      <c r="E1638" s="2">
        <f>Raw_Transactions!E1638</f>
        <v/>
      </c>
      <c r="F1638" s="2">
        <f>Raw_Transactions!F1638</f>
        <v/>
      </c>
      <c r="G1638" s="2">
        <f>Raw_Transactions!G1638</f>
        <v/>
      </c>
      <c r="H1638" s="2">
        <f>XLOOKUP(B1638,Raw_Risk_Profiles!$A:$A,Raw_Risk_Profiles!$B:$B,"Not Found")</f>
        <v/>
      </c>
      <c r="I1638" s="2">
        <f>XLOOKUP(B1638,Raw_Risk_Profiles!$A:$A,Raw_Risk_Profiles!$C:$C,"Missing")</f>
        <v/>
      </c>
      <c r="J1638" s="2">
        <f>XLOOKUP(B1638,Raw_Risk_Profiles!$A:$A,Raw_Risk_Profiles!$D:$D,"")</f>
        <v/>
      </c>
      <c r="K1638" s="2">
        <f>IFERROR(INDEX(Raw_Risk_Profiles!$E:$E,MATCH(B1638,Raw_Risk_Profiles!$A:$A,0)),"Unknown")</f>
        <v/>
      </c>
      <c r="L1638" s="2">
        <f>IFERROR(XLOOKUP(A1638,Raw_Alerts!$B:$B,Raw_Alerts!$A:$A),"No Alert")</f>
        <v/>
      </c>
      <c r="M1638" s="2">
        <f>IFERROR(XLOOKUP(A1638,Raw_Alerts!$B:$B,Raw_Alerts!$C:$C),"")</f>
        <v/>
      </c>
      <c r="N1638" s="2">
        <f>IFERROR(XLOOKUP(A1638,Raw_Alerts!$B:$B,Raw_Alerts!$D:$D),"")</f>
        <v/>
      </c>
      <c r="O1638" s="2">
        <f>IFERROR(XLOOKUP(A1638,Raw_Alerts!$B:$B,Raw_Alerts!$F:$F),"")</f>
        <v/>
      </c>
      <c r="P1638" s="2">
        <f>IF(H1638="Not Found","CRITICAL: No Risk Profile",IF(I1638="Missing","WARN: Missing KYC",IF(I1638="Expired","WARN: KYC Expired",IF(I1638="Pending","INFO: KYC Pending","OK"))))</f>
        <v/>
      </c>
    </row>
    <row r="1639">
      <c r="A1639" s="4">
        <f>Raw_Transactions!A1639</f>
        <v/>
      </c>
      <c r="B1639" s="4">
        <f>Raw_Transactions!B1639</f>
        <v/>
      </c>
      <c r="C1639" s="4">
        <f>Raw_Transactions!C1639</f>
        <v/>
      </c>
      <c r="D1639" s="5">
        <f>Raw_Transactions!D1639</f>
        <v/>
      </c>
      <c r="E1639" s="4">
        <f>Raw_Transactions!E1639</f>
        <v/>
      </c>
      <c r="F1639" s="4">
        <f>Raw_Transactions!F1639</f>
        <v/>
      </c>
      <c r="G1639" s="4">
        <f>Raw_Transactions!G1639</f>
        <v/>
      </c>
      <c r="H1639" s="4">
        <f>XLOOKUP(B1639,Raw_Risk_Profiles!$A:$A,Raw_Risk_Profiles!$B:$B,"Not Found")</f>
        <v/>
      </c>
      <c r="I1639" s="4">
        <f>XLOOKUP(B1639,Raw_Risk_Profiles!$A:$A,Raw_Risk_Profiles!$C:$C,"Missing")</f>
        <v/>
      </c>
      <c r="J1639" s="4">
        <f>XLOOKUP(B1639,Raw_Risk_Profiles!$A:$A,Raw_Risk_Profiles!$D:$D,"")</f>
        <v/>
      </c>
      <c r="K1639" s="4">
        <f>IFERROR(INDEX(Raw_Risk_Profiles!$E:$E,MATCH(B1639,Raw_Risk_Profiles!$A:$A,0)),"Unknown")</f>
        <v/>
      </c>
      <c r="L1639" s="4">
        <f>IFERROR(XLOOKUP(A1639,Raw_Alerts!$B:$B,Raw_Alerts!$A:$A),"No Alert")</f>
        <v/>
      </c>
      <c r="M1639" s="4">
        <f>IFERROR(XLOOKUP(A1639,Raw_Alerts!$B:$B,Raw_Alerts!$C:$C),"")</f>
        <v/>
      </c>
      <c r="N1639" s="4">
        <f>IFERROR(XLOOKUP(A1639,Raw_Alerts!$B:$B,Raw_Alerts!$D:$D),"")</f>
        <v/>
      </c>
      <c r="O1639" s="4">
        <f>IFERROR(XLOOKUP(A1639,Raw_Alerts!$B:$B,Raw_Alerts!$F:$F),"")</f>
        <v/>
      </c>
      <c r="P1639" s="4">
        <f>IF(H1639="Not Found","CRITICAL: No Risk Profile",IF(I1639="Missing","WARN: Missing KYC",IF(I1639="Expired","WARN: KYC Expired",IF(I1639="Pending","INFO: KYC Pending","OK"))))</f>
        <v/>
      </c>
    </row>
    <row r="1640">
      <c r="A1640" s="2">
        <f>Raw_Transactions!A1640</f>
        <v/>
      </c>
      <c r="B1640" s="2">
        <f>Raw_Transactions!B1640</f>
        <v/>
      </c>
      <c r="C1640" s="2">
        <f>Raw_Transactions!C1640</f>
        <v/>
      </c>
      <c r="D1640" s="3">
        <f>Raw_Transactions!D1640</f>
        <v/>
      </c>
      <c r="E1640" s="2">
        <f>Raw_Transactions!E1640</f>
        <v/>
      </c>
      <c r="F1640" s="2">
        <f>Raw_Transactions!F1640</f>
        <v/>
      </c>
      <c r="G1640" s="2">
        <f>Raw_Transactions!G1640</f>
        <v/>
      </c>
      <c r="H1640" s="2">
        <f>XLOOKUP(B1640,Raw_Risk_Profiles!$A:$A,Raw_Risk_Profiles!$B:$B,"Not Found")</f>
        <v/>
      </c>
      <c r="I1640" s="2">
        <f>XLOOKUP(B1640,Raw_Risk_Profiles!$A:$A,Raw_Risk_Profiles!$C:$C,"Missing")</f>
        <v/>
      </c>
      <c r="J1640" s="2">
        <f>XLOOKUP(B1640,Raw_Risk_Profiles!$A:$A,Raw_Risk_Profiles!$D:$D,"")</f>
        <v/>
      </c>
      <c r="K1640" s="2">
        <f>IFERROR(INDEX(Raw_Risk_Profiles!$E:$E,MATCH(B1640,Raw_Risk_Profiles!$A:$A,0)),"Unknown")</f>
        <v/>
      </c>
      <c r="L1640" s="2">
        <f>IFERROR(XLOOKUP(A1640,Raw_Alerts!$B:$B,Raw_Alerts!$A:$A),"No Alert")</f>
        <v/>
      </c>
      <c r="M1640" s="2">
        <f>IFERROR(XLOOKUP(A1640,Raw_Alerts!$B:$B,Raw_Alerts!$C:$C),"")</f>
        <v/>
      </c>
      <c r="N1640" s="2">
        <f>IFERROR(XLOOKUP(A1640,Raw_Alerts!$B:$B,Raw_Alerts!$D:$D),"")</f>
        <v/>
      </c>
      <c r="O1640" s="2">
        <f>IFERROR(XLOOKUP(A1640,Raw_Alerts!$B:$B,Raw_Alerts!$F:$F),"")</f>
        <v/>
      </c>
      <c r="P1640" s="2">
        <f>IF(H1640="Not Found","CRITICAL: No Risk Profile",IF(I1640="Missing","WARN: Missing KYC",IF(I1640="Expired","WARN: KYC Expired",IF(I1640="Pending","INFO: KYC Pending","OK"))))</f>
        <v/>
      </c>
    </row>
    <row r="1641">
      <c r="A1641" s="4">
        <f>Raw_Transactions!A1641</f>
        <v/>
      </c>
      <c r="B1641" s="4">
        <f>Raw_Transactions!B1641</f>
        <v/>
      </c>
      <c r="C1641" s="4">
        <f>Raw_Transactions!C1641</f>
        <v/>
      </c>
      <c r="D1641" s="5">
        <f>Raw_Transactions!D1641</f>
        <v/>
      </c>
      <c r="E1641" s="4">
        <f>Raw_Transactions!E1641</f>
        <v/>
      </c>
      <c r="F1641" s="4">
        <f>Raw_Transactions!F1641</f>
        <v/>
      </c>
      <c r="G1641" s="4">
        <f>Raw_Transactions!G1641</f>
        <v/>
      </c>
      <c r="H1641" s="4">
        <f>XLOOKUP(B1641,Raw_Risk_Profiles!$A:$A,Raw_Risk_Profiles!$B:$B,"Not Found")</f>
        <v/>
      </c>
      <c r="I1641" s="4">
        <f>XLOOKUP(B1641,Raw_Risk_Profiles!$A:$A,Raw_Risk_Profiles!$C:$C,"Missing")</f>
        <v/>
      </c>
      <c r="J1641" s="4">
        <f>XLOOKUP(B1641,Raw_Risk_Profiles!$A:$A,Raw_Risk_Profiles!$D:$D,"")</f>
        <v/>
      </c>
      <c r="K1641" s="4">
        <f>IFERROR(INDEX(Raw_Risk_Profiles!$E:$E,MATCH(B1641,Raw_Risk_Profiles!$A:$A,0)),"Unknown")</f>
        <v/>
      </c>
      <c r="L1641" s="4">
        <f>IFERROR(XLOOKUP(A1641,Raw_Alerts!$B:$B,Raw_Alerts!$A:$A),"No Alert")</f>
        <v/>
      </c>
      <c r="M1641" s="4">
        <f>IFERROR(XLOOKUP(A1641,Raw_Alerts!$B:$B,Raw_Alerts!$C:$C),"")</f>
        <v/>
      </c>
      <c r="N1641" s="4">
        <f>IFERROR(XLOOKUP(A1641,Raw_Alerts!$B:$B,Raw_Alerts!$D:$D),"")</f>
        <v/>
      </c>
      <c r="O1641" s="4">
        <f>IFERROR(XLOOKUP(A1641,Raw_Alerts!$B:$B,Raw_Alerts!$F:$F),"")</f>
        <v/>
      </c>
      <c r="P1641" s="4">
        <f>IF(H1641="Not Found","CRITICAL: No Risk Profile",IF(I1641="Missing","WARN: Missing KYC",IF(I1641="Expired","WARN: KYC Expired",IF(I1641="Pending","INFO: KYC Pending","OK"))))</f>
        <v/>
      </c>
    </row>
    <row r="1642">
      <c r="A1642" s="2">
        <f>Raw_Transactions!A1642</f>
        <v/>
      </c>
      <c r="B1642" s="2">
        <f>Raw_Transactions!B1642</f>
        <v/>
      </c>
      <c r="C1642" s="2">
        <f>Raw_Transactions!C1642</f>
        <v/>
      </c>
      <c r="D1642" s="3">
        <f>Raw_Transactions!D1642</f>
        <v/>
      </c>
      <c r="E1642" s="2">
        <f>Raw_Transactions!E1642</f>
        <v/>
      </c>
      <c r="F1642" s="2">
        <f>Raw_Transactions!F1642</f>
        <v/>
      </c>
      <c r="G1642" s="2">
        <f>Raw_Transactions!G1642</f>
        <v/>
      </c>
      <c r="H1642" s="2">
        <f>XLOOKUP(B1642,Raw_Risk_Profiles!$A:$A,Raw_Risk_Profiles!$B:$B,"Not Found")</f>
        <v/>
      </c>
      <c r="I1642" s="2">
        <f>XLOOKUP(B1642,Raw_Risk_Profiles!$A:$A,Raw_Risk_Profiles!$C:$C,"Missing")</f>
        <v/>
      </c>
      <c r="J1642" s="2">
        <f>XLOOKUP(B1642,Raw_Risk_Profiles!$A:$A,Raw_Risk_Profiles!$D:$D,"")</f>
        <v/>
      </c>
      <c r="K1642" s="2">
        <f>IFERROR(INDEX(Raw_Risk_Profiles!$E:$E,MATCH(B1642,Raw_Risk_Profiles!$A:$A,0)),"Unknown")</f>
        <v/>
      </c>
      <c r="L1642" s="2">
        <f>IFERROR(XLOOKUP(A1642,Raw_Alerts!$B:$B,Raw_Alerts!$A:$A),"No Alert")</f>
        <v/>
      </c>
      <c r="M1642" s="2">
        <f>IFERROR(XLOOKUP(A1642,Raw_Alerts!$B:$B,Raw_Alerts!$C:$C),"")</f>
        <v/>
      </c>
      <c r="N1642" s="2">
        <f>IFERROR(XLOOKUP(A1642,Raw_Alerts!$B:$B,Raw_Alerts!$D:$D),"")</f>
        <v/>
      </c>
      <c r="O1642" s="2">
        <f>IFERROR(XLOOKUP(A1642,Raw_Alerts!$B:$B,Raw_Alerts!$F:$F),"")</f>
        <v/>
      </c>
      <c r="P1642" s="2">
        <f>IF(H1642="Not Found","CRITICAL: No Risk Profile",IF(I1642="Missing","WARN: Missing KYC",IF(I1642="Expired","WARN: KYC Expired",IF(I1642="Pending","INFO: KYC Pending","OK"))))</f>
        <v/>
      </c>
    </row>
    <row r="1643">
      <c r="A1643" s="4">
        <f>Raw_Transactions!A1643</f>
        <v/>
      </c>
      <c r="B1643" s="4">
        <f>Raw_Transactions!B1643</f>
        <v/>
      </c>
      <c r="C1643" s="4">
        <f>Raw_Transactions!C1643</f>
        <v/>
      </c>
      <c r="D1643" s="5">
        <f>Raw_Transactions!D1643</f>
        <v/>
      </c>
      <c r="E1643" s="4">
        <f>Raw_Transactions!E1643</f>
        <v/>
      </c>
      <c r="F1643" s="4">
        <f>Raw_Transactions!F1643</f>
        <v/>
      </c>
      <c r="G1643" s="4">
        <f>Raw_Transactions!G1643</f>
        <v/>
      </c>
      <c r="H1643" s="4">
        <f>XLOOKUP(B1643,Raw_Risk_Profiles!$A:$A,Raw_Risk_Profiles!$B:$B,"Not Found")</f>
        <v/>
      </c>
      <c r="I1643" s="4">
        <f>XLOOKUP(B1643,Raw_Risk_Profiles!$A:$A,Raw_Risk_Profiles!$C:$C,"Missing")</f>
        <v/>
      </c>
      <c r="J1643" s="4">
        <f>XLOOKUP(B1643,Raw_Risk_Profiles!$A:$A,Raw_Risk_Profiles!$D:$D,"")</f>
        <v/>
      </c>
      <c r="K1643" s="4">
        <f>IFERROR(INDEX(Raw_Risk_Profiles!$E:$E,MATCH(B1643,Raw_Risk_Profiles!$A:$A,0)),"Unknown")</f>
        <v/>
      </c>
      <c r="L1643" s="4">
        <f>IFERROR(XLOOKUP(A1643,Raw_Alerts!$B:$B,Raw_Alerts!$A:$A),"No Alert")</f>
        <v/>
      </c>
      <c r="M1643" s="4">
        <f>IFERROR(XLOOKUP(A1643,Raw_Alerts!$B:$B,Raw_Alerts!$C:$C),"")</f>
        <v/>
      </c>
      <c r="N1643" s="4">
        <f>IFERROR(XLOOKUP(A1643,Raw_Alerts!$B:$B,Raw_Alerts!$D:$D),"")</f>
        <v/>
      </c>
      <c r="O1643" s="4">
        <f>IFERROR(XLOOKUP(A1643,Raw_Alerts!$B:$B,Raw_Alerts!$F:$F),"")</f>
        <v/>
      </c>
      <c r="P1643" s="4">
        <f>IF(H1643="Not Found","CRITICAL: No Risk Profile",IF(I1643="Missing","WARN: Missing KYC",IF(I1643="Expired","WARN: KYC Expired",IF(I1643="Pending","INFO: KYC Pending","OK"))))</f>
        <v/>
      </c>
    </row>
    <row r="1644">
      <c r="A1644" s="2">
        <f>Raw_Transactions!A1644</f>
        <v/>
      </c>
      <c r="B1644" s="2">
        <f>Raw_Transactions!B1644</f>
        <v/>
      </c>
      <c r="C1644" s="2">
        <f>Raw_Transactions!C1644</f>
        <v/>
      </c>
      <c r="D1644" s="3">
        <f>Raw_Transactions!D1644</f>
        <v/>
      </c>
      <c r="E1644" s="2">
        <f>Raw_Transactions!E1644</f>
        <v/>
      </c>
      <c r="F1644" s="2">
        <f>Raw_Transactions!F1644</f>
        <v/>
      </c>
      <c r="G1644" s="2">
        <f>Raw_Transactions!G1644</f>
        <v/>
      </c>
      <c r="H1644" s="2">
        <f>XLOOKUP(B1644,Raw_Risk_Profiles!$A:$A,Raw_Risk_Profiles!$B:$B,"Not Found")</f>
        <v/>
      </c>
      <c r="I1644" s="2">
        <f>XLOOKUP(B1644,Raw_Risk_Profiles!$A:$A,Raw_Risk_Profiles!$C:$C,"Missing")</f>
        <v/>
      </c>
      <c r="J1644" s="2">
        <f>XLOOKUP(B1644,Raw_Risk_Profiles!$A:$A,Raw_Risk_Profiles!$D:$D,"")</f>
        <v/>
      </c>
      <c r="K1644" s="2">
        <f>IFERROR(INDEX(Raw_Risk_Profiles!$E:$E,MATCH(B1644,Raw_Risk_Profiles!$A:$A,0)),"Unknown")</f>
        <v/>
      </c>
      <c r="L1644" s="2">
        <f>IFERROR(XLOOKUP(A1644,Raw_Alerts!$B:$B,Raw_Alerts!$A:$A),"No Alert")</f>
        <v/>
      </c>
      <c r="M1644" s="2">
        <f>IFERROR(XLOOKUP(A1644,Raw_Alerts!$B:$B,Raw_Alerts!$C:$C),"")</f>
        <v/>
      </c>
      <c r="N1644" s="2">
        <f>IFERROR(XLOOKUP(A1644,Raw_Alerts!$B:$B,Raw_Alerts!$D:$D),"")</f>
        <v/>
      </c>
      <c r="O1644" s="2">
        <f>IFERROR(XLOOKUP(A1644,Raw_Alerts!$B:$B,Raw_Alerts!$F:$F),"")</f>
        <v/>
      </c>
      <c r="P1644" s="2">
        <f>IF(H1644="Not Found","CRITICAL: No Risk Profile",IF(I1644="Missing","WARN: Missing KYC",IF(I1644="Expired","WARN: KYC Expired",IF(I1644="Pending","INFO: KYC Pending","OK"))))</f>
        <v/>
      </c>
    </row>
    <row r="1645">
      <c r="A1645" s="4">
        <f>Raw_Transactions!A1645</f>
        <v/>
      </c>
      <c r="B1645" s="4">
        <f>Raw_Transactions!B1645</f>
        <v/>
      </c>
      <c r="C1645" s="4">
        <f>Raw_Transactions!C1645</f>
        <v/>
      </c>
      <c r="D1645" s="5">
        <f>Raw_Transactions!D1645</f>
        <v/>
      </c>
      <c r="E1645" s="4">
        <f>Raw_Transactions!E1645</f>
        <v/>
      </c>
      <c r="F1645" s="4">
        <f>Raw_Transactions!F1645</f>
        <v/>
      </c>
      <c r="G1645" s="4">
        <f>Raw_Transactions!G1645</f>
        <v/>
      </c>
      <c r="H1645" s="4">
        <f>XLOOKUP(B1645,Raw_Risk_Profiles!$A:$A,Raw_Risk_Profiles!$B:$B,"Not Found")</f>
        <v/>
      </c>
      <c r="I1645" s="4">
        <f>XLOOKUP(B1645,Raw_Risk_Profiles!$A:$A,Raw_Risk_Profiles!$C:$C,"Missing")</f>
        <v/>
      </c>
      <c r="J1645" s="4">
        <f>XLOOKUP(B1645,Raw_Risk_Profiles!$A:$A,Raw_Risk_Profiles!$D:$D,"")</f>
        <v/>
      </c>
      <c r="K1645" s="4">
        <f>IFERROR(INDEX(Raw_Risk_Profiles!$E:$E,MATCH(B1645,Raw_Risk_Profiles!$A:$A,0)),"Unknown")</f>
        <v/>
      </c>
      <c r="L1645" s="4">
        <f>IFERROR(XLOOKUP(A1645,Raw_Alerts!$B:$B,Raw_Alerts!$A:$A),"No Alert")</f>
        <v/>
      </c>
      <c r="M1645" s="4">
        <f>IFERROR(XLOOKUP(A1645,Raw_Alerts!$B:$B,Raw_Alerts!$C:$C),"")</f>
        <v/>
      </c>
      <c r="N1645" s="4">
        <f>IFERROR(XLOOKUP(A1645,Raw_Alerts!$B:$B,Raw_Alerts!$D:$D),"")</f>
        <v/>
      </c>
      <c r="O1645" s="4">
        <f>IFERROR(XLOOKUP(A1645,Raw_Alerts!$B:$B,Raw_Alerts!$F:$F),"")</f>
        <v/>
      </c>
      <c r="P1645" s="4">
        <f>IF(H1645="Not Found","CRITICAL: No Risk Profile",IF(I1645="Missing","WARN: Missing KYC",IF(I1645="Expired","WARN: KYC Expired",IF(I1645="Pending","INFO: KYC Pending","OK"))))</f>
        <v/>
      </c>
    </row>
    <row r="1646">
      <c r="A1646" s="2">
        <f>Raw_Transactions!A1646</f>
        <v/>
      </c>
      <c r="B1646" s="2">
        <f>Raw_Transactions!B1646</f>
        <v/>
      </c>
      <c r="C1646" s="2">
        <f>Raw_Transactions!C1646</f>
        <v/>
      </c>
      <c r="D1646" s="3">
        <f>Raw_Transactions!D1646</f>
        <v/>
      </c>
      <c r="E1646" s="2">
        <f>Raw_Transactions!E1646</f>
        <v/>
      </c>
      <c r="F1646" s="2">
        <f>Raw_Transactions!F1646</f>
        <v/>
      </c>
      <c r="G1646" s="2">
        <f>Raw_Transactions!G1646</f>
        <v/>
      </c>
      <c r="H1646" s="2">
        <f>XLOOKUP(B1646,Raw_Risk_Profiles!$A:$A,Raw_Risk_Profiles!$B:$B,"Not Found")</f>
        <v/>
      </c>
      <c r="I1646" s="2">
        <f>XLOOKUP(B1646,Raw_Risk_Profiles!$A:$A,Raw_Risk_Profiles!$C:$C,"Missing")</f>
        <v/>
      </c>
      <c r="J1646" s="2">
        <f>XLOOKUP(B1646,Raw_Risk_Profiles!$A:$A,Raw_Risk_Profiles!$D:$D,"")</f>
        <v/>
      </c>
      <c r="K1646" s="2">
        <f>IFERROR(INDEX(Raw_Risk_Profiles!$E:$E,MATCH(B1646,Raw_Risk_Profiles!$A:$A,0)),"Unknown")</f>
        <v/>
      </c>
      <c r="L1646" s="2">
        <f>IFERROR(XLOOKUP(A1646,Raw_Alerts!$B:$B,Raw_Alerts!$A:$A),"No Alert")</f>
        <v/>
      </c>
      <c r="M1646" s="2">
        <f>IFERROR(XLOOKUP(A1646,Raw_Alerts!$B:$B,Raw_Alerts!$C:$C),"")</f>
        <v/>
      </c>
      <c r="N1646" s="2">
        <f>IFERROR(XLOOKUP(A1646,Raw_Alerts!$B:$B,Raw_Alerts!$D:$D),"")</f>
        <v/>
      </c>
      <c r="O1646" s="2">
        <f>IFERROR(XLOOKUP(A1646,Raw_Alerts!$B:$B,Raw_Alerts!$F:$F),"")</f>
        <v/>
      </c>
      <c r="P1646" s="2">
        <f>IF(H1646="Not Found","CRITICAL: No Risk Profile",IF(I1646="Missing","WARN: Missing KYC",IF(I1646="Expired","WARN: KYC Expired",IF(I1646="Pending","INFO: KYC Pending","OK"))))</f>
        <v/>
      </c>
    </row>
    <row r="1647">
      <c r="A1647" s="4">
        <f>Raw_Transactions!A1647</f>
        <v/>
      </c>
      <c r="B1647" s="4">
        <f>Raw_Transactions!B1647</f>
        <v/>
      </c>
      <c r="C1647" s="4">
        <f>Raw_Transactions!C1647</f>
        <v/>
      </c>
      <c r="D1647" s="5">
        <f>Raw_Transactions!D1647</f>
        <v/>
      </c>
      <c r="E1647" s="4">
        <f>Raw_Transactions!E1647</f>
        <v/>
      </c>
      <c r="F1647" s="4">
        <f>Raw_Transactions!F1647</f>
        <v/>
      </c>
      <c r="G1647" s="4">
        <f>Raw_Transactions!G1647</f>
        <v/>
      </c>
      <c r="H1647" s="4">
        <f>XLOOKUP(B1647,Raw_Risk_Profiles!$A:$A,Raw_Risk_Profiles!$B:$B,"Not Found")</f>
        <v/>
      </c>
      <c r="I1647" s="4">
        <f>XLOOKUP(B1647,Raw_Risk_Profiles!$A:$A,Raw_Risk_Profiles!$C:$C,"Missing")</f>
        <v/>
      </c>
      <c r="J1647" s="4">
        <f>XLOOKUP(B1647,Raw_Risk_Profiles!$A:$A,Raw_Risk_Profiles!$D:$D,"")</f>
        <v/>
      </c>
      <c r="K1647" s="4">
        <f>IFERROR(INDEX(Raw_Risk_Profiles!$E:$E,MATCH(B1647,Raw_Risk_Profiles!$A:$A,0)),"Unknown")</f>
        <v/>
      </c>
      <c r="L1647" s="4">
        <f>IFERROR(XLOOKUP(A1647,Raw_Alerts!$B:$B,Raw_Alerts!$A:$A),"No Alert")</f>
        <v/>
      </c>
      <c r="M1647" s="4">
        <f>IFERROR(XLOOKUP(A1647,Raw_Alerts!$B:$B,Raw_Alerts!$C:$C),"")</f>
        <v/>
      </c>
      <c r="N1647" s="4">
        <f>IFERROR(XLOOKUP(A1647,Raw_Alerts!$B:$B,Raw_Alerts!$D:$D),"")</f>
        <v/>
      </c>
      <c r="O1647" s="4">
        <f>IFERROR(XLOOKUP(A1647,Raw_Alerts!$B:$B,Raw_Alerts!$F:$F),"")</f>
        <v/>
      </c>
      <c r="P1647" s="4">
        <f>IF(H1647="Not Found","CRITICAL: No Risk Profile",IF(I1647="Missing","WARN: Missing KYC",IF(I1647="Expired","WARN: KYC Expired",IF(I1647="Pending","INFO: KYC Pending","OK"))))</f>
        <v/>
      </c>
    </row>
    <row r="1648">
      <c r="A1648" s="2">
        <f>Raw_Transactions!A1648</f>
        <v/>
      </c>
      <c r="B1648" s="2">
        <f>Raw_Transactions!B1648</f>
        <v/>
      </c>
      <c r="C1648" s="2">
        <f>Raw_Transactions!C1648</f>
        <v/>
      </c>
      <c r="D1648" s="3">
        <f>Raw_Transactions!D1648</f>
        <v/>
      </c>
      <c r="E1648" s="2">
        <f>Raw_Transactions!E1648</f>
        <v/>
      </c>
      <c r="F1648" s="2">
        <f>Raw_Transactions!F1648</f>
        <v/>
      </c>
      <c r="G1648" s="2">
        <f>Raw_Transactions!G1648</f>
        <v/>
      </c>
      <c r="H1648" s="2">
        <f>XLOOKUP(B1648,Raw_Risk_Profiles!$A:$A,Raw_Risk_Profiles!$B:$B,"Not Found")</f>
        <v/>
      </c>
      <c r="I1648" s="2">
        <f>XLOOKUP(B1648,Raw_Risk_Profiles!$A:$A,Raw_Risk_Profiles!$C:$C,"Missing")</f>
        <v/>
      </c>
      <c r="J1648" s="2">
        <f>XLOOKUP(B1648,Raw_Risk_Profiles!$A:$A,Raw_Risk_Profiles!$D:$D,"")</f>
        <v/>
      </c>
      <c r="K1648" s="2">
        <f>IFERROR(INDEX(Raw_Risk_Profiles!$E:$E,MATCH(B1648,Raw_Risk_Profiles!$A:$A,0)),"Unknown")</f>
        <v/>
      </c>
      <c r="L1648" s="2">
        <f>IFERROR(XLOOKUP(A1648,Raw_Alerts!$B:$B,Raw_Alerts!$A:$A),"No Alert")</f>
        <v/>
      </c>
      <c r="M1648" s="2">
        <f>IFERROR(XLOOKUP(A1648,Raw_Alerts!$B:$B,Raw_Alerts!$C:$C),"")</f>
        <v/>
      </c>
      <c r="N1648" s="2">
        <f>IFERROR(XLOOKUP(A1648,Raw_Alerts!$B:$B,Raw_Alerts!$D:$D),"")</f>
        <v/>
      </c>
      <c r="O1648" s="2">
        <f>IFERROR(XLOOKUP(A1648,Raw_Alerts!$B:$B,Raw_Alerts!$F:$F),"")</f>
        <v/>
      </c>
      <c r="P1648" s="2">
        <f>IF(H1648="Not Found","CRITICAL: No Risk Profile",IF(I1648="Missing","WARN: Missing KYC",IF(I1648="Expired","WARN: KYC Expired",IF(I1648="Pending","INFO: KYC Pending","OK"))))</f>
        <v/>
      </c>
    </row>
    <row r="1649">
      <c r="A1649" s="4">
        <f>Raw_Transactions!A1649</f>
        <v/>
      </c>
      <c r="B1649" s="4">
        <f>Raw_Transactions!B1649</f>
        <v/>
      </c>
      <c r="C1649" s="4">
        <f>Raw_Transactions!C1649</f>
        <v/>
      </c>
      <c r="D1649" s="5">
        <f>Raw_Transactions!D1649</f>
        <v/>
      </c>
      <c r="E1649" s="4">
        <f>Raw_Transactions!E1649</f>
        <v/>
      </c>
      <c r="F1649" s="4">
        <f>Raw_Transactions!F1649</f>
        <v/>
      </c>
      <c r="G1649" s="4">
        <f>Raw_Transactions!G1649</f>
        <v/>
      </c>
      <c r="H1649" s="4">
        <f>XLOOKUP(B1649,Raw_Risk_Profiles!$A:$A,Raw_Risk_Profiles!$B:$B,"Not Found")</f>
        <v/>
      </c>
      <c r="I1649" s="4">
        <f>XLOOKUP(B1649,Raw_Risk_Profiles!$A:$A,Raw_Risk_Profiles!$C:$C,"Missing")</f>
        <v/>
      </c>
      <c r="J1649" s="4">
        <f>XLOOKUP(B1649,Raw_Risk_Profiles!$A:$A,Raw_Risk_Profiles!$D:$D,"")</f>
        <v/>
      </c>
      <c r="K1649" s="4">
        <f>IFERROR(INDEX(Raw_Risk_Profiles!$E:$E,MATCH(B1649,Raw_Risk_Profiles!$A:$A,0)),"Unknown")</f>
        <v/>
      </c>
      <c r="L1649" s="4">
        <f>IFERROR(XLOOKUP(A1649,Raw_Alerts!$B:$B,Raw_Alerts!$A:$A),"No Alert")</f>
        <v/>
      </c>
      <c r="M1649" s="4">
        <f>IFERROR(XLOOKUP(A1649,Raw_Alerts!$B:$B,Raw_Alerts!$C:$C),"")</f>
        <v/>
      </c>
      <c r="N1649" s="4">
        <f>IFERROR(XLOOKUP(A1649,Raw_Alerts!$B:$B,Raw_Alerts!$D:$D),"")</f>
        <v/>
      </c>
      <c r="O1649" s="4">
        <f>IFERROR(XLOOKUP(A1649,Raw_Alerts!$B:$B,Raw_Alerts!$F:$F),"")</f>
        <v/>
      </c>
      <c r="P1649" s="4">
        <f>IF(H1649="Not Found","CRITICAL: No Risk Profile",IF(I1649="Missing","WARN: Missing KYC",IF(I1649="Expired","WARN: KYC Expired",IF(I1649="Pending","INFO: KYC Pending","OK"))))</f>
        <v/>
      </c>
    </row>
    <row r="1650">
      <c r="A1650" s="2">
        <f>Raw_Transactions!A1650</f>
        <v/>
      </c>
      <c r="B1650" s="2">
        <f>Raw_Transactions!B1650</f>
        <v/>
      </c>
      <c r="C1650" s="2">
        <f>Raw_Transactions!C1650</f>
        <v/>
      </c>
      <c r="D1650" s="3">
        <f>Raw_Transactions!D1650</f>
        <v/>
      </c>
      <c r="E1650" s="2">
        <f>Raw_Transactions!E1650</f>
        <v/>
      </c>
      <c r="F1650" s="2">
        <f>Raw_Transactions!F1650</f>
        <v/>
      </c>
      <c r="G1650" s="2">
        <f>Raw_Transactions!G1650</f>
        <v/>
      </c>
      <c r="H1650" s="2">
        <f>XLOOKUP(B1650,Raw_Risk_Profiles!$A:$A,Raw_Risk_Profiles!$B:$B,"Not Found")</f>
        <v/>
      </c>
      <c r="I1650" s="2">
        <f>XLOOKUP(B1650,Raw_Risk_Profiles!$A:$A,Raw_Risk_Profiles!$C:$C,"Missing")</f>
        <v/>
      </c>
      <c r="J1650" s="2">
        <f>XLOOKUP(B1650,Raw_Risk_Profiles!$A:$A,Raw_Risk_Profiles!$D:$D,"")</f>
        <v/>
      </c>
      <c r="K1650" s="2">
        <f>IFERROR(INDEX(Raw_Risk_Profiles!$E:$E,MATCH(B1650,Raw_Risk_Profiles!$A:$A,0)),"Unknown")</f>
        <v/>
      </c>
      <c r="L1650" s="2">
        <f>IFERROR(XLOOKUP(A1650,Raw_Alerts!$B:$B,Raw_Alerts!$A:$A),"No Alert")</f>
        <v/>
      </c>
      <c r="M1650" s="2">
        <f>IFERROR(XLOOKUP(A1650,Raw_Alerts!$B:$B,Raw_Alerts!$C:$C),"")</f>
        <v/>
      </c>
      <c r="N1650" s="2">
        <f>IFERROR(XLOOKUP(A1650,Raw_Alerts!$B:$B,Raw_Alerts!$D:$D),"")</f>
        <v/>
      </c>
      <c r="O1650" s="2">
        <f>IFERROR(XLOOKUP(A1650,Raw_Alerts!$B:$B,Raw_Alerts!$F:$F),"")</f>
        <v/>
      </c>
      <c r="P1650" s="2">
        <f>IF(H1650="Not Found","CRITICAL: No Risk Profile",IF(I1650="Missing","WARN: Missing KYC",IF(I1650="Expired","WARN: KYC Expired",IF(I1650="Pending","INFO: KYC Pending","OK"))))</f>
        <v/>
      </c>
    </row>
    <row r="1651">
      <c r="A1651" s="4">
        <f>Raw_Transactions!A1651</f>
        <v/>
      </c>
      <c r="B1651" s="4">
        <f>Raw_Transactions!B1651</f>
        <v/>
      </c>
      <c r="C1651" s="4">
        <f>Raw_Transactions!C1651</f>
        <v/>
      </c>
      <c r="D1651" s="5">
        <f>Raw_Transactions!D1651</f>
        <v/>
      </c>
      <c r="E1651" s="4">
        <f>Raw_Transactions!E1651</f>
        <v/>
      </c>
      <c r="F1651" s="4">
        <f>Raw_Transactions!F1651</f>
        <v/>
      </c>
      <c r="G1651" s="4">
        <f>Raw_Transactions!G1651</f>
        <v/>
      </c>
      <c r="H1651" s="4">
        <f>XLOOKUP(B1651,Raw_Risk_Profiles!$A:$A,Raw_Risk_Profiles!$B:$B,"Not Found")</f>
        <v/>
      </c>
      <c r="I1651" s="4">
        <f>XLOOKUP(B1651,Raw_Risk_Profiles!$A:$A,Raw_Risk_Profiles!$C:$C,"Missing")</f>
        <v/>
      </c>
      <c r="J1651" s="4">
        <f>XLOOKUP(B1651,Raw_Risk_Profiles!$A:$A,Raw_Risk_Profiles!$D:$D,"")</f>
        <v/>
      </c>
      <c r="K1651" s="4">
        <f>IFERROR(INDEX(Raw_Risk_Profiles!$E:$E,MATCH(B1651,Raw_Risk_Profiles!$A:$A,0)),"Unknown")</f>
        <v/>
      </c>
      <c r="L1651" s="4">
        <f>IFERROR(XLOOKUP(A1651,Raw_Alerts!$B:$B,Raw_Alerts!$A:$A),"No Alert")</f>
        <v/>
      </c>
      <c r="M1651" s="4">
        <f>IFERROR(XLOOKUP(A1651,Raw_Alerts!$B:$B,Raw_Alerts!$C:$C),"")</f>
        <v/>
      </c>
      <c r="N1651" s="4">
        <f>IFERROR(XLOOKUP(A1651,Raw_Alerts!$B:$B,Raw_Alerts!$D:$D),"")</f>
        <v/>
      </c>
      <c r="O1651" s="4">
        <f>IFERROR(XLOOKUP(A1651,Raw_Alerts!$B:$B,Raw_Alerts!$F:$F),"")</f>
        <v/>
      </c>
      <c r="P1651" s="4">
        <f>IF(H1651="Not Found","CRITICAL: No Risk Profile",IF(I1651="Missing","WARN: Missing KYC",IF(I1651="Expired","WARN: KYC Expired",IF(I1651="Pending","INFO: KYC Pending","OK"))))</f>
        <v/>
      </c>
    </row>
    <row r="1652">
      <c r="A1652" s="2">
        <f>Raw_Transactions!A1652</f>
        <v/>
      </c>
      <c r="B1652" s="2">
        <f>Raw_Transactions!B1652</f>
        <v/>
      </c>
      <c r="C1652" s="2">
        <f>Raw_Transactions!C1652</f>
        <v/>
      </c>
      <c r="D1652" s="3">
        <f>Raw_Transactions!D1652</f>
        <v/>
      </c>
      <c r="E1652" s="2">
        <f>Raw_Transactions!E1652</f>
        <v/>
      </c>
      <c r="F1652" s="2">
        <f>Raw_Transactions!F1652</f>
        <v/>
      </c>
      <c r="G1652" s="2">
        <f>Raw_Transactions!G1652</f>
        <v/>
      </c>
      <c r="H1652" s="2">
        <f>XLOOKUP(B1652,Raw_Risk_Profiles!$A:$A,Raw_Risk_Profiles!$B:$B,"Not Found")</f>
        <v/>
      </c>
      <c r="I1652" s="2">
        <f>XLOOKUP(B1652,Raw_Risk_Profiles!$A:$A,Raw_Risk_Profiles!$C:$C,"Missing")</f>
        <v/>
      </c>
      <c r="J1652" s="2">
        <f>XLOOKUP(B1652,Raw_Risk_Profiles!$A:$A,Raw_Risk_Profiles!$D:$D,"")</f>
        <v/>
      </c>
      <c r="K1652" s="2">
        <f>IFERROR(INDEX(Raw_Risk_Profiles!$E:$E,MATCH(B1652,Raw_Risk_Profiles!$A:$A,0)),"Unknown")</f>
        <v/>
      </c>
      <c r="L1652" s="2">
        <f>IFERROR(XLOOKUP(A1652,Raw_Alerts!$B:$B,Raw_Alerts!$A:$A),"No Alert")</f>
        <v/>
      </c>
      <c r="M1652" s="2">
        <f>IFERROR(XLOOKUP(A1652,Raw_Alerts!$B:$B,Raw_Alerts!$C:$C),"")</f>
        <v/>
      </c>
      <c r="N1652" s="2">
        <f>IFERROR(XLOOKUP(A1652,Raw_Alerts!$B:$B,Raw_Alerts!$D:$D),"")</f>
        <v/>
      </c>
      <c r="O1652" s="2">
        <f>IFERROR(XLOOKUP(A1652,Raw_Alerts!$B:$B,Raw_Alerts!$F:$F),"")</f>
        <v/>
      </c>
      <c r="P1652" s="2">
        <f>IF(H1652="Not Found","CRITICAL: No Risk Profile",IF(I1652="Missing","WARN: Missing KYC",IF(I1652="Expired","WARN: KYC Expired",IF(I1652="Pending","INFO: KYC Pending","OK"))))</f>
        <v/>
      </c>
    </row>
    <row r="1653">
      <c r="A1653" s="4">
        <f>Raw_Transactions!A1653</f>
        <v/>
      </c>
      <c r="B1653" s="4">
        <f>Raw_Transactions!B1653</f>
        <v/>
      </c>
      <c r="C1653" s="4">
        <f>Raw_Transactions!C1653</f>
        <v/>
      </c>
      <c r="D1653" s="5">
        <f>Raw_Transactions!D1653</f>
        <v/>
      </c>
      <c r="E1653" s="4">
        <f>Raw_Transactions!E1653</f>
        <v/>
      </c>
      <c r="F1653" s="4">
        <f>Raw_Transactions!F1653</f>
        <v/>
      </c>
      <c r="G1653" s="4">
        <f>Raw_Transactions!G1653</f>
        <v/>
      </c>
      <c r="H1653" s="4">
        <f>XLOOKUP(B1653,Raw_Risk_Profiles!$A:$A,Raw_Risk_Profiles!$B:$B,"Not Found")</f>
        <v/>
      </c>
      <c r="I1653" s="4">
        <f>XLOOKUP(B1653,Raw_Risk_Profiles!$A:$A,Raw_Risk_Profiles!$C:$C,"Missing")</f>
        <v/>
      </c>
      <c r="J1653" s="4">
        <f>XLOOKUP(B1653,Raw_Risk_Profiles!$A:$A,Raw_Risk_Profiles!$D:$D,"")</f>
        <v/>
      </c>
      <c r="K1653" s="4">
        <f>IFERROR(INDEX(Raw_Risk_Profiles!$E:$E,MATCH(B1653,Raw_Risk_Profiles!$A:$A,0)),"Unknown")</f>
        <v/>
      </c>
      <c r="L1653" s="4">
        <f>IFERROR(XLOOKUP(A1653,Raw_Alerts!$B:$B,Raw_Alerts!$A:$A),"No Alert")</f>
        <v/>
      </c>
      <c r="M1653" s="4">
        <f>IFERROR(XLOOKUP(A1653,Raw_Alerts!$B:$B,Raw_Alerts!$C:$C),"")</f>
        <v/>
      </c>
      <c r="N1653" s="4">
        <f>IFERROR(XLOOKUP(A1653,Raw_Alerts!$B:$B,Raw_Alerts!$D:$D),"")</f>
        <v/>
      </c>
      <c r="O1653" s="4">
        <f>IFERROR(XLOOKUP(A1653,Raw_Alerts!$B:$B,Raw_Alerts!$F:$F),"")</f>
        <v/>
      </c>
      <c r="P1653" s="4">
        <f>IF(H1653="Not Found","CRITICAL: No Risk Profile",IF(I1653="Missing","WARN: Missing KYC",IF(I1653="Expired","WARN: KYC Expired",IF(I1653="Pending","INFO: KYC Pending","OK"))))</f>
        <v/>
      </c>
    </row>
    <row r="1654">
      <c r="A1654" s="2">
        <f>Raw_Transactions!A1654</f>
        <v/>
      </c>
      <c r="B1654" s="2">
        <f>Raw_Transactions!B1654</f>
        <v/>
      </c>
      <c r="C1654" s="2">
        <f>Raw_Transactions!C1654</f>
        <v/>
      </c>
      <c r="D1654" s="3">
        <f>Raw_Transactions!D1654</f>
        <v/>
      </c>
      <c r="E1654" s="2">
        <f>Raw_Transactions!E1654</f>
        <v/>
      </c>
      <c r="F1654" s="2">
        <f>Raw_Transactions!F1654</f>
        <v/>
      </c>
      <c r="G1654" s="2">
        <f>Raw_Transactions!G1654</f>
        <v/>
      </c>
      <c r="H1654" s="2">
        <f>XLOOKUP(B1654,Raw_Risk_Profiles!$A:$A,Raw_Risk_Profiles!$B:$B,"Not Found")</f>
        <v/>
      </c>
      <c r="I1654" s="2">
        <f>XLOOKUP(B1654,Raw_Risk_Profiles!$A:$A,Raw_Risk_Profiles!$C:$C,"Missing")</f>
        <v/>
      </c>
      <c r="J1654" s="2">
        <f>XLOOKUP(B1654,Raw_Risk_Profiles!$A:$A,Raw_Risk_Profiles!$D:$D,"")</f>
        <v/>
      </c>
      <c r="K1654" s="2">
        <f>IFERROR(INDEX(Raw_Risk_Profiles!$E:$E,MATCH(B1654,Raw_Risk_Profiles!$A:$A,0)),"Unknown")</f>
        <v/>
      </c>
      <c r="L1654" s="2">
        <f>IFERROR(XLOOKUP(A1654,Raw_Alerts!$B:$B,Raw_Alerts!$A:$A),"No Alert")</f>
        <v/>
      </c>
      <c r="M1654" s="2">
        <f>IFERROR(XLOOKUP(A1654,Raw_Alerts!$B:$B,Raw_Alerts!$C:$C),"")</f>
        <v/>
      </c>
      <c r="N1654" s="2">
        <f>IFERROR(XLOOKUP(A1654,Raw_Alerts!$B:$B,Raw_Alerts!$D:$D),"")</f>
        <v/>
      </c>
      <c r="O1654" s="2">
        <f>IFERROR(XLOOKUP(A1654,Raw_Alerts!$B:$B,Raw_Alerts!$F:$F),"")</f>
        <v/>
      </c>
      <c r="P1654" s="2">
        <f>IF(H1654="Not Found","CRITICAL: No Risk Profile",IF(I1654="Missing","WARN: Missing KYC",IF(I1654="Expired","WARN: KYC Expired",IF(I1654="Pending","INFO: KYC Pending","OK"))))</f>
        <v/>
      </c>
    </row>
    <row r="1655">
      <c r="A1655" s="4">
        <f>Raw_Transactions!A1655</f>
        <v/>
      </c>
      <c r="B1655" s="4">
        <f>Raw_Transactions!B1655</f>
        <v/>
      </c>
      <c r="C1655" s="4">
        <f>Raw_Transactions!C1655</f>
        <v/>
      </c>
      <c r="D1655" s="5">
        <f>Raw_Transactions!D1655</f>
        <v/>
      </c>
      <c r="E1655" s="4">
        <f>Raw_Transactions!E1655</f>
        <v/>
      </c>
      <c r="F1655" s="4">
        <f>Raw_Transactions!F1655</f>
        <v/>
      </c>
      <c r="G1655" s="4">
        <f>Raw_Transactions!G1655</f>
        <v/>
      </c>
      <c r="H1655" s="4">
        <f>XLOOKUP(B1655,Raw_Risk_Profiles!$A:$A,Raw_Risk_Profiles!$B:$B,"Not Found")</f>
        <v/>
      </c>
      <c r="I1655" s="4">
        <f>XLOOKUP(B1655,Raw_Risk_Profiles!$A:$A,Raw_Risk_Profiles!$C:$C,"Missing")</f>
        <v/>
      </c>
      <c r="J1655" s="4">
        <f>XLOOKUP(B1655,Raw_Risk_Profiles!$A:$A,Raw_Risk_Profiles!$D:$D,"")</f>
        <v/>
      </c>
      <c r="K1655" s="4">
        <f>IFERROR(INDEX(Raw_Risk_Profiles!$E:$E,MATCH(B1655,Raw_Risk_Profiles!$A:$A,0)),"Unknown")</f>
        <v/>
      </c>
      <c r="L1655" s="4">
        <f>IFERROR(XLOOKUP(A1655,Raw_Alerts!$B:$B,Raw_Alerts!$A:$A),"No Alert")</f>
        <v/>
      </c>
      <c r="M1655" s="4">
        <f>IFERROR(XLOOKUP(A1655,Raw_Alerts!$B:$B,Raw_Alerts!$C:$C),"")</f>
        <v/>
      </c>
      <c r="N1655" s="4">
        <f>IFERROR(XLOOKUP(A1655,Raw_Alerts!$B:$B,Raw_Alerts!$D:$D),"")</f>
        <v/>
      </c>
      <c r="O1655" s="4">
        <f>IFERROR(XLOOKUP(A1655,Raw_Alerts!$B:$B,Raw_Alerts!$F:$F),"")</f>
        <v/>
      </c>
      <c r="P1655" s="4">
        <f>IF(H1655="Not Found","CRITICAL: No Risk Profile",IF(I1655="Missing","WARN: Missing KYC",IF(I1655="Expired","WARN: KYC Expired",IF(I1655="Pending","INFO: KYC Pending","OK"))))</f>
        <v/>
      </c>
    </row>
    <row r="1656">
      <c r="A1656" s="2">
        <f>Raw_Transactions!A1656</f>
        <v/>
      </c>
      <c r="B1656" s="2">
        <f>Raw_Transactions!B1656</f>
        <v/>
      </c>
      <c r="C1656" s="2">
        <f>Raw_Transactions!C1656</f>
        <v/>
      </c>
      <c r="D1656" s="3">
        <f>Raw_Transactions!D1656</f>
        <v/>
      </c>
      <c r="E1656" s="2">
        <f>Raw_Transactions!E1656</f>
        <v/>
      </c>
      <c r="F1656" s="2">
        <f>Raw_Transactions!F1656</f>
        <v/>
      </c>
      <c r="G1656" s="2">
        <f>Raw_Transactions!G1656</f>
        <v/>
      </c>
      <c r="H1656" s="2">
        <f>XLOOKUP(B1656,Raw_Risk_Profiles!$A:$A,Raw_Risk_Profiles!$B:$B,"Not Found")</f>
        <v/>
      </c>
      <c r="I1656" s="2">
        <f>XLOOKUP(B1656,Raw_Risk_Profiles!$A:$A,Raw_Risk_Profiles!$C:$C,"Missing")</f>
        <v/>
      </c>
      <c r="J1656" s="2">
        <f>XLOOKUP(B1656,Raw_Risk_Profiles!$A:$A,Raw_Risk_Profiles!$D:$D,"")</f>
        <v/>
      </c>
      <c r="K1656" s="2">
        <f>IFERROR(INDEX(Raw_Risk_Profiles!$E:$E,MATCH(B1656,Raw_Risk_Profiles!$A:$A,0)),"Unknown")</f>
        <v/>
      </c>
      <c r="L1656" s="2">
        <f>IFERROR(XLOOKUP(A1656,Raw_Alerts!$B:$B,Raw_Alerts!$A:$A),"No Alert")</f>
        <v/>
      </c>
      <c r="M1656" s="2">
        <f>IFERROR(XLOOKUP(A1656,Raw_Alerts!$B:$B,Raw_Alerts!$C:$C),"")</f>
        <v/>
      </c>
      <c r="N1656" s="2">
        <f>IFERROR(XLOOKUP(A1656,Raw_Alerts!$B:$B,Raw_Alerts!$D:$D),"")</f>
        <v/>
      </c>
      <c r="O1656" s="2">
        <f>IFERROR(XLOOKUP(A1656,Raw_Alerts!$B:$B,Raw_Alerts!$F:$F),"")</f>
        <v/>
      </c>
      <c r="P1656" s="2">
        <f>IF(H1656="Not Found","CRITICAL: No Risk Profile",IF(I1656="Missing","WARN: Missing KYC",IF(I1656="Expired","WARN: KYC Expired",IF(I1656="Pending","INFO: KYC Pending","OK"))))</f>
        <v/>
      </c>
    </row>
    <row r="1657">
      <c r="A1657" s="4">
        <f>Raw_Transactions!A1657</f>
        <v/>
      </c>
      <c r="B1657" s="4">
        <f>Raw_Transactions!B1657</f>
        <v/>
      </c>
      <c r="C1657" s="4">
        <f>Raw_Transactions!C1657</f>
        <v/>
      </c>
      <c r="D1657" s="5">
        <f>Raw_Transactions!D1657</f>
        <v/>
      </c>
      <c r="E1657" s="4">
        <f>Raw_Transactions!E1657</f>
        <v/>
      </c>
      <c r="F1657" s="4">
        <f>Raw_Transactions!F1657</f>
        <v/>
      </c>
      <c r="G1657" s="4">
        <f>Raw_Transactions!G1657</f>
        <v/>
      </c>
      <c r="H1657" s="4">
        <f>XLOOKUP(B1657,Raw_Risk_Profiles!$A:$A,Raw_Risk_Profiles!$B:$B,"Not Found")</f>
        <v/>
      </c>
      <c r="I1657" s="4">
        <f>XLOOKUP(B1657,Raw_Risk_Profiles!$A:$A,Raw_Risk_Profiles!$C:$C,"Missing")</f>
        <v/>
      </c>
      <c r="J1657" s="4">
        <f>XLOOKUP(B1657,Raw_Risk_Profiles!$A:$A,Raw_Risk_Profiles!$D:$D,"")</f>
        <v/>
      </c>
      <c r="K1657" s="4">
        <f>IFERROR(INDEX(Raw_Risk_Profiles!$E:$E,MATCH(B1657,Raw_Risk_Profiles!$A:$A,0)),"Unknown")</f>
        <v/>
      </c>
      <c r="L1657" s="4">
        <f>IFERROR(XLOOKUP(A1657,Raw_Alerts!$B:$B,Raw_Alerts!$A:$A),"No Alert")</f>
        <v/>
      </c>
      <c r="M1657" s="4">
        <f>IFERROR(XLOOKUP(A1657,Raw_Alerts!$B:$B,Raw_Alerts!$C:$C),"")</f>
        <v/>
      </c>
      <c r="N1657" s="4">
        <f>IFERROR(XLOOKUP(A1657,Raw_Alerts!$B:$B,Raw_Alerts!$D:$D),"")</f>
        <v/>
      </c>
      <c r="O1657" s="4">
        <f>IFERROR(XLOOKUP(A1657,Raw_Alerts!$B:$B,Raw_Alerts!$F:$F),"")</f>
        <v/>
      </c>
      <c r="P1657" s="4">
        <f>IF(H1657="Not Found","CRITICAL: No Risk Profile",IF(I1657="Missing","WARN: Missing KYC",IF(I1657="Expired","WARN: KYC Expired",IF(I1657="Pending","INFO: KYC Pending","OK"))))</f>
        <v/>
      </c>
    </row>
    <row r="1658">
      <c r="A1658" s="2">
        <f>Raw_Transactions!A1658</f>
        <v/>
      </c>
      <c r="B1658" s="2">
        <f>Raw_Transactions!B1658</f>
        <v/>
      </c>
      <c r="C1658" s="2">
        <f>Raw_Transactions!C1658</f>
        <v/>
      </c>
      <c r="D1658" s="3">
        <f>Raw_Transactions!D1658</f>
        <v/>
      </c>
      <c r="E1658" s="2">
        <f>Raw_Transactions!E1658</f>
        <v/>
      </c>
      <c r="F1658" s="2">
        <f>Raw_Transactions!F1658</f>
        <v/>
      </c>
      <c r="G1658" s="2">
        <f>Raw_Transactions!G1658</f>
        <v/>
      </c>
      <c r="H1658" s="2">
        <f>XLOOKUP(B1658,Raw_Risk_Profiles!$A:$A,Raw_Risk_Profiles!$B:$B,"Not Found")</f>
        <v/>
      </c>
      <c r="I1658" s="2">
        <f>XLOOKUP(B1658,Raw_Risk_Profiles!$A:$A,Raw_Risk_Profiles!$C:$C,"Missing")</f>
        <v/>
      </c>
      <c r="J1658" s="2">
        <f>XLOOKUP(B1658,Raw_Risk_Profiles!$A:$A,Raw_Risk_Profiles!$D:$D,"")</f>
        <v/>
      </c>
      <c r="K1658" s="2">
        <f>IFERROR(INDEX(Raw_Risk_Profiles!$E:$E,MATCH(B1658,Raw_Risk_Profiles!$A:$A,0)),"Unknown")</f>
        <v/>
      </c>
      <c r="L1658" s="2">
        <f>IFERROR(XLOOKUP(A1658,Raw_Alerts!$B:$B,Raw_Alerts!$A:$A),"No Alert")</f>
        <v/>
      </c>
      <c r="M1658" s="2">
        <f>IFERROR(XLOOKUP(A1658,Raw_Alerts!$B:$B,Raw_Alerts!$C:$C),"")</f>
        <v/>
      </c>
      <c r="N1658" s="2">
        <f>IFERROR(XLOOKUP(A1658,Raw_Alerts!$B:$B,Raw_Alerts!$D:$D),"")</f>
        <v/>
      </c>
      <c r="O1658" s="2">
        <f>IFERROR(XLOOKUP(A1658,Raw_Alerts!$B:$B,Raw_Alerts!$F:$F),"")</f>
        <v/>
      </c>
      <c r="P1658" s="2">
        <f>IF(H1658="Not Found","CRITICAL: No Risk Profile",IF(I1658="Missing","WARN: Missing KYC",IF(I1658="Expired","WARN: KYC Expired",IF(I1658="Pending","INFO: KYC Pending","OK"))))</f>
        <v/>
      </c>
    </row>
    <row r="1659">
      <c r="A1659" s="4">
        <f>Raw_Transactions!A1659</f>
        <v/>
      </c>
      <c r="B1659" s="4">
        <f>Raw_Transactions!B1659</f>
        <v/>
      </c>
      <c r="C1659" s="4">
        <f>Raw_Transactions!C1659</f>
        <v/>
      </c>
      <c r="D1659" s="5">
        <f>Raw_Transactions!D1659</f>
        <v/>
      </c>
      <c r="E1659" s="4">
        <f>Raw_Transactions!E1659</f>
        <v/>
      </c>
      <c r="F1659" s="4">
        <f>Raw_Transactions!F1659</f>
        <v/>
      </c>
      <c r="G1659" s="4">
        <f>Raw_Transactions!G1659</f>
        <v/>
      </c>
      <c r="H1659" s="4">
        <f>XLOOKUP(B1659,Raw_Risk_Profiles!$A:$A,Raw_Risk_Profiles!$B:$B,"Not Found")</f>
        <v/>
      </c>
      <c r="I1659" s="4">
        <f>XLOOKUP(B1659,Raw_Risk_Profiles!$A:$A,Raw_Risk_Profiles!$C:$C,"Missing")</f>
        <v/>
      </c>
      <c r="J1659" s="4">
        <f>XLOOKUP(B1659,Raw_Risk_Profiles!$A:$A,Raw_Risk_Profiles!$D:$D,"")</f>
        <v/>
      </c>
      <c r="K1659" s="4">
        <f>IFERROR(INDEX(Raw_Risk_Profiles!$E:$E,MATCH(B1659,Raw_Risk_Profiles!$A:$A,0)),"Unknown")</f>
        <v/>
      </c>
      <c r="L1659" s="4">
        <f>IFERROR(XLOOKUP(A1659,Raw_Alerts!$B:$B,Raw_Alerts!$A:$A),"No Alert")</f>
        <v/>
      </c>
      <c r="M1659" s="4">
        <f>IFERROR(XLOOKUP(A1659,Raw_Alerts!$B:$B,Raw_Alerts!$C:$C),"")</f>
        <v/>
      </c>
      <c r="N1659" s="4">
        <f>IFERROR(XLOOKUP(A1659,Raw_Alerts!$B:$B,Raw_Alerts!$D:$D),"")</f>
        <v/>
      </c>
      <c r="O1659" s="4">
        <f>IFERROR(XLOOKUP(A1659,Raw_Alerts!$B:$B,Raw_Alerts!$F:$F),"")</f>
        <v/>
      </c>
      <c r="P1659" s="4">
        <f>IF(H1659="Not Found","CRITICAL: No Risk Profile",IF(I1659="Missing","WARN: Missing KYC",IF(I1659="Expired","WARN: KYC Expired",IF(I1659="Pending","INFO: KYC Pending","OK"))))</f>
        <v/>
      </c>
    </row>
    <row r="1660">
      <c r="A1660" s="2">
        <f>Raw_Transactions!A1660</f>
        <v/>
      </c>
      <c r="B1660" s="2">
        <f>Raw_Transactions!B1660</f>
        <v/>
      </c>
      <c r="C1660" s="2">
        <f>Raw_Transactions!C1660</f>
        <v/>
      </c>
      <c r="D1660" s="3">
        <f>Raw_Transactions!D1660</f>
        <v/>
      </c>
      <c r="E1660" s="2">
        <f>Raw_Transactions!E1660</f>
        <v/>
      </c>
      <c r="F1660" s="2">
        <f>Raw_Transactions!F1660</f>
        <v/>
      </c>
      <c r="G1660" s="2">
        <f>Raw_Transactions!G1660</f>
        <v/>
      </c>
      <c r="H1660" s="2">
        <f>XLOOKUP(B1660,Raw_Risk_Profiles!$A:$A,Raw_Risk_Profiles!$B:$B,"Not Found")</f>
        <v/>
      </c>
      <c r="I1660" s="2">
        <f>XLOOKUP(B1660,Raw_Risk_Profiles!$A:$A,Raw_Risk_Profiles!$C:$C,"Missing")</f>
        <v/>
      </c>
      <c r="J1660" s="2">
        <f>XLOOKUP(B1660,Raw_Risk_Profiles!$A:$A,Raw_Risk_Profiles!$D:$D,"")</f>
        <v/>
      </c>
      <c r="K1660" s="2">
        <f>IFERROR(INDEX(Raw_Risk_Profiles!$E:$E,MATCH(B1660,Raw_Risk_Profiles!$A:$A,0)),"Unknown")</f>
        <v/>
      </c>
      <c r="L1660" s="2">
        <f>IFERROR(XLOOKUP(A1660,Raw_Alerts!$B:$B,Raw_Alerts!$A:$A),"No Alert")</f>
        <v/>
      </c>
      <c r="M1660" s="2">
        <f>IFERROR(XLOOKUP(A1660,Raw_Alerts!$B:$B,Raw_Alerts!$C:$C),"")</f>
        <v/>
      </c>
      <c r="N1660" s="2">
        <f>IFERROR(XLOOKUP(A1660,Raw_Alerts!$B:$B,Raw_Alerts!$D:$D),"")</f>
        <v/>
      </c>
      <c r="O1660" s="2">
        <f>IFERROR(XLOOKUP(A1660,Raw_Alerts!$B:$B,Raw_Alerts!$F:$F),"")</f>
        <v/>
      </c>
      <c r="P1660" s="2">
        <f>IF(H1660="Not Found","CRITICAL: No Risk Profile",IF(I1660="Missing","WARN: Missing KYC",IF(I1660="Expired","WARN: KYC Expired",IF(I1660="Pending","INFO: KYC Pending","OK"))))</f>
        <v/>
      </c>
    </row>
    <row r="1661">
      <c r="A1661" s="4">
        <f>Raw_Transactions!A1661</f>
        <v/>
      </c>
      <c r="B1661" s="4">
        <f>Raw_Transactions!B1661</f>
        <v/>
      </c>
      <c r="C1661" s="4">
        <f>Raw_Transactions!C1661</f>
        <v/>
      </c>
      <c r="D1661" s="5">
        <f>Raw_Transactions!D1661</f>
        <v/>
      </c>
      <c r="E1661" s="4">
        <f>Raw_Transactions!E1661</f>
        <v/>
      </c>
      <c r="F1661" s="4">
        <f>Raw_Transactions!F1661</f>
        <v/>
      </c>
      <c r="G1661" s="4">
        <f>Raw_Transactions!G1661</f>
        <v/>
      </c>
      <c r="H1661" s="4">
        <f>XLOOKUP(B1661,Raw_Risk_Profiles!$A:$A,Raw_Risk_Profiles!$B:$B,"Not Found")</f>
        <v/>
      </c>
      <c r="I1661" s="4">
        <f>XLOOKUP(B1661,Raw_Risk_Profiles!$A:$A,Raw_Risk_Profiles!$C:$C,"Missing")</f>
        <v/>
      </c>
      <c r="J1661" s="4">
        <f>XLOOKUP(B1661,Raw_Risk_Profiles!$A:$A,Raw_Risk_Profiles!$D:$D,"")</f>
        <v/>
      </c>
      <c r="K1661" s="4">
        <f>IFERROR(INDEX(Raw_Risk_Profiles!$E:$E,MATCH(B1661,Raw_Risk_Profiles!$A:$A,0)),"Unknown")</f>
        <v/>
      </c>
      <c r="L1661" s="4">
        <f>IFERROR(XLOOKUP(A1661,Raw_Alerts!$B:$B,Raw_Alerts!$A:$A),"No Alert")</f>
        <v/>
      </c>
      <c r="M1661" s="4">
        <f>IFERROR(XLOOKUP(A1661,Raw_Alerts!$B:$B,Raw_Alerts!$C:$C),"")</f>
        <v/>
      </c>
      <c r="N1661" s="4">
        <f>IFERROR(XLOOKUP(A1661,Raw_Alerts!$B:$B,Raw_Alerts!$D:$D),"")</f>
        <v/>
      </c>
      <c r="O1661" s="4">
        <f>IFERROR(XLOOKUP(A1661,Raw_Alerts!$B:$B,Raw_Alerts!$F:$F),"")</f>
        <v/>
      </c>
      <c r="P1661" s="4">
        <f>IF(H1661="Not Found","CRITICAL: No Risk Profile",IF(I1661="Missing","WARN: Missing KYC",IF(I1661="Expired","WARN: KYC Expired",IF(I1661="Pending","INFO: KYC Pending","OK"))))</f>
        <v/>
      </c>
    </row>
    <row r="1662">
      <c r="A1662" s="2">
        <f>Raw_Transactions!A1662</f>
        <v/>
      </c>
      <c r="B1662" s="2">
        <f>Raw_Transactions!B1662</f>
        <v/>
      </c>
      <c r="C1662" s="2">
        <f>Raw_Transactions!C1662</f>
        <v/>
      </c>
      <c r="D1662" s="3">
        <f>Raw_Transactions!D1662</f>
        <v/>
      </c>
      <c r="E1662" s="2">
        <f>Raw_Transactions!E1662</f>
        <v/>
      </c>
      <c r="F1662" s="2">
        <f>Raw_Transactions!F1662</f>
        <v/>
      </c>
      <c r="G1662" s="2">
        <f>Raw_Transactions!G1662</f>
        <v/>
      </c>
      <c r="H1662" s="2">
        <f>XLOOKUP(B1662,Raw_Risk_Profiles!$A:$A,Raw_Risk_Profiles!$B:$B,"Not Found")</f>
        <v/>
      </c>
      <c r="I1662" s="2">
        <f>XLOOKUP(B1662,Raw_Risk_Profiles!$A:$A,Raw_Risk_Profiles!$C:$C,"Missing")</f>
        <v/>
      </c>
      <c r="J1662" s="2">
        <f>XLOOKUP(B1662,Raw_Risk_Profiles!$A:$A,Raw_Risk_Profiles!$D:$D,"")</f>
        <v/>
      </c>
      <c r="K1662" s="2">
        <f>IFERROR(INDEX(Raw_Risk_Profiles!$E:$E,MATCH(B1662,Raw_Risk_Profiles!$A:$A,0)),"Unknown")</f>
        <v/>
      </c>
      <c r="L1662" s="2">
        <f>IFERROR(XLOOKUP(A1662,Raw_Alerts!$B:$B,Raw_Alerts!$A:$A),"No Alert")</f>
        <v/>
      </c>
      <c r="M1662" s="2">
        <f>IFERROR(XLOOKUP(A1662,Raw_Alerts!$B:$B,Raw_Alerts!$C:$C),"")</f>
        <v/>
      </c>
      <c r="N1662" s="2">
        <f>IFERROR(XLOOKUP(A1662,Raw_Alerts!$B:$B,Raw_Alerts!$D:$D),"")</f>
        <v/>
      </c>
      <c r="O1662" s="2">
        <f>IFERROR(XLOOKUP(A1662,Raw_Alerts!$B:$B,Raw_Alerts!$F:$F),"")</f>
        <v/>
      </c>
      <c r="P1662" s="2">
        <f>IF(H1662="Not Found","CRITICAL: No Risk Profile",IF(I1662="Missing","WARN: Missing KYC",IF(I1662="Expired","WARN: KYC Expired",IF(I1662="Pending","INFO: KYC Pending","OK"))))</f>
        <v/>
      </c>
    </row>
    <row r="1663">
      <c r="A1663" s="4">
        <f>Raw_Transactions!A1663</f>
        <v/>
      </c>
      <c r="B1663" s="4">
        <f>Raw_Transactions!B1663</f>
        <v/>
      </c>
      <c r="C1663" s="4">
        <f>Raw_Transactions!C1663</f>
        <v/>
      </c>
      <c r="D1663" s="5">
        <f>Raw_Transactions!D1663</f>
        <v/>
      </c>
      <c r="E1663" s="4">
        <f>Raw_Transactions!E1663</f>
        <v/>
      </c>
      <c r="F1663" s="4">
        <f>Raw_Transactions!F1663</f>
        <v/>
      </c>
      <c r="G1663" s="4">
        <f>Raw_Transactions!G1663</f>
        <v/>
      </c>
      <c r="H1663" s="4">
        <f>XLOOKUP(B1663,Raw_Risk_Profiles!$A:$A,Raw_Risk_Profiles!$B:$B,"Not Found")</f>
        <v/>
      </c>
      <c r="I1663" s="4">
        <f>XLOOKUP(B1663,Raw_Risk_Profiles!$A:$A,Raw_Risk_Profiles!$C:$C,"Missing")</f>
        <v/>
      </c>
      <c r="J1663" s="4">
        <f>XLOOKUP(B1663,Raw_Risk_Profiles!$A:$A,Raw_Risk_Profiles!$D:$D,"")</f>
        <v/>
      </c>
      <c r="K1663" s="4">
        <f>IFERROR(INDEX(Raw_Risk_Profiles!$E:$E,MATCH(B1663,Raw_Risk_Profiles!$A:$A,0)),"Unknown")</f>
        <v/>
      </c>
      <c r="L1663" s="4">
        <f>IFERROR(XLOOKUP(A1663,Raw_Alerts!$B:$B,Raw_Alerts!$A:$A),"No Alert")</f>
        <v/>
      </c>
      <c r="M1663" s="4">
        <f>IFERROR(XLOOKUP(A1663,Raw_Alerts!$B:$B,Raw_Alerts!$C:$C),"")</f>
        <v/>
      </c>
      <c r="N1663" s="4">
        <f>IFERROR(XLOOKUP(A1663,Raw_Alerts!$B:$B,Raw_Alerts!$D:$D),"")</f>
        <v/>
      </c>
      <c r="O1663" s="4">
        <f>IFERROR(XLOOKUP(A1663,Raw_Alerts!$B:$B,Raw_Alerts!$F:$F),"")</f>
        <v/>
      </c>
      <c r="P1663" s="4">
        <f>IF(H1663="Not Found","CRITICAL: No Risk Profile",IF(I1663="Missing","WARN: Missing KYC",IF(I1663="Expired","WARN: KYC Expired",IF(I1663="Pending","INFO: KYC Pending","OK"))))</f>
        <v/>
      </c>
    </row>
    <row r="1664">
      <c r="A1664" s="2">
        <f>Raw_Transactions!A1664</f>
        <v/>
      </c>
      <c r="B1664" s="2">
        <f>Raw_Transactions!B1664</f>
        <v/>
      </c>
      <c r="C1664" s="2">
        <f>Raw_Transactions!C1664</f>
        <v/>
      </c>
      <c r="D1664" s="3">
        <f>Raw_Transactions!D1664</f>
        <v/>
      </c>
      <c r="E1664" s="2">
        <f>Raw_Transactions!E1664</f>
        <v/>
      </c>
      <c r="F1664" s="2">
        <f>Raw_Transactions!F1664</f>
        <v/>
      </c>
      <c r="G1664" s="2">
        <f>Raw_Transactions!G1664</f>
        <v/>
      </c>
      <c r="H1664" s="2">
        <f>XLOOKUP(B1664,Raw_Risk_Profiles!$A:$A,Raw_Risk_Profiles!$B:$B,"Not Found")</f>
        <v/>
      </c>
      <c r="I1664" s="2">
        <f>XLOOKUP(B1664,Raw_Risk_Profiles!$A:$A,Raw_Risk_Profiles!$C:$C,"Missing")</f>
        <v/>
      </c>
      <c r="J1664" s="2">
        <f>XLOOKUP(B1664,Raw_Risk_Profiles!$A:$A,Raw_Risk_Profiles!$D:$D,"")</f>
        <v/>
      </c>
      <c r="K1664" s="2">
        <f>IFERROR(INDEX(Raw_Risk_Profiles!$E:$E,MATCH(B1664,Raw_Risk_Profiles!$A:$A,0)),"Unknown")</f>
        <v/>
      </c>
      <c r="L1664" s="2">
        <f>IFERROR(XLOOKUP(A1664,Raw_Alerts!$B:$B,Raw_Alerts!$A:$A),"No Alert")</f>
        <v/>
      </c>
      <c r="M1664" s="2">
        <f>IFERROR(XLOOKUP(A1664,Raw_Alerts!$B:$B,Raw_Alerts!$C:$C),"")</f>
        <v/>
      </c>
      <c r="N1664" s="2">
        <f>IFERROR(XLOOKUP(A1664,Raw_Alerts!$B:$B,Raw_Alerts!$D:$D),"")</f>
        <v/>
      </c>
      <c r="O1664" s="2">
        <f>IFERROR(XLOOKUP(A1664,Raw_Alerts!$B:$B,Raw_Alerts!$F:$F),"")</f>
        <v/>
      </c>
      <c r="P1664" s="2">
        <f>IF(H1664="Not Found","CRITICAL: No Risk Profile",IF(I1664="Missing","WARN: Missing KYC",IF(I1664="Expired","WARN: KYC Expired",IF(I1664="Pending","INFO: KYC Pending","OK"))))</f>
        <v/>
      </c>
    </row>
    <row r="1665">
      <c r="A1665" s="4">
        <f>Raw_Transactions!A1665</f>
        <v/>
      </c>
      <c r="B1665" s="4">
        <f>Raw_Transactions!B1665</f>
        <v/>
      </c>
      <c r="C1665" s="4">
        <f>Raw_Transactions!C1665</f>
        <v/>
      </c>
      <c r="D1665" s="5">
        <f>Raw_Transactions!D1665</f>
        <v/>
      </c>
      <c r="E1665" s="4">
        <f>Raw_Transactions!E1665</f>
        <v/>
      </c>
      <c r="F1665" s="4">
        <f>Raw_Transactions!F1665</f>
        <v/>
      </c>
      <c r="G1665" s="4">
        <f>Raw_Transactions!G1665</f>
        <v/>
      </c>
      <c r="H1665" s="4">
        <f>XLOOKUP(B1665,Raw_Risk_Profiles!$A:$A,Raw_Risk_Profiles!$B:$B,"Not Found")</f>
        <v/>
      </c>
      <c r="I1665" s="4">
        <f>XLOOKUP(B1665,Raw_Risk_Profiles!$A:$A,Raw_Risk_Profiles!$C:$C,"Missing")</f>
        <v/>
      </c>
      <c r="J1665" s="4">
        <f>XLOOKUP(B1665,Raw_Risk_Profiles!$A:$A,Raw_Risk_Profiles!$D:$D,"")</f>
        <v/>
      </c>
      <c r="K1665" s="4">
        <f>IFERROR(INDEX(Raw_Risk_Profiles!$E:$E,MATCH(B1665,Raw_Risk_Profiles!$A:$A,0)),"Unknown")</f>
        <v/>
      </c>
      <c r="L1665" s="4">
        <f>IFERROR(XLOOKUP(A1665,Raw_Alerts!$B:$B,Raw_Alerts!$A:$A),"No Alert")</f>
        <v/>
      </c>
      <c r="M1665" s="4">
        <f>IFERROR(XLOOKUP(A1665,Raw_Alerts!$B:$B,Raw_Alerts!$C:$C),"")</f>
        <v/>
      </c>
      <c r="N1665" s="4">
        <f>IFERROR(XLOOKUP(A1665,Raw_Alerts!$B:$B,Raw_Alerts!$D:$D),"")</f>
        <v/>
      </c>
      <c r="O1665" s="4">
        <f>IFERROR(XLOOKUP(A1665,Raw_Alerts!$B:$B,Raw_Alerts!$F:$F),"")</f>
        <v/>
      </c>
      <c r="P1665" s="4">
        <f>IF(H1665="Not Found","CRITICAL: No Risk Profile",IF(I1665="Missing","WARN: Missing KYC",IF(I1665="Expired","WARN: KYC Expired",IF(I1665="Pending","INFO: KYC Pending","OK"))))</f>
        <v/>
      </c>
    </row>
    <row r="1666">
      <c r="A1666" s="2">
        <f>Raw_Transactions!A1666</f>
        <v/>
      </c>
      <c r="B1666" s="2">
        <f>Raw_Transactions!B1666</f>
        <v/>
      </c>
      <c r="C1666" s="2">
        <f>Raw_Transactions!C1666</f>
        <v/>
      </c>
      <c r="D1666" s="3">
        <f>Raw_Transactions!D1666</f>
        <v/>
      </c>
      <c r="E1666" s="2">
        <f>Raw_Transactions!E1666</f>
        <v/>
      </c>
      <c r="F1666" s="2">
        <f>Raw_Transactions!F1666</f>
        <v/>
      </c>
      <c r="G1666" s="2">
        <f>Raw_Transactions!G1666</f>
        <v/>
      </c>
      <c r="H1666" s="2">
        <f>XLOOKUP(B1666,Raw_Risk_Profiles!$A:$A,Raw_Risk_Profiles!$B:$B,"Not Found")</f>
        <v/>
      </c>
      <c r="I1666" s="2">
        <f>XLOOKUP(B1666,Raw_Risk_Profiles!$A:$A,Raw_Risk_Profiles!$C:$C,"Missing")</f>
        <v/>
      </c>
      <c r="J1666" s="2">
        <f>XLOOKUP(B1666,Raw_Risk_Profiles!$A:$A,Raw_Risk_Profiles!$D:$D,"")</f>
        <v/>
      </c>
      <c r="K1666" s="2">
        <f>IFERROR(INDEX(Raw_Risk_Profiles!$E:$E,MATCH(B1666,Raw_Risk_Profiles!$A:$A,0)),"Unknown")</f>
        <v/>
      </c>
      <c r="L1666" s="2">
        <f>IFERROR(XLOOKUP(A1666,Raw_Alerts!$B:$B,Raw_Alerts!$A:$A),"No Alert")</f>
        <v/>
      </c>
      <c r="M1666" s="2">
        <f>IFERROR(XLOOKUP(A1666,Raw_Alerts!$B:$B,Raw_Alerts!$C:$C),"")</f>
        <v/>
      </c>
      <c r="N1666" s="2">
        <f>IFERROR(XLOOKUP(A1666,Raw_Alerts!$B:$B,Raw_Alerts!$D:$D),"")</f>
        <v/>
      </c>
      <c r="O1666" s="2">
        <f>IFERROR(XLOOKUP(A1666,Raw_Alerts!$B:$B,Raw_Alerts!$F:$F),"")</f>
        <v/>
      </c>
      <c r="P1666" s="2">
        <f>IF(H1666="Not Found","CRITICAL: No Risk Profile",IF(I1666="Missing","WARN: Missing KYC",IF(I1666="Expired","WARN: KYC Expired",IF(I1666="Pending","INFO: KYC Pending","OK"))))</f>
        <v/>
      </c>
    </row>
    <row r="1667">
      <c r="A1667" s="4">
        <f>Raw_Transactions!A1667</f>
        <v/>
      </c>
      <c r="B1667" s="4">
        <f>Raw_Transactions!B1667</f>
        <v/>
      </c>
      <c r="C1667" s="4">
        <f>Raw_Transactions!C1667</f>
        <v/>
      </c>
      <c r="D1667" s="5">
        <f>Raw_Transactions!D1667</f>
        <v/>
      </c>
      <c r="E1667" s="4">
        <f>Raw_Transactions!E1667</f>
        <v/>
      </c>
      <c r="F1667" s="4">
        <f>Raw_Transactions!F1667</f>
        <v/>
      </c>
      <c r="G1667" s="4">
        <f>Raw_Transactions!G1667</f>
        <v/>
      </c>
      <c r="H1667" s="4">
        <f>XLOOKUP(B1667,Raw_Risk_Profiles!$A:$A,Raw_Risk_Profiles!$B:$B,"Not Found")</f>
        <v/>
      </c>
      <c r="I1667" s="4">
        <f>XLOOKUP(B1667,Raw_Risk_Profiles!$A:$A,Raw_Risk_Profiles!$C:$C,"Missing")</f>
        <v/>
      </c>
      <c r="J1667" s="4">
        <f>XLOOKUP(B1667,Raw_Risk_Profiles!$A:$A,Raw_Risk_Profiles!$D:$D,"")</f>
        <v/>
      </c>
      <c r="K1667" s="4">
        <f>IFERROR(INDEX(Raw_Risk_Profiles!$E:$E,MATCH(B1667,Raw_Risk_Profiles!$A:$A,0)),"Unknown")</f>
        <v/>
      </c>
      <c r="L1667" s="4">
        <f>IFERROR(XLOOKUP(A1667,Raw_Alerts!$B:$B,Raw_Alerts!$A:$A),"No Alert")</f>
        <v/>
      </c>
      <c r="M1667" s="4">
        <f>IFERROR(XLOOKUP(A1667,Raw_Alerts!$B:$B,Raw_Alerts!$C:$C),"")</f>
        <v/>
      </c>
      <c r="N1667" s="4">
        <f>IFERROR(XLOOKUP(A1667,Raw_Alerts!$B:$B,Raw_Alerts!$D:$D),"")</f>
        <v/>
      </c>
      <c r="O1667" s="4">
        <f>IFERROR(XLOOKUP(A1667,Raw_Alerts!$B:$B,Raw_Alerts!$F:$F),"")</f>
        <v/>
      </c>
      <c r="P1667" s="4">
        <f>IF(H1667="Not Found","CRITICAL: No Risk Profile",IF(I1667="Missing","WARN: Missing KYC",IF(I1667="Expired","WARN: KYC Expired",IF(I1667="Pending","INFO: KYC Pending","OK"))))</f>
        <v/>
      </c>
    </row>
    <row r="1668">
      <c r="A1668" s="2">
        <f>Raw_Transactions!A1668</f>
        <v/>
      </c>
      <c r="B1668" s="2">
        <f>Raw_Transactions!B1668</f>
        <v/>
      </c>
      <c r="C1668" s="2">
        <f>Raw_Transactions!C1668</f>
        <v/>
      </c>
      <c r="D1668" s="3">
        <f>Raw_Transactions!D1668</f>
        <v/>
      </c>
      <c r="E1668" s="2">
        <f>Raw_Transactions!E1668</f>
        <v/>
      </c>
      <c r="F1668" s="2">
        <f>Raw_Transactions!F1668</f>
        <v/>
      </c>
      <c r="G1668" s="2">
        <f>Raw_Transactions!G1668</f>
        <v/>
      </c>
      <c r="H1668" s="2">
        <f>XLOOKUP(B1668,Raw_Risk_Profiles!$A:$A,Raw_Risk_Profiles!$B:$B,"Not Found")</f>
        <v/>
      </c>
      <c r="I1668" s="2">
        <f>XLOOKUP(B1668,Raw_Risk_Profiles!$A:$A,Raw_Risk_Profiles!$C:$C,"Missing")</f>
        <v/>
      </c>
      <c r="J1668" s="2">
        <f>XLOOKUP(B1668,Raw_Risk_Profiles!$A:$A,Raw_Risk_Profiles!$D:$D,"")</f>
        <v/>
      </c>
      <c r="K1668" s="2">
        <f>IFERROR(INDEX(Raw_Risk_Profiles!$E:$E,MATCH(B1668,Raw_Risk_Profiles!$A:$A,0)),"Unknown")</f>
        <v/>
      </c>
      <c r="L1668" s="2">
        <f>IFERROR(XLOOKUP(A1668,Raw_Alerts!$B:$B,Raw_Alerts!$A:$A),"No Alert")</f>
        <v/>
      </c>
      <c r="M1668" s="2">
        <f>IFERROR(XLOOKUP(A1668,Raw_Alerts!$B:$B,Raw_Alerts!$C:$C),"")</f>
        <v/>
      </c>
      <c r="N1668" s="2">
        <f>IFERROR(XLOOKUP(A1668,Raw_Alerts!$B:$B,Raw_Alerts!$D:$D),"")</f>
        <v/>
      </c>
      <c r="O1668" s="2">
        <f>IFERROR(XLOOKUP(A1668,Raw_Alerts!$B:$B,Raw_Alerts!$F:$F),"")</f>
        <v/>
      </c>
      <c r="P1668" s="2">
        <f>IF(H1668="Not Found","CRITICAL: No Risk Profile",IF(I1668="Missing","WARN: Missing KYC",IF(I1668="Expired","WARN: KYC Expired",IF(I1668="Pending","INFO: KYC Pending","OK"))))</f>
        <v/>
      </c>
    </row>
    <row r="1669">
      <c r="A1669" s="4">
        <f>Raw_Transactions!A1669</f>
        <v/>
      </c>
      <c r="B1669" s="4">
        <f>Raw_Transactions!B1669</f>
        <v/>
      </c>
      <c r="C1669" s="4">
        <f>Raw_Transactions!C1669</f>
        <v/>
      </c>
      <c r="D1669" s="5">
        <f>Raw_Transactions!D1669</f>
        <v/>
      </c>
      <c r="E1669" s="4">
        <f>Raw_Transactions!E1669</f>
        <v/>
      </c>
      <c r="F1669" s="4">
        <f>Raw_Transactions!F1669</f>
        <v/>
      </c>
      <c r="G1669" s="4">
        <f>Raw_Transactions!G1669</f>
        <v/>
      </c>
      <c r="H1669" s="4">
        <f>XLOOKUP(B1669,Raw_Risk_Profiles!$A:$A,Raw_Risk_Profiles!$B:$B,"Not Found")</f>
        <v/>
      </c>
      <c r="I1669" s="4">
        <f>XLOOKUP(B1669,Raw_Risk_Profiles!$A:$A,Raw_Risk_Profiles!$C:$C,"Missing")</f>
        <v/>
      </c>
      <c r="J1669" s="4">
        <f>XLOOKUP(B1669,Raw_Risk_Profiles!$A:$A,Raw_Risk_Profiles!$D:$D,"")</f>
        <v/>
      </c>
      <c r="K1669" s="4">
        <f>IFERROR(INDEX(Raw_Risk_Profiles!$E:$E,MATCH(B1669,Raw_Risk_Profiles!$A:$A,0)),"Unknown")</f>
        <v/>
      </c>
      <c r="L1669" s="4">
        <f>IFERROR(XLOOKUP(A1669,Raw_Alerts!$B:$B,Raw_Alerts!$A:$A),"No Alert")</f>
        <v/>
      </c>
      <c r="M1669" s="4">
        <f>IFERROR(XLOOKUP(A1669,Raw_Alerts!$B:$B,Raw_Alerts!$C:$C),"")</f>
        <v/>
      </c>
      <c r="N1669" s="4">
        <f>IFERROR(XLOOKUP(A1669,Raw_Alerts!$B:$B,Raw_Alerts!$D:$D),"")</f>
        <v/>
      </c>
      <c r="O1669" s="4">
        <f>IFERROR(XLOOKUP(A1669,Raw_Alerts!$B:$B,Raw_Alerts!$F:$F),"")</f>
        <v/>
      </c>
      <c r="P1669" s="4">
        <f>IF(H1669="Not Found","CRITICAL: No Risk Profile",IF(I1669="Missing","WARN: Missing KYC",IF(I1669="Expired","WARN: KYC Expired",IF(I1669="Pending","INFO: KYC Pending","OK"))))</f>
        <v/>
      </c>
    </row>
    <row r="1670">
      <c r="A1670" s="2">
        <f>Raw_Transactions!A1670</f>
        <v/>
      </c>
      <c r="B1670" s="2">
        <f>Raw_Transactions!B1670</f>
        <v/>
      </c>
      <c r="C1670" s="2">
        <f>Raw_Transactions!C1670</f>
        <v/>
      </c>
      <c r="D1670" s="3">
        <f>Raw_Transactions!D1670</f>
        <v/>
      </c>
      <c r="E1670" s="2">
        <f>Raw_Transactions!E1670</f>
        <v/>
      </c>
      <c r="F1670" s="2">
        <f>Raw_Transactions!F1670</f>
        <v/>
      </c>
      <c r="G1670" s="2">
        <f>Raw_Transactions!G1670</f>
        <v/>
      </c>
      <c r="H1670" s="2">
        <f>XLOOKUP(B1670,Raw_Risk_Profiles!$A:$A,Raw_Risk_Profiles!$B:$B,"Not Found")</f>
        <v/>
      </c>
      <c r="I1670" s="2">
        <f>XLOOKUP(B1670,Raw_Risk_Profiles!$A:$A,Raw_Risk_Profiles!$C:$C,"Missing")</f>
        <v/>
      </c>
      <c r="J1670" s="2">
        <f>XLOOKUP(B1670,Raw_Risk_Profiles!$A:$A,Raw_Risk_Profiles!$D:$D,"")</f>
        <v/>
      </c>
      <c r="K1670" s="2">
        <f>IFERROR(INDEX(Raw_Risk_Profiles!$E:$E,MATCH(B1670,Raw_Risk_Profiles!$A:$A,0)),"Unknown")</f>
        <v/>
      </c>
      <c r="L1670" s="2">
        <f>IFERROR(XLOOKUP(A1670,Raw_Alerts!$B:$B,Raw_Alerts!$A:$A),"No Alert")</f>
        <v/>
      </c>
      <c r="M1670" s="2">
        <f>IFERROR(XLOOKUP(A1670,Raw_Alerts!$B:$B,Raw_Alerts!$C:$C),"")</f>
        <v/>
      </c>
      <c r="N1670" s="2">
        <f>IFERROR(XLOOKUP(A1670,Raw_Alerts!$B:$B,Raw_Alerts!$D:$D),"")</f>
        <v/>
      </c>
      <c r="O1670" s="2">
        <f>IFERROR(XLOOKUP(A1670,Raw_Alerts!$B:$B,Raw_Alerts!$F:$F),"")</f>
        <v/>
      </c>
      <c r="P1670" s="2">
        <f>IF(H1670="Not Found","CRITICAL: No Risk Profile",IF(I1670="Missing","WARN: Missing KYC",IF(I1670="Expired","WARN: KYC Expired",IF(I1670="Pending","INFO: KYC Pending","OK"))))</f>
        <v/>
      </c>
    </row>
    <row r="1671">
      <c r="A1671" s="4">
        <f>Raw_Transactions!A1671</f>
        <v/>
      </c>
      <c r="B1671" s="4">
        <f>Raw_Transactions!B1671</f>
        <v/>
      </c>
      <c r="C1671" s="4">
        <f>Raw_Transactions!C1671</f>
        <v/>
      </c>
      <c r="D1671" s="5">
        <f>Raw_Transactions!D1671</f>
        <v/>
      </c>
      <c r="E1671" s="4">
        <f>Raw_Transactions!E1671</f>
        <v/>
      </c>
      <c r="F1671" s="4">
        <f>Raw_Transactions!F1671</f>
        <v/>
      </c>
      <c r="G1671" s="4">
        <f>Raw_Transactions!G1671</f>
        <v/>
      </c>
      <c r="H1671" s="4">
        <f>XLOOKUP(B1671,Raw_Risk_Profiles!$A:$A,Raw_Risk_Profiles!$B:$B,"Not Found")</f>
        <v/>
      </c>
      <c r="I1671" s="4">
        <f>XLOOKUP(B1671,Raw_Risk_Profiles!$A:$A,Raw_Risk_Profiles!$C:$C,"Missing")</f>
        <v/>
      </c>
      <c r="J1671" s="4">
        <f>XLOOKUP(B1671,Raw_Risk_Profiles!$A:$A,Raw_Risk_Profiles!$D:$D,"")</f>
        <v/>
      </c>
      <c r="K1671" s="4">
        <f>IFERROR(INDEX(Raw_Risk_Profiles!$E:$E,MATCH(B1671,Raw_Risk_Profiles!$A:$A,0)),"Unknown")</f>
        <v/>
      </c>
      <c r="L1671" s="4">
        <f>IFERROR(XLOOKUP(A1671,Raw_Alerts!$B:$B,Raw_Alerts!$A:$A),"No Alert")</f>
        <v/>
      </c>
      <c r="M1671" s="4">
        <f>IFERROR(XLOOKUP(A1671,Raw_Alerts!$B:$B,Raw_Alerts!$C:$C),"")</f>
        <v/>
      </c>
      <c r="N1671" s="4">
        <f>IFERROR(XLOOKUP(A1671,Raw_Alerts!$B:$B,Raw_Alerts!$D:$D),"")</f>
        <v/>
      </c>
      <c r="O1671" s="4">
        <f>IFERROR(XLOOKUP(A1671,Raw_Alerts!$B:$B,Raw_Alerts!$F:$F),"")</f>
        <v/>
      </c>
      <c r="P1671" s="4">
        <f>IF(H1671="Not Found","CRITICAL: No Risk Profile",IF(I1671="Missing","WARN: Missing KYC",IF(I1671="Expired","WARN: KYC Expired",IF(I1671="Pending","INFO: KYC Pending","OK"))))</f>
        <v/>
      </c>
    </row>
    <row r="1672">
      <c r="A1672" s="2">
        <f>Raw_Transactions!A1672</f>
        <v/>
      </c>
      <c r="B1672" s="2">
        <f>Raw_Transactions!B1672</f>
        <v/>
      </c>
      <c r="C1672" s="2">
        <f>Raw_Transactions!C1672</f>
        <v/>
      </c>
      <c r="D1672" s="3">
        <f>Raw_Transactions!D1672</f>
        <v/>
      </c>
      <c r="E1672" s="2">
        <f>Raw_Transactions!E1672</f>
        <v/>
      </c>
      <c r="F1672" s="2">
        <f>Raw_Transactions!F1672</f>
        <v/>
      </c>
      <c r="G1672" s="2">
        <f>Raw_Transactions!G1672</f>
        <v/>
      </c>
      <c r="H1672" s="2">
        <f>XLOOKUP(B1672,Raw_Risk_Profiles!$A:$A,Raw_Risk_Profiles!$B:$B,"Not Found")</f>
        <v/>
      </c>
      <c r="I1672" s="2">
        <f>XLOOKUP(B1672,Raw_Risk_Profiles!$A:$A,Raw_Risk_Profiles!$C:$C,"Missing")</f>
        <v/>
      </c>
      <c r="J1672" s="2">
        <f>XLOOKUP(B1672,Raw_Risk_Profiles!$A:$A,Raw_Risk_Profiles!$D:$D,"")</f>
        <v/>
      </c>
      <c r="K1672" s="2">
        <f>IFERROR(INDEX(Raw_Risk_Profiles!$E:$E,MATCH(B1672,Raw_Risk_Profiles!$A:$A,0)),"Unknown")</f>
        <v/>
      </c>
      <c r="L1672" s="2">
        <f>IFERROR(XLOOKUP(A1672,Raw_Alerts!$B:$B,Raw_Alerts!$A:$A),"No Alert")</f>
        <v/>
      </c>
      <c r="M1672" s="2">
        <f>IFERROR(XLOOKUP(A1672,Raw_Alerts!$B:$B,Raw_Alerts!$C:$C),"")</f>
        <v/>
      </c>
      <c r="N1672" s="2">
        <f>IFERROR(XLOOKUP(A1672,Raw_Alerts!$B:$B,Raw_Alerts!$D:$D),"")</f>
        <v/>
      </c>
      <c r="O1672" s="2">
        <f>IFERROR(XLOOKUP(A1672,Raw_Alerts!$B:$B,Raw_Alerts!$F:$F),"")</f>
        <v/>
      </c>
      <c r="P1672" s="2">
        <f>IF(H1672="Not Found","CRITICAL: No Risk Profile",IF(I1672="Missing","WARN: Missing KYC",IF(I1672="Expired","WARN: KYC Expired",IF(I1672="Pending","INFO: KYC Pending","OK"))))</f>
        <v/>
      </c>
    </row>
    <row r="1673">
      <c r="A1673" s="4">
        <f>Raw_Transactions!A1673</f>
        <v/>
      </c>
      <c r="B1673" s="4">
        <f>Raw_Transactions!B1673</f>
        <v/>
      </c>
      <c r="C1673" s="4">
        <f>Raw_Transactions!C1673</f>
        <v/>
      </c>
      <c r="D1673" s="5">
        <f>Raw_Transactions!D1673</f>
        <v/>
      </c>
      <c r="E1673" s="4">
        <f>Raw_Transactions!E1673</f>
        <v/>
      </c>
      <c r="F1673" s="4">
        <f>Raw_Transactions!F1673</f>
        <v/>
      </c>
      <c r="G1673" s="4">
        <f>Raw_Transactions!G1673</f>
        <v/>
      </c>
      <c r="H1673" s="4">
        <f>XLOOKUP(B1673,Raw_Risk_Profiles!$A:$A,Raw_Risk_Profiles!$B:$B,"Not Found")</f>
        <v/>
      </c>
      <c r="I1673" s="4">
        <f>XLOOKUP(B1673,Raw_Risk_Profiles!$A:$A,Raw_Risk_Profiles!$C:$C,"Missing")</f>
        <v/>
      </c>
      <c r="J1673" s="4">
        <f>XLOOKUP(B1673,Raw_Risk_Profiles!$A:$A,Raw_Risk_Profiles!$D:$D,"")</f>
        <v/>
      </c>
      <c r="K1673" s="4">
        <f>IFERROR(INDEX(Raw_Risk_Profiles!$E:$E,MATCH(B1673,Raw_Risk_Profiles!$A:$A,0)),"Unknown")</f>
        <v/>
      </c>
      <c r="L1673" s="4">
        <f>IFERROR(XLOOKUP(A1673,Raw_Alerts!$B:$B,Raw_Alerts!$A:$A),"No Alert")</f>
        <v/>
      </c>
      <c r="M1673" s="4">
        <f>IFERROR(XLOOKUP(A1673,Raw_Alerts!$B:$B,Raw_Alerts!$C:$C),"")</f>
        <v/>
      </c>
      <c r="N1673" s="4">
        <f>IFERROR(XLOOKUP(A1673,Raw_Alerts!$B:$B,Raw_Alerts!$D:$D),"")</f>
        <v/>
      </c>
      <c r="O1673" s="4">
        <f>IFERROR(XLOOKUP(A1673,Raw_Alerts!$B:$B,Raw_Alerts!$F:$F),"")</f>
        <v/>
      </c>
      <c r="P1673" s="4">
        <f>IF(H1673="Not Found","CRITICAL: No Risk Profile",IF(I1673="Missing","WARN: Missing KYC",IF(I1673="Expired","WARN: KYC Expired",IF(I1673="Pending","INFO: KYC Pending","OK"))))</f>
        <v/>
      </c>
    </row>
    <row r="1674">
      <c r="A1674" s="2">
        <f>Raw_Transactions!A1674</f>
        <v/>
      </c>
      <c r="B1674" s="2">
        <f>Raw_Transactions!B1674</f>
        <v/>
      </c>
      <c r="C1674" s="2">
        <f>Raw_Transactions!C1674</f>
        <v/>
      </c>
      <c r="D1674" s="3">
        <f>Raw_Transactions!D1674</f>
        <v/>
      </c>
      <c r="E1674" s="2">
        <f>Raw_Transactions!E1674</f>
        <v/>
      </c>
      <c r="F1674" s="2">
        <f>Raw_Transactions!F1674</f>
        <v/>
      </c>
      <c r="G1674" s="2">
        <f>Raw_Transactions!G1674</f>
        <v/>
      </c>
      <c r="H1674" s="2">
        <f>XLOOKUP(B1674,Raw_Risk_Profiles!$A:$A,Raw_Risk_Profiles!$B:$B,"Not Found")</f>
        <v/>
      </c>
      <c r="I1674" s="2">
        <f>XLOOKUP(B1674,Raw_Risk_Profiles!$A:$A,Raw_Risk_Profiles!$C:$C,"Missing")</f>
        <v/>
      </c>
      <c r="J1674" s="2">
        <f>XLOOKUP(B1674,Raw_Risk_Profiles!$A:$A,Raw_Risk_Profiles!$D:$D,"")</f>
        <v/>
      </c>
      <c r="K1674" s="2">
        <f>IFERROR(INDEX(Raw_Risk_Profiles!$E:$E,MATCH(B1674,Raw_Risk_Profiles!$A:$A,0)),"Unknown")</f>
        <v/>
      </c>
      <c r="L1674" s="2">
        <f>IFERROR(XLOOKUP(A1674,Raw_Alerts!$B:$B,Raw_Alerts!$A:$A),"No Alert")</f>
        <v/>
      </c>
      <c r="M1674" s="2">
        <f>IFERROR(XLOOKUP(A1674,Raw_Alerts!$B:$B,Raw_Alerts!$C:$C),"")</f>
        <v/>
      </c>
      <c r="N1674" s="2">
        <f>IFERROR(XLOOKUP(A1674,Raw_Alerts!$B:$B,Raw_Alerts!$D:$D),"")</f>
        <v/>
      </c>
      <c r="O1674" s="2">
        <f>IFERROR(XLOOKUP(A1674,Raw_Alerts!$B:$B,Raw_Alerts!$F:$F),"")</f>
        <v/>
      </c>
      <c r="P1674" s="2">
        <f>IF(H1674="Not Found","CRITICAL: No Risk Profile",IF(I1674="Missing","WARN: Missing KYC",IF(I1674="Expired","WARN: KYC Expired",IF(I1674="Pending","INFO: KYC Pending","OK"))))</f>
        <v/>
      </c>
    </row>
    <row r="1675">
      <c r="A1675" s="4">
        <f>Raw_Transactions!A1675</f>
        <v/>
      </c>
      <c r="B1675" s="4">
        <f>Raw_Transactions!B1675</f>
        <v/>
      </c>
      <c r="C1675" s="4">
        <f>Raw_Transactions!C1675</f>
        <v/>
      </c>
      <c r="D1675" s="5">
        <f>Raw_Transactions!D1675</f>
        <v/>
      </c>
      <c r="E1675" s="4">
        <f>Raw_Transactions!E1675</f>
        <v/>
      </c>
      <c r="F1675" s="4">
        <f>Raw_Transactions!F1675</f>
        <v/>
      </c>
      <c r="G1675" s="4">
        <f>Raw_Transactions!G1675</f>
        <v/>
      </c>
      <c r="H1675" s="4">
        <f>XLOOKUP(B1675,Raw_Risk_Profiles!$A:$A,Raw_Risk_Profiles!$B:$B,"Not Found")</f>
        <v/>
      </c>
      <c r="I1675" s="4">
        <f>XLOOKUP(B1675,Raw_Risk_Profiles!$A:$A,Raw_Risk_Profiles!$C:$C,"Missing")</f>
        <v/>
      </c>
      <c r="J1675" s="4">
        <f>XLOOKUP(B1675,Raw_Risk_Profiles!$A:$A,Raw_Risk_Profiles!$D:$D,"")</f>
        <v/>
      </c>
      <c r="K1675" s="4">
        <f>IFERROR(INDEX(Raw_Risk_Profiles!$E:$E,MATCH(B1675,Raw_Risk_Profiles!$A:$A,0)),"Unknown")</f>
        <v/>
      </c>
      <c r="L1675" s="4">
        <f>IFERROR(XLOOKUP(A1675,Raw_Alerts!$B:$B,Raw_Alerts!$A:$A),"No Alert")</f>
        <v/>
      </c>
      <c r="M1675" s="4">
        <f>IFERROR(XLOOKUP(A1675,Raw_Alerts!$B:$B,Raw_Alerts!$C:$C),"")</f>
        <v/>
      </c>
      <c r="N1675" s="4">
        <f>IFERROR(XLOOKUP(A1675,Raw_Alerts!$B:$B,Raw_Alerts!$D:$D),"")</f>
        <v/>
      </c>
      <c r="O1675" s="4">
        <f>IFERROR(XLOOKUP(A1675,Raw_Alerts!$B:$B,Raw_Alerts!$F:$F),"")</f>
        <v/>
      </c>
      <c r="P1675" s="4">
        <f>IF(H1675="Not Found","CRITICAL: No Risk Profile",IF(I1675="Missing","WARN: Missing KYC",IF(I1675="Expired","WARN: KYC Expired",IF(I1675="Pending","INFO: KYC Pending","OK"))))</f>
        <v/>
      </c>
    </row>
    <row r="1676">
      <c r="A1676" s="2">
        <f>Raw_Transactions!A1676</f>
        <v/>
      </c>
      <c r="B1676" s="2">
        <f>Raw_Transactions!B1676</f>
        <v/>
      </c>
      <c r="C1676" s="2">
        <f>Raw_Transactions!C1676</f>
        <v/>
      </c>
      <c r="D1676" s="3">
        <f>Raw_Transactions!D1676</f>
        <v/>
      </c>
      <c r="E1676" s="2">
        <f>Raw_Transactions!E1676</f>
        <v/>
      </c>
      <c r="F1676" s="2">
        <f>Raw_Transactions!F1676</f>
        <v/>
      </c>
      <c r="G1676" s="2">
        <f>Raw_Transactions!G1676</f>
        <v/>
      </c>
      <c r="H1676" s="2">
        <f>XLOOKUP(B1676,Raw_Risk_Profiles!$A:$A,Raw_Risk_Profiles!$B:$B,"Not Found")</f>
        <v/>
      </c>
      <c r="I1676" s="2">
        <f>XLOOKUP(B1676,Raw_Risk_Profiles!$A:$A,Raw_Risk_Profiles!$C:$C,"Missing")</f>
        <v/>
      </c>
      <c r="J1676" s="2">
        <f>XLOOKUP(B1676,Raw_Risk_Profiles!$A:$A,Raw_Risk_Profiles!$D:$D,"")</f>
        <v/>
      </c>
      <c r="K1676" s="2">
        <f>IFERROR(INDEX(Raw_Risk_Profiles!$E:$E,MATCH(B1676,Raw_Risk_Profiles!$A:$A,0)),"Unknown")</f>
        <v/>
      </c>
      <c r="L1676" s="2">
        <f>IFERROR(XLOOKUP(A1676,Raw_Alerts!$B:$B,Raw_Alerts!$A:$A),"No Alert")</f>
        <v/>
      </c>
      <c r="M1676" s="2">
        <f>IFERROR(XLOOKUP(A1676,Raw_Alerts!$B:$B,Raw_Alerts!$C:$C),"")</f>
        <v/>
      </c>
      <c r="N1676" s="2">
        <f>IFERROR(XLOOKUP(A1676,Raw_Alerts!$B:$B,Raw_Alerts!$D:$D),"")</f>
        <v/>
      </c>
      <c r="O1676" s="2">
        <f>IFERROR(XLOOKUP(A1676,Raw_Alerts!$B:$B,Raw_Alerts!$F:$F),"")</f>
        <v/>
      </c>
      <c r="P1676" s="2">
        <f>IF(H1676="Not Found","CRITICAL: No Risk Profile",IF(I1676="Missing","WARN: Missing KYC",IF(I1676="Expired","WARN: KYC Expired",IF(I1676="Pending","INFO: KYC Pending","OK"))))</f>
        <v/>
      </c>
    </row>
    <row r="1677">
      <c r="A1677" s="4">
        <f>Raw_Transactions!A1677</f>
        <v/>
      </c>
      <c r="B1677" s="4">
        <f>Raw_Transactions!B1677</f>
        <v/>
      </c>
      <c r="C1677" s="4">
        <f>Raw_Transactions!C1677</f>
        <v/>
      </c>
      <c r="D1677" s="5">
        <f>Raw_Transactions!D1677</f>
        <v/>
      </c>
      <c r="E1677" s="4">
        <f>Raw_Transactions!E1677</f>
        <v/>
      </c>
      <c r="F1677" s="4">
        <f>Raw_Transactions!F1677</f>
        <v/>
      </c>
      <c r="G1677" s="4">
        <f>Raw_Transactions!G1677</f>
        <v/>
      </c>
      <c r="H1677" s="4">
        <f>XLOOKUP(B1677,Raw_Risk_Profiles!$A:$A,Raw_Risk_Profiles!$B:$B,"Not Found")</f>
        <v/>
      </c>
      <c r="I1677" s="4">
        <f>XLOOKUP(B1677,Raw_Risk_Profiles!$A:$A,Raw_Risk_Profiles!$C:$C,"Missing")</f>
        <v/>
      </c>
      <c r="J1677" s="4">
        <f>XLOOKUP(B1677,Raw_Risk_Profiles!$A:$A,Raw_Risk_Profiles!$D:$D,"")</f>
        <v/>
      </c>
      <c r="K1677" s="4">
        <f>IFERROR(INDEX(Raw_Risk_Profiles!$E:$E,MATCH(B1677,Raw_Risk_Profiles!$A:$A,0)),"Unknown")</f>
        <v/>
      </c>
      <c r="L1677" s="4">
        <f>IFERROR(XLOOKUP(A1677,Raw_Alerts!$B:$B,Raw_Alerts!$A:$A),"No Alert")</f>
        <v/>
      </c>
      <c r="M1677" s="4">
        <f>IFERROR(XLOOKUP(A1677,Raw_Alerts!$B:$B,Raw_Alerts!$C:$C),"")</f>
        <v/>
      </c>
      <c r="N1677" s="4">
        <f>IFERROR(XLOOKUP(A1677,Raw_Alerts!$B:$B,Raw_Alerts!$D:$D),"")</f>
        <v/>
      </c>
      <c r="O1677" s="4">
        <f>IFERROR(XLOOKUP(A1677,Raw_Alerts!$B:$B,Raw_Alerts!$F:$F),"")</f>
        <v/>
      </c>
      <c r="P1677" s="4">
        <f>IF(H1677="Not Found","CRITICAL: No Risk Profile",IF(I1677="Missing","WARN: Missing KYC",IF(I1677="Expired","WARN: KYC Expired",IF(I1677="Pending","INFO: KYC Pending","OK"))))</f>
        <v/>
      </c>
    </row>
    <row r="1678">
      <c r="A1678" s="2">
        <f>Raw_Transactions!A1678</f>
        <v/>
      </c>
      <c r="B1678" s="2">
        <f>Raw_Transactions!B1678</f>
        <v/>
      </c>
      <c r="C1678" s="2">
        <f>Raw_Transactions!C1678</f>
        <v/>
      </c>
      <c r="D1678" s="3">
        <f>Raw_Transactions!D1678</f>
        <v/>
      </c>
      <c r="E1678" s="2">
        <f>Raw_Transactions!E1678</f>
        <v/>
      </c>
      <c r="F1678" s="2">
        <f>Raw_Transactions!F1678</f>
        <v/>
      </c>
      <c r="G1678" s="2">
        <f>Raw_Transactions!G1678</f>
        <v/>
      </c>
      <c r="H1678" s="2">
        <f>XLOOKUP(B1678,Raw_Risk_Profiles!$A:$A,Raw_Risk_Profiles!$B:$B,"Not Found")</f>
        <v/>
      </c>
      <c r="I1678" s="2">
        <f>XLOOKUP(B1678,Raw_Risk_Profiles!$A:$A,Raw_Risk_Profiles!$C:$C,"Missing")</f>
        <v/>
      </c>
      <c r="J1678" s="2">
        <f>XLOOKUP(B1678,Raw_Risk_Profiles!$A:$A,Raw_Risk_Profiles!$D:$D,"")</f>
        <v/>
      </c>
      <c r="K1678" s="2">
        <f>IFERROR(INDEX(Raw_Risk_Profiles!$E:$E,MATCH(B1678,Raw_Risk_Profiles!$A:$A,0)),"Unknown")</f>
        <v/>
      </c>
      <c r="L1678" s="2">
        <f>IFERROR(XLOOKUP(A1678,Raw_Alerts!$B:$B,Raw_Alerts!$A:$A),"No Alert")</f>
        <v/>
      </c>
      <c r="M1678" s="2">
        <f>IFERROR(XLOOKUP(A1678,Raw_Alerts!$B:$B,Raw_Alerts!$C:$C),"")</f>
        <v/>
      </c>
      <c r="N1678" s="2">
        <f>IFERROR(XLOOKUP(A1678,Raw_Alerts!$B:$B,Raw_Alerts!$D:$D),"")</f>
        <v/>
      </c>
      <c r="O1678" s="2">
        <f>IFERROR(XLOOKUP(A1678,Raw_Alerts!$B:$B,Raw_Alerts!$F:$F),"")</f>
        <v/>
      </c>
      <c r="P1678" s="2">
        <f>IF(H1678="Not Found","CRITICAL: No Risk Profile",IF(I1678="Missing","WARN: Missing KYC",IF(I1678="Expired","WARN: KYC Expired",IF(I1678="Pending","INFO: KYC Pending","OK"))))</f>
        <v/>
      </c>
    </row>
    <row r="1679">
      <c r="A1679" s="4">
        <f>Raw_Transactions!A1679</f>
        <v/>
      </c>
      <c r="B1679" s="4">
        <f>Raw_Transactions!B1679</f>
        <v/>
      </c>
      <c r="C1679" s="4">
        <f>Raw_Transactions!C1679</f>
        <v/>
      </c>
      <c r="D1679" s="5">
        <f>Raw_Transactions!D1679</f>
        <v/>
      </c>
      <c r="E1679" s="4">
        <f>Raw_Transactions!E1679</f>
        <v/>
      </c>
      <c r="F1679" s="4">
        <f>Raw_Transactions!F1679</f>
        <v/>
      </c>
      <c r="G1679" s="4">
        <f>Raw_Transactions!G1679</f>
        <v/>
      </c>
      <c r="H1679" s="4">
        <f>XLOOKUP(B1679,Raw_Risk_Profiles!$A:$A,Raw_Risk_Profiles!$B:$B,"Not Found")</f>
        <v/>
      </c>
      <c r="I1679" s="4">
        <f>XLOOKUP(B1679,Raw_Risk_Profiles!$A:$A,Raw_Risk_Profiles!$C:$C,"Missing")</f>
        <v/>
      </c>
      <c r="J1679" s="4">
        <f>XLOOKUP(B1679,Raw_Risk_Profiles!$A:$A,Raw_Risk_Profiles!$D:$D,"")</f>
        <v/>
      </c>
      <c r="K1679" s="4">
        <f>IFERROR(INDEX(Raw_Risk_Profiles!$E:$E,MATCH(B1679,Raw_Risk_Profiles!$A:$A,0)),"Unknown")</f>
        <v/>
      </c>
      <c r="L1679" s="4">
        <f>IFERROR(XLOOKUP(A1679,Raw_Alerts!$B:$B,Raw_Alerts!$A:$A),"No Alert")</f>
        <v/>
      </c>
      <c r="M1679" s="4">
        <f>IFERROR(XLOOKUP(A1679,Raw_Alerts!$B:$B,Raw_Alerts!$C:$C),"")</f>
        <v/>
      </c>
      <c r="N1679" s="4">
        <f>IFERROR(XLOOKUP(A1679,Raw_Alerts!$B:$B,Raw_Alerts!$D:$D),"")</f>
        <v/>
      </c>
      <c r="O1679" s="4">
        <f>IFERROR(XLOOKUP(A1679,Raw_Alerts!$B:$B,Raw_Alerts!$F:$F),"")</f>
        <v/>
      </c>
      <c r="P1679" s="4">
        <f>IF(H1679="Not Found","CRITICAL: No Risk Profile",IF(I1679="Missing","WARN: Missing KYC",IF(I1679="Expired","WARN: KYC Expired",IF(I1679="Pending","INFO: KYC Pending","OK"))))</f>
        <v/>
      </c>
    </row>
    <row r="1680">
      <c r="A1680" s="2">
        <f>Raw_Transactions!A1680</f>
        <v/>
      </c>
      <c r="B1680" s="2">
        <f>Raw_Transactions!B1680</f>
        <v/>
      </c>
      <c r="C1680" s="2">
        <f>Raw_Transactions!C1680</f>
        <v/>
      </c>
      <c r="D1680" s="3">
        <f>Raw_Transactions!D1680</f>
        <v/>
      </c>
      <c r="E1680" s="2">
        <f>Raw_Transactions!E1680</f>
        <v/>
      </c>
      <c r="F1680" s="2">
        <f>Raw_Transactions!F1680</f>
        <v/>
      </c>
      <c r="G1680" s="2">
        <f>Raw_Transactions!G1680</f>
        <v/>
      </c>
      <c r="H1680" s="2">
        <f>XLOOKUP(B1680,Raw_Risk_Profiles!$A:$A,Raw_Risk_Profiles!$B:$B,"Not Found")</f>
        <v/>
      </c>
      <c r="I1680" s="2">
        <f>XLOOKUP(B1680,Raw_Risk_Profiles!$A:$A,Raw_Risk_Profiles!$C:$C,"Missing")</f>
        <v/>
      </c>
      <c r="J1680" s="2">
        <f>XLOOKUP(B1680,Raw_Risk_Profiles!$A:$A,Raw_Risk_Profiles!$D:$D,"")</f>
        <v/>
      </c>
      <c r="K1680" s="2">
        <f>IFERROR(INDEX(Raw_Risk_Profiles!$E:$E,MATCH(B1680,Raw_Risk_Profiles!$A:$A,0)),"Unknown")</f>
        <v/>
      </c>
      <c r="L1680" s="2">
        <f>IFERROR(XLOOKUP(A1680,Raw_Alerts!$B:$B,Raw_Alerts!$A:$A),"No Alert")</f>
        <v/>
      </c>
      <c r="M1680" s="2">
        <f>IFERROR(XLOOKUP(A1680,Raw_Alerts!$B:$B,Raw_Alerts!$C:$C),"")</f>
        <v/>
      </c>
      <c r="N1680" s="2">
        <f>IFERROR(XLOOKUP(A1680,Raw_Alerts!$B:$B,Raw_Alerts!$D:$D),"")</f>
        <v/>
      </c>
      <c r="O1680" s="2">
        <f>IFERROR(XLOOKUP(A1680,Raw_Alerts!$B:$B,Raw_Alerts!$F:$F),"")</f>
        <v/>
      </c>
      <c r="P1680" s="2">
        <f>IF(H1680="Not Found","CRITICAL: No Risk Profile",IF(I1680="Missing","WARN: Missing KYC",IF(I1680="Expired","WARN: KYC Expired",IF(I1680="Pending","INFO: KYC Pending","OK"))))</f>
        <v/>
      </c>
    </row>
    <row r="1681">
      <c r="A1681" s="4">
        <f>Raw_Transactions!A1681</f>
        <v/>
      </c>
      <c r="B1681" s="4">
        <f>Raw_Transactions!B1681</f>
        <v/>
      </c>
      <c r="C1681" s="4">
        <f>Raw_Transactions!C1681</f>
        <v/>
      </c>
      <c r="D1681" s="5">
        <f>Raw_Transactions!D1681</f>
        <v/>
      </c>
      <c r="E1681" s="4">
        <f>Raw_Transactions!E1681</f>
        <v/>
      </c>
      <c r="F1681" s="4">
        <f>Raw_Transactions!F1681</f>
        <v/>
      </c>
      <c r="G1681" s="4">
        <f>Raw_Transactions!G1681</f>
        <v/>
      </c>
      <c r="H1681" s="4">
        <f>XLOOKUP(B1681,Raw_Risk_Profiles!$A:$A,Raw_Risk_Profiles!$B:$B,"Not Found")</f>
        <v/>
      </c>
      <c r="I1681" s="4">
        <f>XLOOKUP(B1681,Raw_Risk_Profiles!$A:$A,Raw_Risk_Profiles!$C:$C,"Missing")</f>
        <v/>
      </c>
      <c r="J1681" s="4">
        <f>XLOOKUP(B1681,Raw_Risk_Profiles!$A:$A,Raw_Risk_Profiles!$D:$D,"")</f>
        <v/>
      </c>
      <c r="K1681" s="4">
        <f>IFERROR(INDEX(Raw_Risk_Profiles!$E:$E,MATCH(B1681,Raw_Risk_Profiles!$A:$A,0)),"Unknown")</f>
        <v/>
      </c>
      <c r="L1681" s="4">
        <f>IFERROR(XLOOKUP(A1681,Raw_Alerts!$B:$B,Raw_Alerts!$A:$A),"No Alert")</f>
        <v/>
      </c>
      <c r="M1681" s="4">
        <f>IFERROR(XLOOKUP(A1681,Raw_Alerts!$B:$B,Raw_Alerts!$C:$C),"")</f>
        <v/>
      </c>
      <c r="N1681" s="4">
        <f>IFERROR(XLOOKUP(A1681,Raw_Alerts!$B:$B,Raw_Alerts!$D:$D),"")</f>
        <v/>
      </c>
      <c r="O1681" s="4">
        <f>IFERROR(XLOOKUP(A1681,Raw_Alerts!$B:$B,Raw_Alerts!$F:$F),"")</f>
        <v/>
      </c>
      <c r="P1681" s="4">
        <f>IF(H1681="Not Found","CRITICAL: No Risk Profile",IF(I1681="Missing","WARN: Missing KYC",IF(I1681="Expired","WARN: KYC Expired",IF(I1681="Pending","INFO: KYC Pending","OK"))))</f>
        <v/>
      </c>
    </row>
    <row r="1682">
      <c r="A1682" s="2">
        <f>Raw_Transactions!A1682</f>
        <v/>
      </c>
      <c r="B1682" s="2">
        <f>Raw_Transactions!B1682</f>
        <v/>
      </c>
      <c r="C1682" s="2">
        <f>Raw_Transactions!C1682</f>
        <v/>
      </c>
      <c r="D1682" s="3">
        <f>Raw_Transactions!D1682</f>
        <v/>
      </c>
      <c r="E1682" s="2">
        <f>Raw_Transactions!E1682</f>
        <v/>
      </c>
      <c r="F1682" s="2">
        <f>Raw_Transactions!F1682</f>
        <v/>
      </c>
      <c r="G1682" s="2">
        <f>Raw_Transactions!G1682</f>
        <v/>
      </c>
      <c r="H1682" s="2">
        <f>XLOOKUP(B1682,Raw_Risk_Profiles!$A:$A,Raw_Risk_Profiles!$B:$B,"Not Found")</f>
        <v/>
      </c>
      <c r="I1682" s="2">
        <f>XLOOKUP(B1682,Raw_Risk_Profiles!$A:$A,Raw_Risk_Profiles!$C:$C,"Missing")</f>
        <v/>
      </c>
      <c r="J1682" s="2">
        <f>XLOOKUP(B1682,Raw_Risk_Profiles!$A:$A,Raw_Risk_Profiles!$D:$D,"")</f>
        <v/>
      </c>
      <c r="K1682" s="2">
        <f>IFERROR(INDEX(Raw_Risk_Profiles!$E:$E,MATCH(B1682,Raw_Risk_Profiles!$A:$A,0)),"Unknown")</f>
        <v/>
      </c>
      <c r="L1682" s="2">
        <f>IFERROR(XLOOKUP(A1682,Raw_Alerts!$B:$B,Raw_Alerts!$A:$A),"No Alert")</f>
        <v/>
      </c>
      <c r="M1682" s="2">
        <f>IFERROR(XLOOKUP(A1682,Raw_Alerts!$B:$B,Raw_Alerts!$C:$C),"")</f>
        <v/>
      </c>
      <c r="N1682" s="2">
        <f>IFERROR(XLOOKUP(A1682,Raw_Alerts!$B:$B,Raw_Alerts!$D:$D),"")</f>
        <v/>
      </c>
      <c r="O1682" s="2">
        <f>IFERROR(XLOOKUP(A1682,Raw_Alerts!$B:$B,Raw_Alerts!$F:$F),"")</f>
        <v/>
      </c>
      <c r="P1682" s="2">
        <f>IF(H1682="Not Found","CRITICAL: No Risk Profile",IF(I1682="Missing","WARN: Missing KYC",IF(I1682="Expired","WARN: KYC Expired",IF(I1682="Pending","INFO: KYC Pending","OK"))))</f>
        <v/>
      </c>
    </row>
    <row r="1683">
      <c r="A1683" s="4">
        <f>Raw_Transactions!A1683</f>
        <v/>
      </c>
      <c r="B1683" s="4">
        <f>Raw_Transactions!B1683</f>
        <v/>
      </c>
      <c r="C1683" s="4">
        <f>Raw_Transactions!C1683</f>
        <v/>
      </c>
      <c r="D1683" s="5">
        <f>Raw_Transactions!D1683</f>
        <v/>
      </c>
      <c r="E1683" s="4">
        <f>Raw_Transactions!E1683</f>
        <v/>
      </c>
      <c r="F1683" s="4">
        <f>Raw_Transactions!F1683</f>
        <v/>
      </c>
      <c r="G1683" s="4">
        <f>Raw_Transactions!G1683</f>
        <v/>
      </c>
      <c r="H1683" s="4">
        <f>XLOOKUP(B1683,Raw_Risk_Profiles!$A:$A,Raw_Risk_Profiles!$B:$B,"Not Found")</f>
        <v/>
      </c>
      <c r="I1683" s="4">
        <f>XLOOKUP(B1683,Raw_Risk_Profiles!$A:$A,Raw_Risk_Profiles!$C:$C,"Missing")</f>
        <v/>
      </c>
      <c r="J1683" s="4">
        <f>XLOOKUP(B1683,Raw_Risk_Profiles!$A:$A,Raw_Risk_Profiles!$D:$D,"")</f>
        <v/>
      </c>
      <c r="K1683" s="4">
        <f>IFERROR(INDEX(Raw_Risk_Profiles!$E:$E,MATCH(B1683,Raw_Risk_Profiles!$A:$A,0)),"Unknown")</f>
        <v/>
      </c>
      <c r="L1683" s="4">
        <f>IFERROR(XLOOKUP(A1683,Raw_Alerts!$B:$B,Raw_Alerts!$A:$A),"No Alert")</f>
        <v/>
      </c>
      <c r="M1683" s="4">
        <f>IFERROR(XLOOKUP(A1683,Raw_Alerts!$B:$B,Raw_Alerts!$C:$C),"")</f>
        <v/>
      </c>
      <c r="N1683" s="4">
        <f>IFERROR(XLOOKUP(A1683,Raw_Alerts!$B:$B,Raw_Alerts!$D:$D),"")</f>
        <v/>
      </c>
      <c r="O1683" s="4">
        <f>IFERROR(XLOOKUP(A1683,Raw_Alerts!$B:$B,Raw_Alerts!$F:$F),"")</f>
        <v/>
      </c>
      <c r="P1683" s="4">
        <f>IF(H1683="Not Found","CRITICAL: No Risk Profile",IF(I1683="Missing","WARN: Missing KYC",IF(I1683="Expired","WARN: KYC Expired",IF(I1683="Pending","INFO: KYC Pending","OK"))))</f>
        <v/>
      </c>
    </row>
    <row r="1684">
      <c r="A1684" s="2">
        <f>Raw_Transactions!A1684</f>
        <v/>
      </c>
      <c r="B1684" s="2">
        <f>Raw_Transactions!B1684</f>
        <v/>
      </c>
      <c r="C1684" s="2">
        <f>Raw_Transactions!C1684</f>
        <v/>
      </c>
      <c r="D1684" s="3">
        <f>Raw_Transactions!D1684</f>
        <v/>
      </c>
      <c r="E1684" s="2">
        <f>Raw_Transactions!E1684</f>
        <v/>
      </c>
      <c r="F1684" s="2">
        <f>Raw_Transactions!F1684</f>
        <v/>
      </c>
      <c r="G1684" s="2">
        <f>Raw_Transactions!G1684</f>
        <v/>
      </c>
      <c r="H1684" s="2">
        <f>XLOOKUP(B1684,Raw_Risk_Profiles!$A:$A,Raw_Risk_Profiles!$B:$B,"Not Found")</f>
        <v/>
      </c>
      <c r="I1684" s="2">
        <f>XLOOKUP(B1684,Raw_Risk_Profiles!$A:$A,Raw_Risk_Profiles!$C:$C,"Missing")</f>
        <v/>
      </c>
      <c r="J1684" s="2">
        <f>XLOOKUP(B1684,Raw_Risk_Profiles!$A:$A,Raw_Risk_Profiles!$D:$D,"")</f>
        <v/>
      </c>
      <c r="K1684" s="2">
        <f>IFERROR(INDEX(Raw_Risk_Profiles!$E:$E,MATCH(B1684,Raw_Risk_Profiles!$A:$A,0)),"Unknown")</f>
        <v/>
      </c>
      <c r="L1684" s="2">
        <f>IFERROR(XLOOKUP(A1684,Raw_Alerts!$B:$B,Raw_Alerts!$A:$A),"No Alert")</f>
        <v/>
      </c>
      <c r="M1684" s="2">
        <f>IFERROR(XLOOKUP(A1684,Raw_Alerts!$B:$B,Raw_Alerts!$C:$C),"")</f>
        <v/>
      </c>
      <c r="N1684" s="2">
        <f>IFERROR(XLOOKUP(A1684,Raw_Alerts!$B:$B,Raw_Alerts!$D:$D),"")</f>
        <v/>
      </c>
      <c r="O1684" s="2">
        <f>IFERROR(XLOOKUP(A1684,Raw_Alerts!$B:$B,Raw_Alerts!$F:$F),"")</f>
        <v/>
      </c>
      <c r="P1684" s="2">
        <f>IF(H1684="Not Found","CRITICAL: No Risk Profile",IF(I1684="Missing","WARN: Missing KYC",IF(I1684="Expired","WARN: KYC Expired",IF(I1684="Pending","INFO: KYC Pending","OK"))))</f>
        <v/>
      </c>
    </row>
    <row r="1685">
      <c r="A1685" s="4">
        <f>Raw_Transactions!A1685</f>
        <v/>
      </c>
      <c r="B1685" s="4">
        <f>Raw_Transactions!B1685</f>
        <v/>
      </c>
      <c r="C1685" s="4">
        <f>Raw_Transactions!C1685</f>
        <v/>
      </c>
      <c r="D1685" s="5">
        <f>Raw_Transactions!D1685</f>
        <v/>
      </c>
      <c r="E1685" s="4">
        <f>Raw_Transactions!E1685</f>
        <v/>
      </c>
      <c r="F1685" s="4">
        <f>Raw_Transactions!F1685</f>
        <v/>
      </c>
      <c r="G1685" s="4">
        <f>Raw_Transactions!G1685</f>
        <v/>
      </c>
      <c r="H1685" s="4">
        <f>XLOOKUP(B1685,Raw_Risk_Profiles!$A:$A,Raw_Risk_Profiles!$B:$B,"Not Found")</f>
        <v/>
      </c>
      <c r="I1685" s="4">
        <f>XLOOKUP(B1685,Raw_Risk_Profiles!$A:$A,Raw_Risk_Profiles!$C:$C,"Missing")</f>
        <v/>
      </c>
      <c r="J1685" s="4">
        <f>XLOOKUP(B1685,Raw_Risk_Profiles!$A:$A,Raw_Risk_Profiles!$D:$D,"")</f>
        <v/>
      </c>
      <c r="K1685" s="4">
        <f>IFERROR(INDEX(Raw_Risk_Profiles!$E:$E,MATCH(B1685,Raw_Risk_Profiles!$A:$A,0)),"Unknown")</f>
        <v/>
      </c>
      <c r="L1685" s="4">
        <f>IFERROR(XLOOKUP(A1685,Raw_Alerts!$B:$B,Raw_Alerts!$A:$A),"No Alert")</f>
        <v/>
      </c>
      <c r="M1685" s="4">
        <f>IFERROR(XLOOKUP(A1685,Raw_Alerts!$B:$B,Raw_Alerts!$C:$C),"")</f>
        <v/>
      </c>
      <c r="N1685" s="4">
        <f>IFERROR(XLOOKUP(A1685,Raw_Alerts!$B:$B,Raw_Alerts!$D:$D),"")</f>
        <v/>
      </c>
      <c r="O1685" s="4">
        <f>IFERROR(XLOOKUP(A1685,Raw_Alerts!$B:$B,Raw_Alerts!$F:$F),"")</f>
        <v/>
      </c>
      <c r="P1685" s="4">
        <f>IF(H1685="Not Found","CRITICAL: No Risk Profile",IF(I1685="Missing","WARN: Missing KYC",IF(I1685="Expired","WARN: KYC Expired",IF(I1685="Pending","INFO: KYC Pending","OK"))))</f>
        <v/>
      </c>
    </row>
    <row r="1686">
      <c r="A1686" s="2">
        <f>Raw_Transactions!A1686</f>
        <v/>
      </c>
      <c r="B1686" s="2">
        <f>Raw_Transactions!B1686</f>
        <v/>
      </c>
      <c r="C1686" s="2">
        <f>Raw_Transactions!C1686</f>
        <v/>
      </c>
      <c r="D1686" s="3">
        <f>Raw_Transactions!D1686</f>
        <v/>
      </c>
      <c r="E1686" s="2">
        <f>Raw_Transactions!E1686</f>
        <v/>
      </c>
      <c r="F1686" s="2">
        <f>Raw_Transactions!F1686</f>
        <v/>
      </c>
      <c r="G1686" s="2">
        <f>Raw_Transactions!G1686</f>
        <v/>
      </c>
      <c r="H1686" s="2">
        <f>XLOOKUP(B1686,Raw_Risk_Profiles!$A:$A,Raw_Risk_Profiles!$B:$B,"Not Found")</f>
        <v/>
      </c>
      <c r="I1686" s="2">
        <f>XLOOKUP(B1686,Raw_Risk_Profiles!$A:$A,Raw_Risk_Profiles!$C:$C,"Missing")</f>
        <v/>
      </c>
      <c r="J1686" s="2">
        <f>XLOOKUP(B1686,Raw_Risk_Profiles!$A:$A,Raw_Risk_Profiles!$D:$D,"")</f>
        <v/>
      </c>
      <c r="K1686" s="2">
        <f>IFERROR(INDEX(Raw_Risk_Profiles!$E:$E,MATCH(B1686,Raw_Risk_Profiles!$A:$A,0)),"Unknown")</f>
        <v/>
      </c>
      <c r="L1686" s="2">
        <f>IFERROR(XLOOKUP(A1686,Raw_Alerts!$B:$B,Raw_Alerts!$A:$A),"No Alert")</f>
        <v/>
      </c>
      <c r="M1686" s="2">
        <f>IFERROR(XLOOKUP(A1686,Raw_Alerts!$B:$B,Raw_Alerts!$C:$C),"")</f>
        <v/>
      </c>
      <c r="N1686" s="2">
        <f>IFERROR(XLOOKUP(A1686,Raw_Alerts!$B:$B,Raw_Alerts!$D:$D),"")</f>
        <v/>
      </c>
      <c r="O1686" s="2">
        <f>IFERROR(XLOOKUP(A1686,Raw_Alerts!$B:$B,Raw_Alerts!$F:$F),"")</f>
        <v/>
      </c>
      <c r="P1686" s="2">
        <f>IF(H1686="Not Found","CRITICAL: No Risk Profile",IF(I1686="Missing","WARN: Missing KYC",IF(I1686="Expired","WARN: KYC Expired",IF(I1686="Pending","INFO: KYC Pending","OK"))))</f>
        <v/>
      </c>
    </row>
    <row r="1687">
      <c r="A1687" s="4">
        <f>Raw_Transactions!A1687</f>
        <v/>
      </c>
      <c r="B1687" s="4">
        <f>Raw_Transactions!B1687</f>
        <v/>
      </c>
      <c r="C1687" s="4">
        <f>Raw_Transactions!C1687</f>
        <v/>
      </c>
      <c r="D1687" s="5">
        <f>Raw_Transactions!D1687</f>
        <v/>
      </c>
      <c r="E1687" s="4">
        <f>Raw_Transactions!E1687</f>
        <v/>
      </c>
      <c r="F1687" s="4">
        <f>Raw_Transactions!F1687</f>
        <v/>
      </c>
      <c r="G1687" s="4">
        <f>Raw_Transactions!G1687</f>
        <v/>
      </c>
      <c r="H1687" s="4">
        <f>XLOOKUP(B1687,Raw_Risk_Profiles!$A:$A,Raw_Risk_Profiles!$B:$B,"Not Found")</f>
        <v/>
      </c>
      <c r="I1687" s="4">
        <f>XLOOKUP(B1687,Raw_Risk_Profiles!$A:$A,Raw_Risk_Profiles!$C:$C,"Missing")</f>
        <v/>
      </c>
      <c r="J1687" s="4">
        <f>XLOOKUP(B1687,Raw_Risk_Profiles!$A:$A,Raw_Risk_Profiles!$D:$D,"")</f>
        <v/>
      </c>
      <c r="K1687" s="4">
        <f>IFERROR(INDEX(Raw_Risk_Profiles!$E:$E,MATCH(B1687,Raw_Risk_Profiles!$A:$A,0)),"Unknown")</f>
        <v/>
      </c>
      <c r="L1687" s="4">
        <f>IFERROR(XLOOKUP(A1687,Raw_Alerts!$B:$B,Raw_Alerts!$A:$A),"No Alert")</f>
        <v/>
      </c>
      <c r="M1687" s="4">
        <f>IFERROR(XLOOKUP(A1687,Raw_Alerts!$B:$B,Raw_Alerts!$C:$C),"")</f>
        <v/>
      </c>
      <c r="N1687" s="4">
        <f>IFERROR(XLOOKUP(A1687,Raw_Alerts!$B:$B,Raw_Alerts!$D:$D),"")</f>
        <v/>
      </c>
      <c r="O1687" s="4">
        <f>IFERROR(XLOOKUP(A1687,Raw_Alerts!$B:$B,Raw_Alerts!$F:$F),"")</f>
        <v/>
      </c>
      <c r="P1687" s="4">
        <f>IF(H1687="Not Found","CRITICAL: No Risk Profile",IF(I1687="Missing","WARN: Missing KYC",IF(I1687="Expired","WARN: KYC Expired",IF(I1687="Pending","INFO: KYC Pending","OK"))))</f>
        <v/>
      </c>
    </row>
    <row r="1688">
      <c r="A1688" s="2">
        <f>Raw_Transactions!A1688</f>
        <v/>
      </c>
      <c r="B1688" s="2">
        <f>Raw_Transactions!B1688</f>
        <v/>
      </c>
      <c r="C1688" s="2">
        <f>Raw_Transactions!C1688</f>
        <v/>
      </c>
      <c r="D1688" s="3">
        <f>Raw_Transactions!D1688</f>
        <v/>
      </c>
      <c r="E1688" s="2">
        <f>Raw_Transactions!E1688</f>
        <v/>
      </c>
      <c r="F1688" s="2">
        <f>Raw_Transactions!F1688</f>
        <v/>
      </c>
      <c r="G1688" s="2">
        <f>Raw_Transactions!G1688</f>
        <v/>
      </c>
      <c r="H1688" s="2">
        <f>XLOOKUP(B1688,Raw_Risk_Profiles!$A:$A,Raw_Risk_Profiles!$B:$B,"Not Found")</f>
        <v/>
      </c>
      <c r="I1688" s="2">
        <f>XLOOKUP(B1688,Raw_Risk_Profiles!$A:$A,Raw_Risk_Profiles!$C:$C,"Missing")</f>
        <v/>
      </c>
      <c r="J1688" s="2">
        <f>XLOOKUP(B1688,Raw_Risk_Profiles!$A:$A,Raw_Risk_Profiles!$D:$D,"")</f>
        <v/>
      </c>
      <c r="K1688" s="2">
        <f>IFERROR(INDEX(Raw_Risk_Profiles!$E:$E,MATCH(B1688,Raw_Risk_Profiles!$A:$A,0)),"Unknown")</f>
        <v/>
      </c>
      <c r="L1688" s="2">
        <f>IFERROR(XLOOKUP(A1688,Raw_Alerts!$B:$B,Raw_Alerts!$A:$A),"No Alert")</f>
        <v/>
      </c>
      <c r="M1688" s="2">
        <f>IFERROR(XLOOKUP(A1688,Raw_Alerts!$B:$B,Raw_Alerts!$C:$C),"")</f>
        <v/>
      </c>
      <c r="N1688" s="2">
        <f>IFERROR(XLOOKUP(A1688,Raw_Alerts!$B:$B,Raw_Alerts!$D:$D),"")</f>
        <v/>
      </c>
      <c r="O1688" s="2">
        <f>IFERROR(XLOOKUP(A1688,Raw_Alerts!$B:$B,Raw_Alerts!$F:$F),"")</f>
        <v/>
      </c>
      <c r="P1688" s="2">
        <f>IF(H1688="Not Found","CRITICAL: No Risk Profile",IF(I1688="Missing","WARN: Missing KYC",IF(I1688="Expired","WARN: KYC Expired",IF(I1688="Pending","INFO: KYC Pending","OK"))))</f>
        <v/>
      </c>
    </row>
    <row r="1689">
      <c r="A1689" s="4">
        <f>Raw_Transactions!A1689</f>
        <v/>
      </c>
      <c r="B1689" s="4">
        <f>Raw_Transactions!B1689</f>
        <v/>
      </c>
      <c r="C1689" s="4">
        <f>Raw_Transactions!C1689</f>
        <v/>
      </c>
      <c r="D1689" s="5">
        <f>Raw_Transactions!D1689</f>
        <v/>
      </c>
      <c r="E1689" s="4">
        <f>Raw_Transactions!E1689</f>
        <v/>
      </c>
      <c r="F1689" s="4">
        <f>Raw_Transactions!F1689</f>
        <v/>
      </c>
      <c r="G1689" s="4">
        <f>Raw_Transactions!G1689</f>
        <v/>
      </c>
      <c r="H1689" s="4">
        <f>XLOOKUP(B1689,Raw_Risk_Profiles!$A:$A,Raw_Risk_Profiles!$B:$B,"Not Found")</f>
        <v/>
      </c>
      <c r="I1689" s="4">
        <f>XLOOKUP(B1689,Raw_Risk_Profiles!$A:$A,Raw_Risk_Profiles!$C:$C,"Missing")</f>
        <v/>
      </c>
      <c r="J1689" s="4">
        <f>XLOOKUP(B1689,Raw_Risk_Profiles!$A:$A,Raw_Risk_Profiles!$D:$D,"")</f>
        <v/>
      </c>
      <c r="K1689" s="4">
        <f>IFERROR(INDEX(Raw_Risk_Profiles!$E:$E,MATCH(B1689,Raw_Risk_Profiles!$A:$A,0)),"Unknown")</f>
        <v/>
      </c>
      <c r="L1689" s="4">
        <f>IFERROR(XLOOKUP(A1689,Raw_Alerts!$B:$B,Raw_Alerts!$A:$A),"No Alert")</f>
        <v/>
      </c>
      <c r="M1689" s="4">
        <f>IFERROR(XLOOKUP(A1689,Raw_Alerts!$B:$B,Raw_Alerts!$C:$C),"")</f>
        <v/>
      </c>
      <c r="N1689" s="4">
        <f>IFERROR(XLOOKUP(A1689,Raw_Alerts!$B:$B,Raw_Alerts!$D:$D),"")</f>
        <v/>
      </c>
      <c r="O1689" s="4">
        <f>IFERROR(XLOOKUP(A1689,Raw_Alerts!$B:$B,Raw_Alerts!$F:$F),"")</f>
        <v/>
      </c>
      <c r="P1689" s="4">
        <f>IF(H1689="Not Found","CRITICAL: No Risk Profile",IF(I1689="Missing","WARN: Missing KYC",IF(I1689="Expired","WARN: KYC Expired",IF(I1689="Pending","INFO: KYC Pending","OK"))))</f>
        <v/>
      </c>
    </row>
    <row r="1690">
      <c r="A1690" s="2">
        <f>Raw_Transactions!A1690</f>
        <v/>
      </c>
      <c r="B1690" s="2">
        <f>Raw_Transactions!B1690</f>
        <v/>
      </c>
      <c r="C1690" s="2">
        <f>Raw_Transactions!C1690</f>
        <v/>
      </c>
      <c r="D1690" s="3">
        <f>Raw_Transactions!D1690</f>
        <v/>
      </c>
      <c r="E1690" s="2">
        <f>Raw_Transactions!E1690</f>
        <v/>
      </c>
      <c r="F1690" s="2">
        <f>Raw_Transactions!F1690</f>
        <v/>
      </c>
      <c r="G1690" s="2">
        <f>Raw_Transactions!G1690</f>
        <v/>
      </c>
      <c r="H1690" s="2">
        <f>XLOOKUP(B1690,Raw_Risk_Profiles!$A:$A,Raw_Risk_Profiles!$B:$B,"Not Found")</f>
        <v/>
      </c>
      <c r="I1690" s="2">
        <f>XLOOKUP(B1690,Raw_Risk_Profiles!$A:$A,Raw_Risk_Profiles!$C:$C,"Missing")</f>
        <v/>
      </c>
      <c r="J1690" s="2">
        <f>XLOOKUP(B1690,Raw_Risk_Profiles!$A:$A,Raw_Risk_Profiles!$D:$D,"")</f>
        <v/>
      </c>
      <c r="K1690" s="2">
        <f>IFERROR(INDEX(Raw_Risk_Profiles!$E:$E,MATCH(B1690,Raw_Risk_Profiles!$A:$A,0)),"Unknown")</f>
        <v/>
      </c>
      <c r="L1690" s="2">
        <f>IFERROR(XLOOKUP(A1690,Raw_Alerts!$B:$B,Raw_Alerts!$A:$A),"No Alert")</f>
        <v/>
      </c>
      <c r="M1690" s="2">
        <f>IFERROR(XLOOKUP(A1690,Raw_Alerts!$B:$B,Raw_Alerts!$C:$C),"")</f>
        <v/>
      </c>
      <c r="N1690" s="2">
        <f>IFERROR(XLOOKUP(A1690,Raw_Alerts!$B:$B,Raw_Alerts!$D:$D),"")</f>
        <v/>
      </c>
      <c r="O1690" s="2">
        <f>IFERROR(XLOOKUP(A1690,Raw_Alerts!$B:$B,Raw_Alerts!$F:$F),"")</f>
        <v/>
      </c>
      <c r="P1690" s="2">
        <f>IF(H1690="Not Found","CRITICAL: No Risk Profile",IF(I1690="Missing","WARN: Missing KYC",IF(I1690="Expired","WARN: KYC Expired",IF(I1690="Pending","INFO: KYC Pending","OK"))))</f>
        <v/>
      </c>
    </row>
    <row r="1691">
      <c r="A1691" s="4">
        <f>Raw_Transactions!A1691</f>
        <v/>
      </c>
      <c r="B1691" s="4">
        <f>Raw_Transactions!B1691</f>
        <v/>
      </c>
      <c r="C1691" s="4">
        <f>Raw_Transactions!C1691</f>
        <v/>
      </c>
      <c r="D1691" s="5">
        <f>Raw_Transactions!D1691</f>
        <v/>
      </c>
      <c r="E1691" s="4">
        <f>Raw_Transactions!E1691</f>
        <v/>
      </c>
      <c r="F1691" s="4">
        <f>Raw_Transactions!F1691</f>
        <v/>
      </c>
      <c r="G1691" s="4">
        <f>Raw_Transactions!G1691</f>
        <v/>
      </c>
      <c r="H1691" s="4">
        <f>XLOOKUP(B1691,Raw_Risk_Profiles!$A:$A,Raw_Risk_Profiles!$B:$B,"Not Found")</f>
        <v/>
      </c>
      <c r="I1691" s="4">
        <f>XLOOKUP(B1691,Raw_Risk_Profiles!$A:$A,Raw_Risk_Profiles!$C:$C,"Missing")</f>
        <v/>
      </c>
      <c r="J1691" s="4">
        <f>XLOOKUP(B1691,Raw_Risk_Profiles!$A:$A,Raw_Risk_Profiles!$D:$D,"")</f>
        <v/>
      </c>
      <c r="K1691" s="4">
        <f>IFERROR(INDEX(Raw_Risk_Profiles!$E:$E,MATCH(B1691,Raw_Risk_Profiles!$A:$A,0)),"Unknown")</f>
        <v/>
      </c>
      <c r="L1691" s="4">
        <f>IFERROR(XLOOKUP(A1691,Raw_Alerts!$B:$B,Raw_Alerts!$A:$A),"No Alert")</f>
        <v/>
      </c>
      <c r="M1691" s="4">
        <f>IFERROR(XLOOKUP(A1691,Raw_Alerts!$B:$B,Raw_Alerts!$C:$C),"")</f>
        <v/>
      </c>
      <c r="N1691" s="4">
        <f>IFERROR(XLOOKUP(A1691,Raw_Alerts!$B:$B,Raw_Alerts!$D:$D),"")</f>
        <v/>
      </c>
      <c r="O1691" s="4">
        <f>IFERROR(XLOOKUP(A1691,Raw_Alerts!$B:$B,Raw_Alerts!$F:$F),"")</f>
        <v/>
      </c>
      <c r="P1691" s="4">
        <f>IF(H1691="Not Found","CRITICAL: No Risk Profile",IF(I1691="Missing","WARN: Missing KYC",IF(I1691="Expired","WARN: KYC Expired",IF(I1691="Pending","INFO: KYC Pending","OK"))))</f>
        <v/>
      </c>
    </row>
    <row r="1692">
      <c r="A1692" s="2">
        <f>Raw_Transactions!A1692</f>
        <v/>
      </c>
      <c r="B1692" s="2">
        <f>Raw_Transactions!B1692</f>
        <v/>
      </c>
      <c r="C1692" s="2">
        <f>Raw_Transactions!C1692</f>
        <v/>
      </c>
      <c r="D1692" s="3">
        <f>Raw_Transactions!D1692</f>
        <v/>
      </c>
      <c r="E1692" s="2">
        <f>Raw_Transactions!E1692</f>
        <v/>
      </c>
      <c r="F1692" s="2">
        <f>Raw_Transactions!F1692</f>
        <v/>
      </c>
      <c r="G1692" s="2">
        <f>Raw_Transactions!G1692</f>
        <v/>
      </c>
      <c r="H1692" s="2">
        <f>XLOOKUP(B1692,Raw_Risk_Profiles!$A:$A,Raw_Risk_Profiles!$B:$B,"Not Found")</f>
        <v/>
      </c>
      <c r="I1692" s="2">
        <f>XLOOKUP(B1692,Raw_Risk_Profiles!$A:$A,Raw_Risk_Profiles!$C:$C,"Missing")</f>
        <v/>
      </c>
      <c r="J1692" s="2">
        <f>XLOOKUP(B1692,Raw_Risk_Profiles!$A:$A,Raw_Risk_Profiles!$D:$D,"")</f>
        <v/>
      </c>
      <c r="K1692" s="2">
        <f>IFERROR(INDEX(Raw_Risk_Profiles!$E:$E,MATCH(B1692,Raw_Risk_Profiles!$A:$A,0)),"Unknown")</f>
        <v/>
      </c>
      <c r="L1692" s="2">
        <f>IFERROR(XLOOKUP(A1692,Raw_Alerts!$B:$B,Raw_Alerts!$A:$A),"No Alert")</f>
        <v/>
      </c>
      <c r="M1692" s="2">
        <f>IFERROR(XLOOKUP(A1692,Raw_Alerts!$B:$B,Raw_Alerts!$C:$C),"")</f>
        <v/>
      </c>
      <c r="N1692" s="2">
        <f>IFERROR(XLOOKUP(A1692,Raw_Alerts!$B:$B,Raw_Alerts!$D:$D),"")</f>
        <v/>
      </c>
      <c r="O1692" s="2">
        <f>IFERROR(XLOOKUP(A1692,Raw_Alerts!$B:$B,Raw_Alerts!$F:$F),"")</f>
        <v/>
      </c>
      <c r="P1692" s="2">
        <f>IF(H1692="Not Found","CRITICAL: No Risk Profile",IF(I1692="Missing","WARN: Missing KYC",IF(I1692="Expired","WARN: KYC Expired",IF(I1692="Pending","INFO: KYC Pending","OK"))))</f>
        <v/>
      </c>
    </row>
    <row r="1693">
      <c r="A1693" s="4">
        <f>Raw_Transactions!A1693</f>
        <v/>
      </c>
      <c r="B1693" s="4">
        <f>Raw_Transactions!B1693</f>
        <v/>
      </c>
      <c r="C1693" s="4">
        <f>Raw_Transactions!C1693</f>
        <v/>
      </c>
      <c r="D1693" s="5">
        <f>Raw_Transactions!D1693</f>
        <v/>
      </c>
      <c r="E1693" s="4">
        <f>Raw_Transactions!E1693</f>
        <v/>
      </c>
      <c r="F1693" s="4">
        <f>Raw_Transactions!F1693</f>
        <v/>
      </c>
      <c r="G1693" s="4">
        <f>Raw_Transactions!G1693</f>
        <v/>
      </c>
      <c r="H1693" s="4">
        <f>XLOOKUP(B1693,Raw_Risk_Profiles!$A:$A,Raw_Risk_Profiles!$B:$B,"Not Found")</f>
        <v/>
      </c>
      <c r="I1693" s="4">
        <f>XLOOKUP(B1693,Raw_Risk_Profiles!$A:$A,Raw_Risk_Profiles!$C:$C,"Missing")</f>
        <v/>
      </c>
      <c r="J1693" s="4">
        <f>XLOOKUP(B1693,Raw_Risk_Profiles!$A:$A,Raw_Risk_Profiles!$D:$D,"")</f>
        <v/>
      </c>
      <c r="K1693" s="4">
        <f>IFERROR(INDEX(Raw_Risk_Profiles!$E:$E,MATCH(B1693,Raw_Risk_Profiles!$A:$A,0)),"Unknown")</f>
        <v/>
      </c>
      <c r="L1693" s="4">
        <f>IFERROR(XLOOKUP(A1693,Raw_Alerts!$B:$B,Raw_Alerts!$A:$A),"No Alert")</f>
        <v/>
      </c>
      <c r="M1693" s="4">
        <f>IFERROR(XLOOKUP(A1693,Raw_Alerts!$B:$B,Raw_Alerts!$C:$C),"")</f>
        <v/>
      </c>
      <c r="N1693" s="4">
        <f>IFERROR(XLOOKUP(A1693,Raw_Alerts!$B:$B,Raw_Alerts!$D:$D),"")</f>
        <v/>
      </c>
      <c r="O1693" s="4">
        <f>IFERROR(XLOOKUP(A1693,Raw_Alerts!$B:$B,Raw_Alerts!$F:$F),"")</f>
        <v/>
      </c>
      <c r="P1693" s="4">
        <f>IF(H1693="Not Found","CRITICAL: No Risk Profile",IF(I1693="Missing","WARN: Missing KYC",IF(I1693="Expired","WARN: KYC Expired",IF(I1693="Pending","INFO: KYC Pending","OK"))))</f>
        <v/>
      </c>
    </row>
    <row r="1694">
      <c r="A1694" s="2">
        <f>Raw_Transactions!A1694</f>
        <v/>
      </c>
      <c r="B1694" s="2">
        <f>Raw_Transactions!B1694</f>
        <v/>
      </c>
      <c r="C1694" s="2">
        <f>Raw_Transactions!C1694</f>
        <v/>
      </c>
      <c r="D1694" s="3">
        <f>Raw_Transactions!D1694</f>
        <v/>
      </c>
      <c r="E1694" s="2">
        <f>Raw_Transactions!E1694</f>
        <v/>
      </c>
      <c r="F1694" s="2">
        <f>Raw_Transactions!F1694</f>
        <v/>
      </c>
      <c r="G1694" s="2">
        <f>Raw_Transactions!G1694</f>
        <v/>
      </c>
      <c r="H1694" s="2">
        <f>XLOOKUP(B1694,Raw_Risk_Profiles!$A:$A,Raw_Risk_Profiles!$B:$B,"Not Found")</f>
        <v/>
      </c>
      <c r="I1694" s="2">
        <f>XLOOKUP(B1694,Raw_Risk_Profiles!$A:$A,Raw_Risk_Profiles!$C:$C,"Missing")</f>
        <v/>
      </c>
      <c r="J1694" s="2">
        <f>XLOOKUP(B1694,Raw_Risk_Profiles!$A:$A,Raw_Risk_Profiles!$D:$D,"")</f>
        <v/>
      </c>
      <c r="K1694" s="2">
        <f>IFERROR(INDEX(Raw_Risk_Profiles!$E:$E,MATCH(B1694,Raw_Risk_Profiles!$A:$A,0)),"Unknown")</f>
        <v/>
      </c>
      <c r="L1694" s="2">
        <f>IFERROR(XLOOKUP(A1694,Raw_Alerts!$B:$B,Raw_Alerts!$A:$A),"No Alert")</f>
        <v/>
      </c>
      <c r="M1694" s="2">
        <f>IFERROR(XLOOKUP(A1694,Raw_Alerts!$B:$B,Raw_Alerts!$C:$C),"")</f>
        <v/>
      </c>
      <c r="N1694" s="2">
        <f>IFERROR(XLOOKUP(A1694,Raw_Alerts!$B:$B,Raw_Alerts!$D:$D),"")</f>
        <v/>
      </c>
      <c r="O1694" s="2">
        <f>IFERROR(XLOOKUP(A1694,Raw_Alerts!$B:$B,Raw_Alerts!$F:$F),"")</f>
        <v/>
      </c>
      <c r="P1694" s="2">
        <f>IF(H1694="Not Found","CRITICAL: No Risk Profile",IF(I1694="Missing","WARN: Missing KYC",IF(I1694="Expired","WARN: KYC Expired",IF(I1694="Pending","INFO: KYC Pending","OK"))))</f>
        <v/>
      </c>
    </row>
    <row r="1695">
      <c r="A1695" s="4">
        <f>Raw_Transactions!A1695</f>
        <v/>
      </c>
      <c r="B1695" s="4">
        <f>Raw_Transactions!B1695</f>
        <v/>
      </c>
      <c r="C1695" s="4">
        <f>Raw_Transactions!C1695</f>
        <v/>
      </c>
      <c r="D1695" s="5">
        <f>Raw_Transactions!D1695</f>
        <v/>
      </c>
      <c r="E1695" s="4">
        <f>Raw_Transactions!E1695</f>
        <v/>
      </c>
      <c r="F1695" s="4">
        <f>Raw_Transactions!F1695</f>
        <v/>
      </c>
      <c r="G1695" s="4">
        <f>Raw_Transactions!G1695</f>
        <v/>
      </c>
      <c r="H1695" s="4">
        <f>XLOOKUP(B1695,Raw_Risk_Profiles!$A:$A,Raw_Risk_Profiles!$B:$B,"Not Found")</f>
        <v/>
      </c>
      <c r="I1695" s="4">
        <f>XLOOKUP(B1695,Raw_Risk_Profiles!$A:$A,Raw_Risk_Profiles!$C:$C,"Missing")</f>
        <v/>
      </c>
      <c r="J1695" s="4">
        <f>XLOOKUP(B1695,Raw_Risk_Profiles!$A:$A,Raw_Risk_Profiles!$D:$D,"")</f>
        <v/>
      </c>
      <c r="K1695" s="4">
        <f>IFERROR(INDEX(Raw_Risk_Profiles!$E:$E,MATCH(B1695,Raw_Risk_Profiles!$A:$A,0)),"Unknown")</f>
        <v/>
      </c>
      <c r="L1695" s="4">
        <f>IFERROR(XLOOKUP(A1695,Raw_Alerts!$B:$B,Raw_Alerts!$A:$A),"No Alert")</f>
        <v/>
      </c>
      <c r="M1695" s="4">
        <f>IFERROR(XLOOKUP(A1695,Raw_Alerts!$B:$B,Raw_Alerts!$C:$C),"")</f>
        <v/>
      </c>
      <c r="N1695" s="4">
        <f>IFERROR(XLOOKUP(A1695,Raw_Alerts!$B:$B,Raw_Alerts!$D:$D),"")</f>
        <v/>
      </c>
      <c r="O1695" s="4">
        <f>IFERROR(XLOOKUP(A1695,Raw_Alerts!$B:$B,Raw_Alerts!$F:$F),"")</f>
        <v/>
      </c>
      <c r="P1695" s="4">
        <f>IF(H1695="Not Found","CRITICAL: No Risk Profile",IF(I1695="Missing","WARN: Missing KYC",IF(I1695="Expired","WARN: KYC Expired",IF(I1695="Pending","INFO: KYC Pending","OK"))))</f>
        <v/>
      </c>
    </row>
    <row r="1696">
      <c r="A1696" s="2">
        <f>Raw_Transactions!A1696</f>
        <v/>
      </c>
      <c r="B1696" s="2">
        <f>Raw_Transactions!B1696</f>
        <v/>
      </c>
      <c r="C1696" s="2">
        <f>Raw_Transactions!C1696</f>
        <v/>
      </c>
      <c r="D1696" s="3">
        <f>Raw_Transactions!D1696</f>
        <v/>
      </c>
      <c r="E1696" s="2">
        <f>Raw_Transactions!E1696</f>
        <v/>
      </c>
      <c r="F1696" s="2">
        <f>Raw_Transactions!F1696</f>
        <v/>
      </c>
      <c r="G1696" s="2">
        <f>Raw_Transactions!G1696</f>
        <v/>
      </c>
      <c r="H1696" s="2">
        <f>XLOOKUP(B1696,Raw_Risk_Profiles!$A:$A,Raw_Risk_Profiles!$B:$B,"Not Found")</f>
        <v/>
      </c>
      <c r="I1696" s="2">
        <f>XLOOKUP(B1696,Raw_Risk_Profiles!$A:$A,Raw_Risk_Profiles!$C:$C,"Missing")</f>
        <v/>
      </c>
      <c r="J1696" s="2">
        <f>XLOOKUP(B1696,Raw_Risk_Profiles!$A:$A,Raw_Risk_Profiles!$D:$D,"")</f>
        <v/>
      </c>
      <c r="K1696" s="2">
        <f>IFERROR(INDEX(Raw_Risk_Profiles!$E:$E,MATCH(B1696,Raw_Risk_Profiles!$A:$A,0)),"Unknown")</f>
        <v/>
      </c>
      <c r="L1696" s="2">
        <f>IFERROR(XLOOKUP(A1696,Raw_Alerts!$B:$B,Raw_Alerts!$A:$A),"No Alert")</f>
        <v/>
      </c>
      <c r="M1696" s="2">
        <f>IFERROR(XLOOKUP(A1696,Raw_Alerts!$B:$B,Raw_Alerts!$C:$C),"")</f>
        <v/>
      </c>
      <c r="N1696" s="2">
        <f>IFERROR(XLOOKUP(A1696,Raw_Alerts!$B:$B,Raw_Alerts!$D:$D),"")</f>
        <v/>
      </c>
      <c r="O1696" s="2">
        <f>IFERROR(XLOOKUP(A1696,Raw_Alerts!$B:$B,Raw_Alerts!$F:$F),"")</f>
        <v/>
      </c>
      <c r="P1696" s="2">
        <f>IF(H1696="Not Found","CRITICAL: No Risk Profile",IF(I1696="Missing","WARN: Missing KYC",IF(I1696="Expired","WARN: KYC Expired",IF(I1696="Pending","INFO: KYC Pending","OK"))))</f>
        <v/>
      </c>
    </row>
    <row r="1697">
      <c r="A1697" s="4">
        <f>Raw_Transactions!A1697</f>
        <v/>
      </c>
      <c r="B1697" s="4">
        <f>Raw_Transactions!B1697</f>
        <v/>
      </c>
      <c r="C1697" s="4">
        <f>Raw_Transactions!C1697</f>
        <v/>
      </c>
      <c r="D1697" s="5">
        <f>Raw_Transactions!D1697</f>
        <v/>
      </c>
      <c r="E1697" s="4">
        <f>Raw_Transactions!E1697</f>
        <v/>
      </c>
      <c r="F1697" s="4">
        <f>Raw_Transactions!F1697</f>
        <v/>
      </c>
      <c r="G1697" s="4">
        <f>Raw_Transactions!G1697</f>
        <v/>
      </c>
      <c r="H1697" s="4">
        <f>XLOOKUP(B1697,Raw_Risk_Profiles!$A:$A,Raw_Risk_Profiles!$B:$B,"Not Found")</f>
        <v/>
      </c>
      <c r="I1697" s="4">
        <f>XLOOKUP(B1697,Raw_Risk_Profiles!$A:$A,Raw_Risk_Profiles!$C:$C,"Missing")</f>
        <v/>
      </c>
      <c r="J1697" s="4">
        <f>XLOOKUP(B1697,Raw_Risk_Profiles!$A:$A,Raw_Risk_Profiles!$D:$D,"")</f>
        <v/>
      </c>
      <c r="K1697" s="4">
        <f>IFERROR(INDEX(Raw_Risk_Profiles!$E:$E,MATCH(B1697,Raw_Risk_Profiles!$A:$A,0)),"Unknown")</f>
        <v/>
      </c>
      <c r="L1697" s="4">
        <f>IFERROR(XLOOKUP(A1697,Raw_Alerts!$B:$B,Raw_Alerts!$A:$A),"No Alert")</f>
        <v/>
      </c>
      <c r="M1697" s="4">
        <f>IFERROR(XLOOKUP(A1697,Raw_Alerts!$B:$B,Raw_Alerts!$C:$C),"")</f>
        <v/>
      </c>
      <c r="N1697" s="4">
        <f>IFERROR(XLOOKUP(A1697,Raw_Alerts!$B:$B,Raw_Alerts!$D:$D),"")</f>
        <v/>
      </c>
      <c r="O1697" s="4">
        <f>IFERROR(XLOOKUP(A1697,Raw_Alerts!$B:$B,Raw_Alerts!$F:$F),"")</f>
        <v/>
      </c>
      <c r="P1697" s="4">
        <f>IF(H1697="Not Found","CRITICAL: No Risk Profile",IF(I1697="Missing","WARN: Missing KYC",IF(I1697="Expired","WARN: KYC Expired",IF(I1697="Pending","INFO: KYC Pending","OK"))))</f>
        <v/>
      </c>
    </row>
    <row r="1698">
      <c r="A1698" s="2">
        <f>Raw_Transactions!A1698</f>
        <v/>
      </c>
      <c r="B1698" s="2">
        <f>Raw_Transactions!B1698</f>
        <v/>
      </c>
      <c r="C1698" s="2">
        <f>Raw_Transactions!C1698</f>
        <v/>
      </c>
      <c r="D1698" s="3">
        <f>Raw_Transactions!D1698</f>
        <v/>
      </c>
      <c r="E1698" s="2">
        <f>Raw_Transactions!E1698</f>
        <v/>
      </c>
      <c r="F1698" s="2">
        <f>Raw_Transactions!F1698</f>
        <v/>
      </c>
      <c r="G1698" s="2">
        <f>Raw_Transactions!G1698</f>
        <v/>
      </c>
      <c r="H1698" s="2">
        <f>XLOOKUP(B1698,Raw_Risk_Profiles!$A:$A,Raw_Risk_Profiles!$B:$B,"Not Found")</f>
        <v/>
      </c>
      <c r="I1698" s="2">
        <f>XLOOKUP(B1698,Raw_Risk_Profiles!$A:$A,Raw_Risk_Profiles!$C:$C,"Missing")</f>
        <v/>
      </c>
      <c r="J1698" s="2">
        <f>XLOOKUP(B1698,Raw_Risk_Profiles!$A:$A,Raw_Risk_Profiles!$D:$D,"")</f>
        <v/>
      </c>
      <c r="K1698" s="2">
        <f>IFERROR(INDEX(Raw_Risk_Profiles!$E:$E,MATCH(B1698,Raw_Risk_Profiles!$A:$A,0)),"Unknown")</f>
        <v/>
      </c>
      <c r="L1698" s="2">
        <f>IFERROR(XLOOKUP(A1698,Raw_Alerts!$B:$B,Raw_Alerts!$A:$A),"No Alert")</f>
        <v/>
      </c>
      <c r="M1698" s="2">
        <f>IFERROR(XLOOKUP(A1698,Raw_Alerts!$B:$B,Raw_Alerts!$C:$C),"")</f>
        <v/>
      </c>
      <c r="N1698" s="2">
        <f>IFERROR(XLOOKUP(A1698,Raw_Alerts!$B:$B,Raw_Alerts!$D:$D),"")</f>
        <v/>
      </c>
      <c r="O1698" s="2">
        <f>IFERROR(XLOOKUP(A1698,Raw_Alerts!$B:$B,Raw_Alerts!$F:$F),"")</f>
        <v/>
      </c>
      <c r="P1698" s="2">
        <f>IF(H1698="Not Found","CRITICAL: No Risk Profile",IF(I1698="Missing","WARN: Missing KYC",IF(I1698="Expired","WARN: KYC Expired",IF(I1698="Pending","INFO: KYC Pending","OK"))))</f>
        <v/>
      </c>
    </row>
    <row r="1699">
      <c r="A1699" s="4">
        <f>Raw_Transactions!A1699</f>
        <v/>
      </c>
      <c r="B1699" s="4">
        <f>Raw_Transactions!B1699</f>
        <v/>
      </c>
      <c r="C1699" s="4">
        <f>Raw_Transactions!C1699</f>
        <v/>
      </c>
      <c r="D1699" s="5">
        <f>Raw_Transactions!D1699</f>
        <v/>
      </c>
      <c r="E1699" s="4">
        <f>Raw_Transactions!E1699</f>
        <v/>
      </c>
      <c r="F1699" s="4">
        <f>Raw_Transactions!F1699</f>
        <v/>
      </c>
      <c r="G1699" s="4">
        <f>Raw_Transactions!G1699</f>
        <v/>
      </c>
      <c r="H1699" s="4">
        <f>XLOOKUP(B1699,Raw_Risk_Profiles!$A:$A,Raw_Risk_Profiles!$B:$B,"Not Found")</f>
        <v/>
      </c>
      <c r="I1699" s="4">
        <f>XLOOKUP(B1699,Raw_Risk_Profiles!$A:$A,Raw_Risk_Profiles!$C:$C,"Missing")</f>
        <v/>
      </c>
      <c r="J1699" s="4">
        <f>XLOOKUP(B1699,Raw_Risk_Profiles!$A:$A,Raw_Risk_Profiles!$D:$D,"")</f>
        <v/>
      </c>
      <c r="K1699" s="4">
        <f>IFERROR(INDEX(Raw_Risk_Profiles!$E:$E,MATCH(B1699,Raw_Risk_Profiles!$A:$A,0)),"Unknown")</f>
        <v/>
      </c>
      <c r="L1699" s="4">
        <f>IFERROR(XLOOKUP(A1699,Raw_Alerts!$B:$B,Raw_Alerts!$A:$A),"No Alert")</f>
        <v/>
      </c>
      <c r="M1699" s="4">
        <f>IFERROR(XLOOKUP(A1699,Raw_Alerts!$B:$B,Raw_Alerts!$C:$C),"")</f>
        <v/>
      </c>
      <c r="N1699" s="4">
        <f>IFERROR(XLOOKUP(A1699,Raw_Alerts!$B:$B,Raw_Alerts!$D:$D),"")</f>
        <v/>
      </c>
      <c r="O1699" s="4">
        <f>IFERROR(XLOOKUP(A1699,Raw_Alerts!$B:$B,Raw_Alerts!$F:$F),"")</f>
        <v/>
      </c>
      <c r="P1699" s="4">
        <f>IF(H1699="Not Found","CRITICAL: No Risk Profile",IF(I1699="Missing","WARN: Missing KYC",IF(I1699="Expired","WARN: KYC Expired",IF(I1699="Pending","INFO: KYC Pending","OK"))))</f>
        <v/>
      </c>
    </row>
    <row r="1700">
      <c r="A1700" s="2">
        <f>Raw_Transactions!A1700</f>
        <v/>
      </c>
      <c r="B1700" s="2">
        <f>Raw_Transactions!B1700</f>
        <v/>
      </c>
      <c r="C1700" s="2">
        <f>Raw_Transactions!C1700</f>
        <v/>
      </c>
      <c r="D1700" s="3">
        <f>Raw_Transactions!D1700</f>
        <v/>
      </c>
      <c r="E1700" s="2">
        <f>Raw_Transactions!E1700</f>
        <v/>
      </c>
      <c r="F1700" s="2">
        <f>Raw_Transactions!F1700</f>
        <v/>
      </c>
      <c r="G1700" s="2">
        <f>Raw_Transactions!G1700</f>
        <v/>
      </c>
      <c r="H1700" s="2">
        <f>XLOOKUP(B1700,Raw_Risk_Profiles!$A:$A,Raw_Risk_Profiles!$B:$B,"Not Found")</f>
        <v/>
      </c>
      <c r="I1700" s="2">
        <f>XLOOKUP(B1700,Raw_Risk_Profiles!$A:$A,Raw_Risk_Profiles!$C:$C,"Missing")</f>
        <v/>
      </c>
      <c r="J1700" s="2">
        <f>XLOOKUP(B1700,Raw_Risk_Profiles!$A:$A,Raw_Risk_Profiles!$D:$D,"")</f>
        <v/>
      </c>
      <c r="K1700" s="2">
        <f>IFERROR(INDEX(Raw_Risk_Profiles!$E:$E,MATCH(B1700,Raw_Risk_Profiles!$A:$A,0)),"Unknown")</f>
        <v/>
      </c>
      <c r="L1700" s="2">
        <f>IFERROR(XLOOKUP(A1700,Raw_Alerts!$B:$B,Raw_Alerts!$A:$A),"No Alert")</f>
        <v/>
      </c>
      <c r="M1700" s="2">
        <f>IFERROR(XLOOKUP(A1700,Raw_Alerts!$B:$B,Raw_Alerts!$C:$C),"")</f>
        <v/>
      </c>
      <c r="N1700" s="2">
        <f>IFERROR(XLOOKUP(A1700,Raw_Alerts!$B:$B,Raw_Alerts!$D:$D),"")</f>
        <v/>
      </c>
      <c r="O1700" s="2">
        <f>IFERROR(XLOOKUP(A1700,Raw_Alerts!$B:$B,Raw_Alerts!$F:$F),"")</f>
        <v/>
      </c>
      <c r="P1700" s="2">
        <f>IF(H1700="Not Found","CRITICAL: No Risk Profile",IF(I1700="Missing","WARN: Missing KYC",IF(I1700="Expired","WARN: KYC Expired",IF(I1700="Pending","INFO: KYC Pending","OK"))))</f>
        <v/>
      </c>
    </row>
    <row r="1701">
      <c r="A1701" s="4">
        <f>Raw_Transactions!A1701</f>
        <v/>
      </c>
      <c r="B1701" s="4">
        <f>Raw_Transactions!B1701</f>
        <v/>
      </c>
      <c r="C1701" s="4">
        <f>Raw_Transactions!C1701</f>
        <v/>
      </c>
      <c r="D1701" s="5">
        <f>Raw_Transactions!D1701</f>
        <v/>
      </c>
      <c r="E1701" s="4">
        <f>Raw_Transactions!E1701</f>
        <v/>
      </c>
      <c r="F1701" s="4">
        <f>Raw_Transactions!F1701</f>
        <v/>
      </c>
      <c r="G1701" s="4">
        <f>Raw_Transactions!G1701</f>
        <v/>
      </c>
      <c r="H1701" s="4">
        <f>XLOOKUP(B1701,Raw_Risk_Profiles!$A:$A,Raw_Risk_Profiles!$B:$B,"Not Found")</f>
        <v/>
      </c>
      <c r="I1701" s="4">
        <f>XLOOKUP(B1701,Raw_Risk_Profiles!$A:$A,Raw_Risk_Profiles!$C:$C,"Missing")</f>
        <v/>
      </c>
      <c r="J1701" s="4">
        <f>XLOOKUP(B1701,Raw_Risk_Profiles!$A:$A,Raw_Risk_Profiles!$D:$D,"")</f>
        <v/>
      </c>
      <c r="K1701" s="4">
        <f>IFERROR(INDEX(Raw_Risk_Profiles!$E:$E,MATCH(B1701,Raw_Risk_Profiles!$A:$A,0)),"Unknown")</f>
        <v/>
      </c>
      <c r="L1701" s="4">
        <f>IFERROR(XLOOKUP(A1701,Raw_Alerts!$B:$B,Raw_Alerts!$A:$A),"No Alert")</f>
        <v/>
      </c>
      <c r="M1701" s="4">
        <f>IFERROR(XLOOKUP(A1701,Raw_Alerts!$B:$B,Raw_Alerts!$C:$C),"")</f>
        <v/>
      </c>
      <c r="N1701" s="4">
        <f>IFERROR(XLOOKUP(A1701,Raw_Alerts!$B:$B,Raw_Alerts!$D:$D),"")</f>
        <v/>
      </c>
      <c r="O1701" s="4">
        <f>IFERROR(XLOOKUP(A1701,Raw_Alerts!$B:$B,Raw_Alerts!$F:$F),"")</f>
        <v/>
      </c>
      <c r="P1701" s="4">
        <f>IF(H1701="Not Found","CRITICAL: No Risk Profile",IF(I1701="Missing","WARN: Missing KYC",IF(I1701="Expired","WARN: KYC Expired",IF(I1701="Pending","INFO: KYC Pending","OK"))))</f>
        <v/>
      </c>
    </row>
    <row r="1702">
      <c r="A1702" s="2">
        <f>Raw_Transactions!A1702</f>
        <v/>
      </c>
      <c r="B1702" s="2">
        <f>Raw_Transactions!B1702</f>
        <v/>
      </c>
      <c r="C1702" s="2">
        <f>Raw_Transactions!C1702</f>
        <v/>
      </c>
      <c r="D1702" s="3">
        <f>Raw_Transactions!D1702</f>
        <v/>
      </c>
      <c r="E1702" s="2">
        <f>Raw_Transactions!E1702</f>
        <v/>
      </c>
      <c r="F1702" s="2">
        <f>Raw_Transactions!F1702</f>
        <v/>
      </c>
      <c r="G1702" s="2">
        <f>Raw_Transactions!G1702</f>
        <v/>
      </c>
      <c r="H1702" s="2">
        <f>XLOOKUP(B1702,Raw_Risk_Profiles!$A:$A,Raw_Risk_Profiles!$B:$B,"Not Found")</f>
        <v/>
      </c>
      <c r="I1702" s="2">
        <f>XLOOKUP(B1702,Raw_Risk_Profiles!$A:$A,Raw_Risk_Profiles!$C:$C,"Missing")</f>
        <v/>
      </c>
      <c r="J1702" s="2">
        <f>XLOOKUP(B1702,Raw_Risk_Profiles!$A:$A,Raw_Risk_Profiles!$D:$D,"")</f>
        <v/>
      </c>
      <c r="K1702" s="2">
        <f>IFERROR(INDEX(Raw_Risk_Profiles!$E:$E,MATCH(B1702,Raw_Risk_Profiles!$A:$A,0)),"Unknown")</f>
        <v/>
      </c>
      <c r="L1702" s="2">
        <f>IFERROR(XLOOKUP(A1702,Raw_Alerts!$B:$B,Raw_Alerts!$A:$A),"No Alert")</f>
        <v/>
      </c>
      <c r="M1702" s="2">
        <f>IFERROR(XLOOKUP(A1702,Raw_Alerts!$B:$B,Raw_Alerts!$C:$C),"")</f>
        <v/>
      </c>
      <c r="N1702" s="2">
        <f>IFERROR(XLOOKUP(A1702,Raw_Alerts!$B:$B,Raw_Alerts!$D:$D),"")</f>
        <v/>
      </c>
      <c r="O1702" s="2">
        <f>IFERROR(XLOOKUP(A1702,Raw_Alerts!$B:$B,Raw_Alerts!$F:$F),"")</f>
        <v/>
      </c>
      <c r="P1702" s="2">
        <f>IF(H1702="Not Found","CRITICAL: No Risk Profile",IF(I1702="Missing","WARN: Missing KYC",IF(I1702="Expired","WARN: KYC Expired",IF(I1702="Pending","INFO: KYC Pending","OK"))))</f>
        <v/>
      </c>
    </row>
    <row r="1703">
      <c r="A1703" s="4">
        <f>Raw_Transactions!A1703</f>
        <v/>
      </c>
      <c r="B1703" s="4">
        <f>Raw_Transactions!B1703</f>
        <v/>
      </c>
      <c r="C1703" s="4">
        <f>Raw_Transactions!C1703</f>
        <v/>
      </c>
      <c r="D1703" s="5">
        <f>Raw_Transactions!D1703</f>
        <v/>
      </c>
      <c r="E1703" s="4">
        <f>Raw_Transactions!E1703</f>
        <v/>
      </c>
      <c r="F1703" s="4">
        <f>Raw_Transactions!F1703</f>
        <v/>
      </c>
      <c r="G1703" s="4">
        <f>Raw_Transactions!G1703</f>
        <v/>
      </c>
      <c r="H1703" s="4">
        <f>XLOOKUP(B1703,Raw_Risk_Profiles!$A:$A,Raw_Risk_Profiles!$B:$B,"Not Found")</f>
        <v/>
      </c>
      <c r="I1703" s="4">
        <f>XLOOKUP(B1703,Raw_Risk_Profiles!$A:$A,Raw_Risk_Profiles!$C:$C,"Missing")</f>
        <v/>
      </c>
      <c r="J1703" s="4">
        <f>XLOOKUP(B1703,Raw_Risk_Profiles!$A:$A,Raw_Risk_Profiles!$D:$D,"")</f>
        <v/>
      </c>
      <c r="K1703" s="4">
        <f>IFERROR(INDEX(Raw_Risk_Profiles!$E:$E,MATCH(B1703,Raw_Risk_Profiles!$A:$A,0)),"Unknown")</f>
        <v/>
      </c>
      <c r="L1703" s="4">
        <f>IFERROR(XLOOKUP(A1703,Raw_Alerts!$B:$B,Raw_Alerts!$A:$A),"No Alert")</f>
        <v/>
      </c>
      <c r="M1703" s="4">
        <f>IFERROR(XLOOKUP(A1703,Raw_Alerts!$B:$B,Raw_Alerts!$C:$C),"")</f>
        <v/>
      </c>
      <c r="N1703" s="4">
        <f>IFERROR(XLOOKUP(A1703,Raw_Alerts!$B:$B,Raw_Alerts!$D:$D),"")</f>
        <v/>
      </c>
      <c r="O1703" s="4">
        <f>IFERROR(XLOOKUP(A1703,Raw_Alerts!$B:$B,Raw_Alerts!$F:$F),"")</f>
        <v/>
      </c>
      <c r="P1703" s="4">
        <f>IF(H1703="Not Found","CRITICAL: No Risk Profile",IF(I1703="Missing","WARN: Missing KYC",IF(I1703="Expired","WARN: KYC Expired",IF(I1703="Pending","INFO: KYC Pending","OK"))))</f>
        <v/>
      </c>
    </row>
    <row r="1704">
      <c r="A1704" s="2">
        <f>Raw_Transactions!A1704</f>
        <v/>
      </c>
      <c r="B1704" s="2">
        <f>Raw_Transactions!B1704</f>
        <v/>
      </c>
      <c r="C1704" s="2">
        <f>Raw_Transactions!C1704</f>
        <v/>
      </c>
      <c r="D1704" s="3">
        <f>Raw_Transactions!D1704</f>
        <v/>
      </c>
      <c r="E1704" s="2">
        <f>Raw_Transactions!E1704</f>
        <v/>
      </c>
      <c r="F1704" s="2">
        <f>Raw_Transactions!F1704</f>
        <v/>
      </c>
      <c r="G1704" s="2">
        <f>Raw_Transactions!G1704</f>
        <v/>
      </c>
      <c r="H1704" s="2">
        <f>XLOOKUP(B1704,Raw_Risk_Profiles!$A:$A,Raw_Risk_Profiles!$B:$B,"Not Found")</f>
        <v/>
      </c>
      <c r="I1704" s="2">
        <f>XLOOKUP(B1704,Raw_Risk_Profiles!$A:$A,Raw_Risk_Profiles!$C:$C,"Missing")</f>
        <v/>
      </c>
      <c r="J1704" s="2">
        <f>XLOOKUP(B1704,Raw_Risk_Profiles!$A:$A,Raw_Risk_Profiles!$D:$D,"")</f>
        <v/>
      </c>
      <c r="K1704" s="2">
        <f>IFERROR(INDEX(Raw_Risk_Profiles!$E:$E,MATCH(B1704,Raw_Risk_Profiles!$A:$A,0)),"Unknown")</f>
        <v/>
      </c>
      <c r="L1704" s="2">
        <f>IFERROR(XLOOKUP(A1704,Raw_Alerts!$B:$B,Raw_Alerts!$A:$A),"No Alert")</f>
        <v/>
      </c>
      <c r="M1704" s="2">
        <f>IFERROR(XLOOKUP(A1704,Raw_Alerts!$B:$B,Raw_Alerts!$C:$C),"")</f>
        <v/>
      </c>
      <c r="N1704" s="2">
        <f>IFERROR(XLOOKUP(A1704,Raw_Alerts!$B:$B,Raw_Alerts!$D:$D),"")</f>
        <v/>
      </c>
      <c r="O1704" s="2">
        <f>IFERROR(XLOOKUP(A1704,Raw_Alerts!$B:$B,Raw_Alerts!$F:$F),"")</f>
        <v/>
      </c>
      <c r="P1704" s="2">
        <f>IF(H1704="Not Found","CRITICAL: No Risk Profile",IF(I1704="Missing","WARN: Missing KYC",IF(I1704="Expired","WARN: KYC Expired",IF(I1704="Pending","INFO: KYC Pending","OK"))))</f>
        <v/>
      </c>
    </row>
    <row r="1705">
      <c r="A1705" s="4">
        <f>Raw_Transactions!A1705</f>
        <v/>
      </c>
      <c r="B1705" s="4">
        <f>Raw_Transactions!B1705</f>
        <v/>
      </c>
      <c r="C1705" s="4">
        <f>Raw_Transactions!C1705</f>
        <v/>
      </c>
      <c r="D1705" s="5">
        <f>Raw_Transactions!D1705</f>
        <v/>
      </c>
      <c r="E1705" s="4">
        <f>Raw_Transactions!E1705</f>
        <v/>
      </c>
      <c r="F1705" s="4">
        <f>Raw_Transactions!F1705</f>
        <v/>
      </c>
      <c r="G1705" s="4">
        <f>Raw_Transactions!G1705</f>
        <v/>
      </c>
      <c r="H1705" s="4">
        <f>XLOOKUP(B1705,Raw_Risk_Profiles!$A:$A,Raw_Risk_Profiles!$B:$B,"Not Found")</f>
        <v/>
      </c>
      <c r="I1705" s="4">
        <f>XLOOKUP(B1705,Raw_Risk_Profiles!$A:$A,Raw_Risk_Profiles!$C:$C,"Missing")</f>
        <v/>
      </c>
      <c r="J1705" s="4">
        <f>XLOOKUP(B1705,Raw_Risk_Profiles!$A:$A,Raw_Risk_Profiles!$D:$D,"")</f>
        <v/>
      </c>
      <c r="K1705" s="4">
        <f>IFERROR(INDEX(Raw_Risk_Profiles!$E:$E,MATCH(B1705,Raw_Risk_Profiles!$A:$A,0)),"Unknown")</f>
        <v/>
      </c>
      <c r="L1705" s="4">
        <f>IFERROR(XLOOKUP(A1705,Raw_Alerts!$B:$B,Raw_Alerts!$A:$A),"No Alert")</f>
        <v/>
      </c>
      <c r="M1705" s="4">
        <f>IFERROR(XLOOKUP(A1705,Raw_Alerts!$B:$B,Raw_Alerts!$C:$C),"")</f>
        <v/>
      </c>
      <c r="N1705" s="4">
        <f>IFERROR(XLOOKUP(A1705,Raw_Alerts!$B:$B,Raw_Alerts!$D:$D),"")</f>
        <v/>
      </c>
      <c r="O1705" s="4">
        <f>IFERROR(XLOOKUP(A1705,Raw_Alerts!$B:$B,Raw_Alerts!$F:$F),"")</f>
        <v/>
      </c>
      <c r="P1705" s="4">
        <f>IF(H1705="Not Found","CRITICAL: No Risk Profile",IF(I1705="Missing","WARN: Missing KYC",IF(I1705="Expired","WARN: KYC Expired",IF(I1705="Pending","INFO: KYC Pending","OK"))))</f>
        <v/>
      </c>
    </row>
    <row r="1706">
      <c r="A1706" s="2">
        <f>Raw_Transactions!A1706</f>
        <v/>
      </c>
      <c r="B1706" s="2">
        <f>Raw_Transactions!B1706</f>
        <v/>
      </c>
      <c r="C1706" s="2">
        <f>Raw_Transactions!C1706</f>
        <v/>
      </c>
      <c r="D1706" s="3">
        <f>Raw_Transactions!D1706</f>
        <v/>
      </c>
      <c r="E1706" s="2">
        <f>Raw_Transactions!E1706</f>
        <v/>
      </c>
      <c r="F1706" s="2">
        <f>Raw_Transactions!F1706</f>
        <v/>
      </c>
      <c r="G1706" s="2">
        <f>Raw_Transactions!G1706</f>
        <v/>
      </c>
      <c r="H1706" s="2">
        <f>XLOOKUP(B1706,Raw_Risk_Profiles!$A:$A,Raw_Risk_Profiles!$B:$B,"Not Found")</f>
        <v/>
      </c>
      <c r="I1706" s="2">
        <f>XLOOKUP(B1706,Raw_Risk_Profiles!$A:$A,Raw_Risk_Profiles!$C:$C,"Missing")</f>
        <v/>
      </c>
      <c r="J1706" s="2">
        <f>XLOOKUP(B1706,Raw_Risk_Profiles!$A:$A,Raw_Risk_Profiles!$D:$D,"")</f>
        <v/>
      </c>
      <c r="K1706" s="2">
        <f>IFERROR(INDEX(Raw_Risk_Profiles!$E:$E,MATCH(B1706,Raw_Risk_Profiles!$A:$A,0)),"Unknown")</f>
        <v/>
      </c>
      <c r="L1706" s="2">
        <f>IFERROR(XLOOKUP(A1706,Raw_Alerts!$B:$B,Raw_Alerts!$A:$A),"No Alert")</f>
        <v/>
      </c>
      <c r="M1706" s="2">
        <f>IFERROR(XLOOKUP(A1706,Raw_Alerts!$B:$B,Raw_Alerts!$C:$C),"")</f>
        <v/>
      </c>
      <c r="N1706" s="2">
        <f>IFERROR(XLOOKUP(A1706,Raw_Alerts!$B:$B,Raw_Alerts!$D:$D),"")</f>
        <v/>
      </c>
      <c r="O1706" s="2">
        <f>IFERROR(XLOOKUP(A1706,Raw_Alerts!$B:$B,Raw_Alerts!$F:$F),"")</f>
        <v/>
      </c>
      <c r="P1706" s="2">
        <f>IF(H1706="Not Found","CRITICAL: No Risk Profile",IF(I1706="Missing","WARN: Missing KYC",IF(I1706="Expired","WARN: KYC Expired",IF(I1706="Pending","INFO: KYC Pending","OK"))))</f>
        <v/>
      </c>
    </row>
    <row r="1707">
      <c r="A1707" s="4">
        <f>Raw_Transactions!A1707</f>
        <v/>
      </c>
      <c r="B1707" s="4">
        <f>Raw_Transactions!B1707</f>
        <v/>
      </c>
      <c r="C1707" s="4">
        <f>Raw_Transactions!C1707</f>
        <v/>
      </c>
      <c r="D1707" s="5">
        <f>Raw_Transactions!D1707</f>
        <v/>
      </c>
      <c r="E1707" s="4">
        <f>Raw_Transactions!E1707</f>
        <v/>
      </c>
      <c r="F1707" s="4">
        <f>Raw_Transactions!F1707</f>
        <v/>
      </c>
      <c r="G1707" s="4">
        <f>Raw_Transactions!G1707</f>
        <v/>
      </c>
      <c r="H1707" s="4">
        <f>XLOOKUP(B1707,Raw_Risk_Profiles!$A:$A,Raw_Risk_Profiles!$B:$B,"Not Found")</f>
        <v/>
      </c>
      <c r="I1707" s="4">
        <f>XLOOKUP(B1707,Raw_Risk_Profiles!$A:$A,Raw_Risk_Profiles!$C:$C,"Missing")</f>
        <v/>
      </c>
      <c r="J1707" s="4">
        <f>XLOOKUP(B1707,Raw_Risk_Profiles!$A:$A,Raw_Risk_Profiles!$D:$D,"")</f>
        <v/>
      </c>
      <c r="K1707" s="4">
        <f>IFERROR(INDEX(Raw_Risk_Profiles!$E:$E,MATCH(B1707,Raw_Risk_Profiles!$A:$A,0)),"Unknown")</f>
        <v/>
      </c>
      <c r="L1707" s="4">
        <f>IFERROR(XLOOKUP(A1707,Raw_Alerts!$B:$B,Raw_Alerts!$A:$A),"No Alert")</f>
        <v/>
      </c>
      <c r="M1707" s="4">
        <f>IFERROR(XLOOKUP(A1707,Raw_Alerts!$B:$B,Raw_Alerts!$C:$C),"")</f>
        <v/>
      </c>
      <c r="N1707" s="4">
        <f>IFERROR(XLOOKUP(A1707,Raw_Alerts!$B:$B,Raw_Alerts!$D:$D),"")</f>
        <v/>
      </c>
      <c r="O1707" s="4">
        <f>IFERROR(XLOOKUP(A1707,Raw_Alerts!$B:$B,Raw_Alerts!$F:$F),"")</f>
        <v/>
      </c>
      <c r="P1707" s="4">
        <f>IF(H1707="Not Found","CRITICAL: No Risk Profile",IF(I1707="Missing","WARN: Missing KYC",IF(I1707="Expired","WARN: KYC Expired",IF(I1707="Pending","INFO: KYC Pending","OK"))))</f>
        <v/>
      </c>
    </row>
    <row r="1708">
      <c r="A1708" s="2">
        <f>Raw_Transactions!A1708</f>
        <v/>
      </c>
      <c r="B1708" s="2">
        <f>Raw_Transactions!B1708</f>
        <v/>
      </c>
      <c r="C1708" s="2">
        <f>Raw_Transactions!C1708</f>
        <v/>
      </c>
      <c r="D1708" s="3">
        <f>Raw_Transactions!D1708</f>
        <v/>
      </c>
      <c r="E1708" s="2">
        <f>Raw_Transactions!E1708</f>
        <v/>
      </c>
      <c r="F1708" s="2">
        <f>Raw_Transactions!F1708</f>
        <v/>
      </c>
      <c r="G1708" s="2">
        <f>Raw_Transactions!G1708</f>
        <v/>
      </c>
      <c r="H1708" s="2">
        <f>XLOOKUP(B1708,Raw_Risk_Profiles!$A:$A,Raw_Risk_Profiles!$B:$B,"Not Found")</f>
        <v/>
      </c>
      <c r="I1708" s="2">
        <f>XLOOKUP(B1708,Raw_Risk_Profiles!$A:$A,Raw_Risk_Profiles!$C:$C,"Missing")</f>
        <v/>
      </c>
      <c r="J1708" s="2">
        <f>XLOOKUP(B1708,Raw_Risk_Profiles!$A:$A,Raw_Risk_Profiles!$D:$D,"")</f>
        <v/>
      </c>
      <c r="K1708" s="2">
        <f>IFERROR(INDEX(Raw_Risk_Profiles!$E:$E,MATCH(B1708,Raw_Risk_Profiles!$A:$A,0)),"Unknown")</f>
        <v/>
      </c>
      <c r="L1708" s="2">
        <f>IFERROR(XLOOKUP(A1708,Raw_Alerts!$B:$B,Raw_Alerts!$A:$A),"No Alert")</f>
        <v/>
      </c>
      <c r="M1708" s="2">
        <f>IFERROR(XLOOKUP(A1708,Raw_Alerts!$B:$B,Raw_Alerts!$C:$C),"")</f>
        <v/>
      </c>
      <c r="N1708" s="2">
        <f>IFERROR(XLOOKUP(A1708,Raw_Alerts!$B:$B,Raw_Alerts!$D:$D),"")</f>
        <v/>
      </c>
      <c r="O1708" s="2">
        <f>IFERROR(XLOOKUP(A1708,Raw_Alerts!$B:$B,Raw_Alerts!$F:$F),"")</f>
        <v/>
      </c>
      <c r="P1708" s="2">
        <f>IF(H1708="Not Found","CRITICAL: No Risk Profile",IF(I1708="Missing","WARN: Missing KYC",IF(I1708="Expired","WARN: KYC Expired",IF(I1708="Pending","INFO: KYC Pending","OK"))))</f>
        <v/>
      </c>
    </row>
    <row r="1709">
      <c r="A1709" s="4">
        <f>Raw_Transactions!A1709</f>
        <v/>
      </c>
      <c r="B1709" s="4">
        <f>Raw_Transactions!B1709</f>
        <v/>
      </c>
      <c r="C1709" s="4">
        <f>Raw_Transactions!C1709</f>
        <v/>
      </c>
      <c r="D1709" s="5">
        <f>Raw_Transactions!D1709</f>
        <v/>
      </c>
      <c r="E1709" s="4">
        <f>Raw_Transactions!E1709</f>
        <v/>
      </c>
      <c r="F1709" s="4">
        <f>Raw_Transactions!F1709</f>
        <v/>
      </c>
      <c r="G1709" s="4">
        <f>Raw_Transactions!G1709</f>
        <v/>
      </c>
      <c r="H1709" s="4">
        <f>XLOOKUP(B1709,Raw_Risk_Profiles!$A:$A,Raw_Risk_Profiles!$B:$B,"Not Found")</f>
        <v/>
      </c>
      <c r="I1709" s="4">
        <f>XLOOKUP(B1709,Raw_Risk_Profiles!$A:$A,Raw_Risk_Profiles!$C:$C,"Missing")</f>
        <v/>
      </c>
      <c r="J1709" s="4">
        <f>XLOOKUP(B1709,Raw_Risk_Profiles!$A:$A,Raw_Risk_Profiles!$D:$D,"")</f>
        <v/>
      </c>
      <c r="K1709" s="4">
        <f>IFERROR(INDEX(Raw_Risk_Profiles!$E:$E,MATCH(B1709,Raw_Risk_Profiles!$A:$A,0)),"Unknown")</f>
        <v/>
      </c>
      <c r="L1709" s="4">
        <f>IFERROR(XLOOKUP(A1709,Raw_Alerts!$B:$B,Raw_Alerts!$A:$A),"No Alert")</f>
        <v/>
      </c>
      <c r="M1709" s="4">
        <f>IFERROR(XLOOKUP(A1709,Raw_Alerts!$B:$B,Raw_Alerts!$C:$C),"")</f>
        <v/>
      </c>
      <c r="N1709" s="4">
        <f>IFERROR(XLOOKUP(A1709,Raw_Alerts!$B:$B,Raw_Alerts!$D:$D),"")</f>
        <v/>
      </c>
      <c r="O1709" s="4">
        <f>IFERROR(XLOOKUP(A1709,Raw_Alerts!$B:$B,Raw_Alerts!$F:$F),"")</f>
        <v/>
      </c>
      <c r="P1709" s="4">
        <f>IF(H1709="Not Found","CRITICAL: No Risk Profile",IF(I1709="Missing","WARN: Missing KYC",IF(I1709="Expired","WARN: KYC Expired",IF(I1709="Pending","INFO: KYC Pending","OK"))))</f>
        <v/>
      </c>
    </row>
    <row r="1710">
      <c r="A1710" s="2">
        <f>Raw_Transactions!A1710</f>
        <v/>
      </c>
      <c r="B1710" s="2">
        <f>Raw_Transactions!B1710</f>
        <v/>
      </c>
      <c r="C1710" s="2">
        <f>Raw_Transactions!C1710</f>
        <v/>
      </c>
      <c r="D1710" s="3">
        <f>Raw_Transactions!D1710</f>
        <v/>
      </c>
      <c r="E1710" s="2">
        <f>Raw_Transactions!E1710</f>
        <v/>
      </c>
      <c r="F1710" s="2">
        <f>Raw_Transactions!F1710</f>
        <v/>
      </c>
      <c r="G1710" s="2">
        <f>Raw_Transactions!G1710</f>
        <v/>
      </c>
      <c r="H1710" s="2">
        <f>XLOOKUP(B1710,Raw_Risk_Profiles!$A:$A,Raw_Risk_Profiles!$B:$B,"Not Found")</f>
        <v/>
      </c>
      <c r="I1710" s="2">
        <f>XLOOKUP(B1710,Raw_Risk_Profiles!$A:$A,Raw_Risk_Profiles!$C:$C,"Missing")</f>
        <v/>
      </c>
      <c r="J1710" s="2">
        <f>XLOOKUP(B1710,Raw_Risk_Profiles!$A:$A,Raw_Risk_Profiles!$D:$D,"")</f>
        <v/>
      </c>
      <c r="K1710" s="2">
        <f>IFERROR(INDEX(Raw_Risk_Profiles!$E:$E,MATCH(B1710,Raw_Risk_Profiles!$A:$A,0)),"Unknown")</f>
        <v/>
      </c>
      <c r="L1710" s="2">
        <f>IFERROR(XLOOKUP(A1710,Raw_Alerts!$B:$B,Raw_Alerts!$A:$A),"No Alert")</f>
        <v/>
      </c>
      <c r="M1710" s="2">
        <f>IFERROR(XLOOKUP(A1710,Raw_Alerts!$B:$B,Raw_Alerts!$C:$C),"")</f>
        <v/>
      </c>
      <c r="N1710" s="2">
        <f>IFERROR(XLOOKUP(A1710,Raw_Alerts!$B:$B,Raw_Alerts!$D:$D),"")</f>
        <v/>
      </c>
      <c r="O1710" s="2">
        <f>IFERROR(XLOOKUP(A1710,Raw_Alerts!$B:$B,Raw_Alerts!$F:$F),"")</f>
        <v/>
      </c>
      <c r="P1710" s="2">
        <f>IF(H1710="Not Found","CRITICAL: No Risk Profile",IF(I1710="Missing","WARN: Missing KYC",IF(I1710="Expired","WARN: KYC Expired",IF(I1710="Pending","INFO: KYC Pending","OK"))))</f>
        <v/>
      </c>
    </row>
    <row r="1711">
      <c r="A1711" s="4">
        <f>Raw_Transactions!A1711</f>
        <v/>
      </c>
      <c r="B1711" s="4">
        <f>Raw_Transactions!B1711</f>
        <v/>
      </c>
      <c r="C1711" s="4">
        <f>Raw_Transactions!C1711</f>
        <v/>
      </c>
      <c r="D1711" s="5">
        <f>Raw_Transactions!D1711</f>
        <v/>
      </c>
      <c r="E1711" s="4">
        <f>Raw_Transactions!E1711</f>
        <v/>
      </c>
      <c r="F1711" s="4">
        <f>Raw_Transactions!F1711</f>
        <v/>
      </c>
      <c r="G1711" s="4">
        <f>Raw_Transactions!G1711</f>
        <v/>
      </c>
      <c r="H1711" s="4">
        <f>XLOOKUP(B1711,Raw_Risk_Profiles!$A:$A,Raw_Risk_Profiles!$B:$B,"Not Found")</f>
        <v/>
      </c>
      <c r="I1711" s="4">
        <f>XLOOKUP(B1711,Raw_Risk_Profiles!$A:$A,Raw_Risk_Profiles!$C:$C,"Missing")</f>
        <v/>
      </c>
      <c r="J1711" s="4">
        <f>XLOOKUP(B1711,Raw_Risk_Profiles!$A:$A,Raw_Risk_Profiles!$D:$D,"")</f>
        <v/>
      </c>
      <c r="K1711" s="4">
        <f>IFERROR(INDEX(Raw_Risk_Profiles!$E:$E,MATCH(B1711,Raw_Risk_Profiles!$A:$A,0)),"Unknown")</f>
        <v/>
      </c>
      <c r="L1711" s="4">
        <f>IFERROR(XLOOKUP(A1711,Raw_Alerts!$B:$B,Raw_Alerts!$A:$A),"No Alert")</f>
        <v/>
      </c>
      <c r="M1711" s="4">
        <f>IFERROR(XLOOKUP(A1711,Raw_Alerts!$B:$B,Raw_Alerts!$C:$C),"")</f>
        <v/>
      </c>
      <c r="N1711" s="4">
        <f>IFERROR(XLOOKUP(A1711,Raw_Alerts!$B:$B,Raw_Alerts!$D:$D),"")</f>
        <v/>
      </c>
      <c r="O1711" s="4">
        <f>IFERROR(XLOOKUP(A1711,Raw_Alerts!$B:$B,Raw_Alerts!$F:$F),"")</f>
        <v/>
      </c>
      <c r="P1711" s="4">
        <f>IF(H1711="Not Found","CRITICAL: No Risk Profile",IF(I1711="Missing","WARN: Missing KYC",IF(I1711="Expired","WARN: KYC Expired",IF(I1711="Pending","INFO: KYC Pending","OK"))))</f>
        <v/>
      </c>
    </row>
    <row r="1712">
      <c r="A1712" s="2">
        <f>Raw_Transactions!A1712</f>
        <v/>
      </c>
      <c r="B1712" s="2">
        <f>Raw_Transactions!B1712</f>
        <v/>
      </c>
      <c r="C1712" s="2">
        <f>Raw_Transactions!C1712</f>
        <v/>
      </c>
      <c r="D1712" s="3">
        <f>Raw_Transactions!D1712</f>
        <v/>
      </c>
      <c r="E1712" s="2">
        <f>Raw_Transactions!E1712</f>
        <v/>
      </c>
      <c r="F1712" s="2">
        <f>Raw_Transactions!F1712</f>
        <v/>
      </c>
      <c r="G1712" s="2">
        <f>Raw_Transactions!G1712</f>
        <v/>
      </c>
      <c r="H1712" s="2">
        <f>XLOOKUP(B1712,Raw_Risk_Profiles!$A:$A,Raw_Risk_Profiles!$B:$B,"Not Found")</f>
        <v/>
      </c>
      <c r="I1712" s="2">
        <f>XLOOKUP(B1712,Raw_Risk_Profiles!$A:$A,Raw_Risk_Profiles!$C:$C,"Missing")</f>
        <v/>
      </c>
      <c r="J1712" s="2">
        <f>XLOOKUP(B1712,Raw_Risk_Profiles!$A:$A,Raw_Risk_Profiles!$D:$D,"")</f>
        <v/>
      </c>
      <c r="K1712" s="2">
        <f>IFERROR(INDEX(Raw_Risk_Profiles!$E:$E,MATCH(B1712,Raw_Risk_Profiles!$A:$A,0)),"Unknown")</f>
        <v/>
      </c>
      <c r="L1712" s="2">
        <f>IFERROR(XLOOKUP(A1712,Raw_Alerts!$B:$B,Raw_Alerts!$A:$A),"No Alert")</f>
        <v/>
      </c>
      <c r="M1712" s="2">
        <f>IFERROR(XLOOKUP(A1712,Raw_Alerts!$B:$B,Raw_Alerts!$C:$C),"")</f>
        <v/>
      </c>
      <c r="N1712" s="2">
        <f>IFERROR(XLOOKUP(A1712,Raw_Alerts!$B:$B,Raw_Alerts!$D:$D),"")</f>
        <v/>
      </c>
      <c r="O1712" s="2">
        <f>IFERROR(XLOOKUP(A1712,Raw_Alerts!$B:$B,Raw_Alerts!$F:$F),"")</f>
        <v/>
      </c>
      <c r="P1712" s="2">
        <f>IF(H1712="Not Found","CRITICAL: No Risk Profile",IF(I1712="Missing","WARN: Missing KYC",IF(I1712="Expired","WARN: KYC Expired",IF(I1712="Pending","INFO: KYC Pending","OK"))))</f>
        <v/>
      </c>
    </row>
    <row r="1713">
      <c r="A1713" s="4">
        <f>Raw_Transactions!A1713</f>
        <v/>
      </c>
      <c r="B1713" s="4">
        <f>Raw_Transactions!B1713</f>
        <v/>
      </c>
      <c r="C1713" s="4">
        <f>Raw_Transactions!C1713</f>
        <v/>
      </c>
      <c r="D1713" s="5">
        <f>Raw_Transactions!D1713</f>
        <v/>
      </c>
      <c r="E1713" s="4">
        <f>Raw_Transactions!E1713</f>
        <v/>
      </c>
      <c r="F1713" s="4">
        <f>Raw_Transactions!F1713</f>
        <v/>
      </c>
      <c r="G1713" s="4">
        <f>Raw_Transactions!G1713</f>
        <v/>
      </c>
      <c r="H1713" s="4">
        <f>XLOOKUP(B1713,Raw_Risk_Profiles!$A:$A,Raw_Risk_Profiles!$B:$B,"Not Found")</f>
        <v/>
      </c>
      <c r="I1713" s="4">
        <f>XLOOKUP(B1713,Raw_Risk_Profiles!$A:$A,Raw_Risk_Profiles!$C:$C,"Missing")</f>
        <v/>
      </c>
      <c r="J1713" s="4">
        <f>XLOOKUP(B1713,Raw_Risk_Profiles!$A:$A,Raw_Risk_Profiles!$D:$D,"")</f>
        <v/>
      </c>
      <c r="K1713" s="4">
        <f>IFERROR(INDEX(Raw_Risk_Profiles!$E:$E,MATCH(B1713,Raw_Risk_Profiles!$A:$A,0)),"Unknown")</f>
        <v/>
      </c>
      <c r="L1713" s="4">
        <f>IFERROR(XLOOKUP(A1713,Raw_Alerts!$B:$B,Raw_Alerts!$A:$A),"No Alert")</f>
        <v/>
      </c>
      <c r="M1713" s="4">
        <f>IFERROR(XLOOKUP(A1713,Raw_Alerts!$B:$B,Raw_Alerts!$C:$C),"")</f>
        <v/>
      </c>
      <c r="N1713" s="4">
        <f>IFERROR(XLOOKUP(A1713,Raw_Alerts!$B:$B,Raw_Alerts!$D:$D),"")</f>
        <v/>
      </c>
      <c r="O1713" s="4">
        <f>IFERROR(XLOOKUP(A1713,Raw_Alerts!$B:$B,Raw_Alerts!$F:$F),"")</f>
        <v/>
      </c>
      <c r="P1713" s="4">
        <f>IF(H1713="Not Found","CRITICAL: No Risk Profile",IF(I1713="Missing","WARN: Missing KYC",IF(I1713="Expired","WARN: KYC Expired",IF(I1713="Pending","INFO: KYC Pending","OK"))))</f>
        <v/>
      </c>
    </row>
    <row r="1714">
      <c r="A1714" s="2">
        <f>Raw_Transactions!A1714</f>
        <v/>
      </c>
      <c r="B1714" s="2">
        <f>Raw_Transactions!B1714</f>
        <v/>
      </c>
      <c r="C1714" s="2">
        <f>Raw_Transactions!C1714</f>
        <v/>
      </c>
      <c r="D1714" s="3">
        <f>Raw_Transactions!D1714</f>
        <v/>
      </c>
      <c r="E1714" s="2">
        <f>Raw_Transactions!E1714</f>
        <v/>
      </c>
      <c r="F1714" s="2">
        <f>Raw_Transactions!F1714</f>
        <v/>
      </c>
      <c r="G1714" s="2">
        <f>Raw_Transactions!G1714</f>
        <v/>
      </c>
      <c r="H1714" s="2">
        <f>XLOOKUP(B1714,Raw_Risk_Profiles!$A:$A,Raw_Risk_Profiles!$B:$B,"Not Found")</f>
        <v/>
      </c>
      <c r="I1714" s="2">
        <f>XLOOKUP(B1714,Raw_Risk_Profiles!$A:$A,Raw_Risk_Profiles!$C:$C,"Missing")</f>
        <v/>
      </c>
      <c r="J1714" s="2">
        <f>XLOOKUP(B1714,Raw_Risk_Profiles!$A:$A,Raw_Risk_Profiles!$D:$D,"")</f>
        <v/>
      </c>
      <c r="K1714" s="2">
        <f>IFERROR(INDEX(Raw_Risk_Profiles!$E:$E,MATCH(B1714,Raw_Risk_Profiles!$A:$A,0)),"Unknown")</f>
        <v/>
      </c>
      <c r="L1714" s="2">
        <f>IFERROR(XLOOKUP(A1714,Raw_Alerts!$B:$B,Raw_Alerts!$A:$A),"No Alert")</f>
        <v/>
      </c>
      <c r="M1714" s="2">
        <f>IFERROR(XLOOKUP(A1714,Raw_Alerts!$B:$B,Raw_Alerts!$C:$C),"")</f>
        <v/>
      </c>
      <c r="N1714" s="2">
        <f>IFERROR(XLOOKUP(A1714,Raw_Alerts!$B:$B,Raw_Alerts!$D:$D),"")</f>
        <v/>
      </c>
      <c r="O1714" s="2">
        <f>IFERROR(XLOOKUP(A1714,Raw_Alerts!$B:$B,Raw_Alerts!$F:$F),"")</f>
        <v/>
      </c>
      <c r="P1714" s="2">
        <f>IF(H1714="Not Found","CRITICAL: No Risk Profile",IF(I1714="Missing","WARN: Missing KYC",IF(I1714="Expired","WARN: KYC Expired",IF(I1714="Pending","INFO: KYC Pending","OK"))))</f>
        <v/>
      </c>
    </row>
    <row r="1715">
      <c r="A1715" s="4">
        <f>Raw_Transactions!A1715</f>
        <v/>
      </c>
      <c r="B1715" s="4">
        <f>Raw_Transactions!B1715</f>
        <v/>
      </c>
      <c r="C1715" s="4">
        <f>Raw_Transactions!C1715</f>
        <v/>
      </c>
      <c r="D1715" s="5">
        <f>Raw_Transactions!D1715</f>
        <v/>
      </c>
      <c r="E1715" s="4">
        <f>Raw_Transactions!E1715</f>
        <v/>
      </c>
      <c r="F1715" s="4">
        <f>Raw_Transactions!F1715</f>
        <v/>
      </c>
      <c r="G1715" s="4">
        <f>Raw_Transactions!G1715</f>
        <v/>
      </c>
      <c r="H1715" s="4">
        <f>XLOOKUP(B1715,Raw_Risk_Profiles!$A:$A,Raw_Risk_Profiles!$B:$B,"Not Found")</f>
        <v/>
      </c>
      <c r="I1715" s="4">
        <f>XLOOKUP(B1715,Raw_Risk_Profiles!$A:$A,Raw_Risk_Profiles!$C:$C,"Missing")</f>
        <v/>
      </c>
      <c r="J1715" s="4">
        <f>XLOOKUP(B1715,Raw_Risk_Profiles!$A:$A,Raw_Risk_Profiles!$D:$D,"")</f>
        <v/>
      </c>
      <c r="K1715" s="4">
        <f>IFERROR(INDEX(Raw_Risk_Profiles!$E:$E,MATCH(B1715,Raw_Risk_Profiles!$A:$A,0)),"Unknown")</f>
        <v/>
      </c>
      <c r="L1715" s="4">
        <f>IFERROR(XLOOKUP(A1715,Raw_Alerts!$B:$B,Raw_Alerts!$A:$A),"No Alert")</f>
        <v/>
      </c>
      <c r="M1715" s="4">
        <f>IFERROR(XLOOKUP(A1715,Raw_Alerts!$B:$B,Raw_Alerts!$C:$C),"")</f>
        <v/>
      </c>
      <c r="N1715" s="4">
        <f>IFERROR(XLOOKUP(A1715,Raw_Alerts!$B:$B,Raw_Alerts!$D:$D),"")</f>
        <v/>
      </c>
      <c r="O1715" s="4">
        <f>IFERROR(XLOOKUP(A1715,Raw_Alerts!$B:$B,Raw_Alerts!$F:$F),"")</f>
        <v/>
      </c>
      <c r="P1715" s="4">
        <f>IF(H1715="Not Found","CRITICAL: No Risk Profile",IF(I1715="Missing","WARN: Missing KYC",IF(I1715="Expired","WARN: KYC Expired",IF(I1715="Pending","INFO: KYC Pending","OK"))))</f>
        <v/>
      </c>
    </row>
    <row r="1716">
      <c r="A1716" s="2">
        <f>Raw_Transactions!A1716</f>
        <v/>
      </c>
      <c r="B1716" s="2">
        <f>Raw_Transactions!B1716</f>
        <v/>
      </c>
      <c r="C1716" s="2">
        <f>Raw_Transactions!C1716</f>
        <v/>
      </c>
      <c r="D1716" s="3">
        <f>Raw_Transactions!D1716</f>
        <v/>
      </c>
      <c r="E1716" s="2">
        <f>Raw_Transactions!E1716</f>
        <v/>
      </c>
      <c r="F1716" s="2">
        <f>Raw_Transactions!F1716</f>
        <v/>
      </c>
      <c r="G1716" s="2">
        <f>Raw_Transactions!G1716</f>
        <v/>
      </c>
      <c r="H1716" s="2">
        <f>XLOOKUP(B1716,Raw_Risk_Profiles!$A:$A,Raw_Risk_Profiles!$B:$B,"Not Found")</f>
        <v/>
      </c>
      <c r="I1716" s="2">
        <f>XLOOKUP(B1716,Raw_Risk_Profiles!$A:$A,Raw_Risk_Profiles!$C:$C,"Missing")</f>
        <v/>
      </c>
      <c r="J1716" s="2">
        <f>XLOOKUP(B1716,Raw_Risk_Profiles!$A:$A,Raw_Risk_Profiles!$D:$D,"")</f>
        <v/>
      </c>
      <c r="K1716" s="2">
        <f>IFERROR(INDEX(Raw_Risk_Profiles!$E:$E,MATCH(B1716,Raw_Risk_Profiles!$A:$A,0)),"Unknown")</f>
        <v/>
      </c>
      <c r="L1716" s="2">
        <f>IFERROR(XLOOKUP(A1716,Raw_Alerts!$B:$B,Raw_Alerts!$A:$A),"No Alert")</f>
        <v/>
      </c>
      <c r="M1716" s="2">
        <f>IFERROR(XLOOKUP(A1716,Raw_Alerts!$B:$B,Raw_Alerts!$C:$C),"")</f>
        <v/>
      </c>
      <c r="N1716" s="2">
        <f>IFERROR(XLOOKUP(A1716,Raw_Alerts!$B:$B,Raw_Alerts!$D:$D),"")</f>
        <v/>
      </c>
      <c r="O1716" s="2">
        <f>IFERROR(XLOOKUP(A1716,Raw_Alerts!$B:$B,Raw_Alerts!$F:$F),"")</f>
        <v/>
      </c>
      <c r="P1716" s="2">
        <f>IF(H1716="Not Found","CRITICAL: No Risk Profile",IF(I1716="Missing","WARN: Missing KYC",IF(I1716="Expired","WARN: KYC Expired",IF(I1716="Pending","INFO: KYC Pending","OK"))))</f>
        <v/>
      </c>
    </row>
    <row r="1717">
      <c r="A1717" s="4">
        <f>Raw_Transactions!A1717</f>
        <v/>
      </c>
      <c r="B1717" s="4">
        <f>Raw_Transactions!B1717</f>
        <v/>
      </c>
      <c r="C1717" s="4">
        <f>Raw_Transactions!C1717</f>
        <v/>
      </c>
      <c r="D1717" s="5">
        <f>Raw_Transactions!D1717</f>
        <v/>
      </c>
      <c r="E1717" s="4">
        <f>Raw_Transactions!E1717</f>
        <v/>
      </c>
      <c r="F1717" s="4">
        <f>Raw_Transactions!F1717</f>
        <v/>
      </c>
      <c r="G1717" s="4">
        <f>Raw_Transactions!G1717</f>
        <v/>
      </c>
      <c r="H1717" s="4">
        <f>XLOOKUP(B1717,Raw_Risk_Profiles!$A:$A,Raw_Risk_Profiles!$B:$B,"Not Found")</f>
        <v/>
      </c>
      <c r="I1717" s="4">
        <f>XLOOKUP(B1717,Raw_Risk_Profiles!$A:$A,Raw_Risk_Profiles!$C:$C,"Missing")</f>
        <v/>
      </c>
      <c r="J1717" s="4">
        <f>XLOOKUP(B1717,Raw_Risk_Profiles!$A:$A,Raw_Risk_Profiles!$D:$D,"")</f>
        <v/>
      </c>
      <c r="K1717" s="4">
        <f>IFERROR(INDEX(Raw_Risk_Profiles!$E:$E,MATCH(B1717,Raw_Risk_Profiles!$A:$A,0)),"Unknown")</f>
        <v/>
      </c>
      <c r="L1717" s="4">
        <f>IFERROR(XLOOKUP(A1717,Raw_Alerts!$B:$B,Raw_Alerts!$A:$A),"No Alert")</f>
        <v/>
      </c>
      <c r="M1717" s="4">
        <f>IFERROR(XLOOKUP(A1717,Raw_Alerts!$B:$B,Raw_Alerts!$C:$C),"")</f>
        <v/>
      </c>
      <c r="N1717" s="4">
        <f>IFERROR(XLOOKUP(A1717,Raw_Alerts!$B:$B,Raw_Alerts!$D:$D),"")</f>
        <v/>
      </c>
      <c r="O1717" s="4">
        <f>IFERROR(XLOOKUP(A1717,Raw_Alerts!$B:$B,Raw_Alerts!$F:$F),"")</f>
        <v/>
      </c>
      <c r="P1717" s="4">
        <f>IF(H1717="Not Found","CRITICAL: No Risk Profile",IF(I1717="Missing","WARN: Missing KYC",IF(I1717="Expired","WARN: KYC Expired",IF(I1717="Pending","INFO: KYC Pending","OK"))))</f>
        <v/>
      </c>
    </row>
    <row r="1718">
      <c r="A1718" s="2">
        <f>Raw_Transactions!A1718</f>
        <v/>
      </c>
      <c r="B1718" s="2">
        <f>Raw_Transactions!B1718</f>
        <v/>
      </c>
      <c r="C1718" s="2">
        <f>Raw_Transactions!C1718</f>
        <v/>
      </c>
      <c r="D1718" s="3">
        <f>Raw_Transactions!D1718</f>
        <v/>
      </c>
      <c r="E1718" s="2">
        <f>Raw_Transactions!E1718</f>
        <v/>
      </c>
      <c r="F1718" s="2">
        <f>Raw_Transactions!F1718</f>
        <v/>
      </c>
      <c r="G1718" s="2">
        <f>Raw_Transactions!G1718</f>
        <v/>
      </c>
      <c r="H1718" s="2">
        <f>XLOOKUP(B1718,Raw_Risk_Profiles!$A:$A,Raw_Risk_Profiles!$B:$B,"Not Found")</f>
        <v/>
      </c>
      <c r="I1718" s="2">
        <f>XLOOKUP(B1718,Raw_Risk_Profiles!$A:$A,Raw_Risk_Profiles!$C:$C,"Missing")</f>
        <v/>
      </c>
      <c r="J1718" s="2">
        <f>XLOOKUP(B1718,Raw_Risk_Profiles!$A:$A,Raw_Risk_Profiles!$D:$D,"")</f>
        <v/>
      </c>
      <c r="K1718" s="2">
        <f>IFERROR(INDEX(Raw_Risk_Profiles!$E:$E,MATCH(B1718,Raw_Risk_Profiles!$A:$A,0)),"Unknown")</f>
        <v/>
      </c>
      <c r="L1718" s="2">
        <f>IFERROR(XLOOKUP(A1718,Raw_Alerts!$B:$B,Raw_Alerts!$A:$A),"No Alert")</f>
        <v/>
      </c>
      <c r="M1718" s="2">
        <f>IFERROR(XLOOKUP(A1718,Raw_Alerts!$B:$B,Raw_Alerts!$C:$C),"")</f>
        <v/>
      </c>
      <c r="N1718" s="2">
        <f>IFERROR(XLOOKUP(A1718,Raw_Alerts!$B:$B,Raw_Alerts!$D:$D),"")</f>
        <v/>
      </c>
      <c r="O1718" s="2">
        <f>IFERROR(XLOOKUP(A1718,Raw_Alerts!$B:$B,Raw_Alerts!$F:$F),"")</f>
        <v/>
      </c>
      <c r="P1718" s="2">
        <f>IF(H1718="Not Found","CRITICAL: No Risk Profile",IF(I1718="Missing","WARN: Missing KYC",IF(I1718="Expired","WARN: KYC Expired",IF(I1718="Pending","INFO: KYC Pending","OK"))))</f>
        <v/>
      </c>
    </row>
    <row r="1719">
      <c r="A1719" s="4">
        <f>Raw_Transactions!A1719</f>
        <v/>
      </c>
      <c r="B1719" s="4">
        <f>Raw_Transactions!B1719</f>
        <v/>
      </c>
      <c r="C1719" s="4">
        <f>Raw_Transactions!C1719</f>
        <v/>
      </c>
      <c r="D1719" s="5">
        <f>Raw_Transactions!D1719</f>
        <v/>
      </c>
      <c r="E1719" s="4">
        <f>Raw_Transactions!E1719</f>
        <v/>
      </c>
      <c r="F1719" s="4">
        <f>Raw_Transactions!F1719</f>
        <v/>
      </c>
      <c r="G1719" s="4">
        <f>Raw_Transactions!G1719</f>
        <v/>
      </c>
      <c r="H1719" s="4">
        <f>XLOOKUP(B1719,Raw_Risk_Profiles!$A:$A,Raw_Risk_Profiles!$B:$B,"Not Found")</f>
        <v/>
      </c>
      <c r="I1719" s="4">
        <f>XLOOKUP(B1719,Raw_Risk_Profiles!$A:$A,Raw_Risk_Profiles!$C:$C,"Missing")</f>
        <v/>
      </c>
      <c r="J1719" s="4">
        <f>XLOOKUP(B1719,Raw_Risk_Profiles!$A:$A,Raw_Risk_Profiles!$D:$D,"")</f>
        <v/>
      </c>
      <c r="K1719" s="4">
        <f>IFERROR(INDEX(Raw_Risk_Profiles!$E:$E,MATCH(B1719,Raw_Risk_Profiles!$A:$A,0)),"Unknown")</f>
        <v/>
      </c>
      <c r="L1719" s="4">
        <f>IFERROR(XLOOKUP(A1719,Raw_Alerts!$B:$B,Raw_Alerts!$A:$A),"No Alert")</f>
        <v/>
      </c>
      <c r="M1719" s="4">
        <f>IFERROR(XLOOKUP(A1719,Raw_Alerts!$B:$B,Raw_Alerts!$C:$C),"")</f>
        <v/>
      </c>
      <c r="N1719" s="4">
        <f>IFERROR(XLOOKUP(A1719,Raw_Alerts!$B:$B,Raw_Alerts!$D:$D),"")</f>
        <v/>
      </c>
      <c r="O1719" s="4">
        <f>IFERROR(XLOOKUP(A1719,Raw_Alerts!$B:$B,Raw_Alerts!$F:$F),"")</f>
        <v/>
      </c>
      <c r="P1719" s="4">
        <f>IF(H1719="Not Found","CRITICAL: No Risk Profile",IF(I1719="Missing","WARN: Missing KYC",IF(I1719="Expired","WARN: KYC Expired",IF(I1719="Pending","INFO: KYC Pending","OK"))))</f>
        <v/>
      </c>
    </row>
    <row r="1720">
      <c r="A1720" s="2">
        <f>Raw_Transactions!A1720</f>
        <v/>
      </c>
      <c r="B1720" s="2">
        <f>Raw_Transactions!B1720</f>
        <v/>
      </c>
      <c r="C1720" s="2">
        <f>Raw_Transactions!C1720</f>
        <v/>
      </c>
      <c r="D1720" s="3">
        <f>Raw_Transactions!D1720</f>
        <v/>
      </c>
      <c r="E1720" s="2">
        <f>Raw_Transactions!E1720</f>
        <v/>
      </c>
      <c r="F1720" s="2">
        <f>Raw_Transactions!F1720</f>
        <v/>
      </c>
      <c r="G1720" s="2">
        <f>Raw_Transactions!G1720</f>
        <v/>
      </c>
      <c r="H1720" s="2">
        <f>XLOOKUP(B1720,Raw_Risk_Profiles!$A:$A,Raw_Risk_Profiles!$B:$B,"Not Found")</f>
        <v/>
      </c>
      <c r="I1720" s="2">
        <f>XLOOKUP(B1720,Raw_Risk_Profiles!$A:$A,Raw_Risk_Profiles!$C:$C,"Missing")</f>
        <v/>
      </c>
      <c r="J1720" s="2">
        <f>XLOOKUP(B1720,Raw_Risk_Profiles!$A:$A,Raw_Risk_Profiles!$D:$D,"")</f>
        <v/>
      </c>
      <c r="K1720" s="2">
        <f>IFERROR(INDEX(Raw_Risk_Profiles!$E:$E,MATCH(B1720,Raw_Risk_Profiles!$A:$A,0)),"Unknown")</f>
        <v/>
      </c>
      <c r="L1720" s="2">
        <f>IFERROR(XLOOKUP(A1720,Raw_Alerts!$B:$B,Raw_Alerts!$A:$A),"No Alert")</f>
        <v/>
      </c>
      <c r="M1720" s="2">
        <f>IFERROR(XLOOKUP(A1720,Raw_Alerts!$B:$B,Raw_Alerts!$C:$C),"")</f>
        <v/>
      </c>
      <c r="N1720" s="2">
        <f>IFERROR(XLOOKUP(A1720,Raw_Alerts!$B:$B,Raw_Alerts!$D:$D),"")</f>
        <v/>
      </c>
      <c r="O1720" s="2">
        <f>IFERROR(XLOOKUP(A1720,Raw_Alerts!$B:$B,Raw_Alerts!$F:$F),"")</f>
        <v/>
      </c>
      <c r="P1720" s="2">
        <f>IF(H1720="Not Found","CRITICAL: No Risk Profile",IF(I1720="Missing","WARN: Missing KYC",IF(I1720="Expired","WARN: KYC Expired",IF(I1720="Pending","INFO: KYC Pending","OK"))))</f>
        <v/>
      </c>
    </row>
    <row r="1721">
      <c r="A1721" s="4">
        <f>Raw_Transactions!A1721</f>
        <v/>
      </c>
      <c r="B1721" s="4">
        <f>Raw_Transactions!B1721</f>
        <v/>
      </c>
      <c r="C1721" s="4">
        <f>Raw_Transactions!C1721</f>
        <v/>
      </c>
      <c r="D1721" s="5">
        <f>Raw_Transactions!D1721</f>
        <v/>
      </c>
      <c r="E1721" s="4">
        <f>Raw_Transactions!E1721</f>
        <v/>
      </c>
      <c r="F1721" s="4">
        <f>Raw_Transactions!F1721</f>
        <v/>
      </c>
      <c r="G1721" s="4">
        <f>Raw_Transactions!G1721</f>
        <v/>
      </c>
      <c r="H1721" s="4">
        <f>XLOOKUP(B1721,Raw_Risk_Profiles!$A:$A,Raw_Risk_Profiles!$B:$B,"Not Found")</f>
        <v/>
      </c>
      <c r="I1721" s="4">
        <f>XLOOKUP(B1721,Raw_Risk_Profiles!$A:$A,Raw_Risk_Profiles!$C:$C,"Missing")</f>
        <v/>
      </c>
      <c r="J1721" s="4">
        <f>XLOOKUP(B1721,Raw_Risk_Profiles!$A:$A,Raw_Risk_Profiles!$D:$D,"")</f>
        <v/>
      </c>
      <c r="K1721" s="4">
        <f>IFERROR(INDEX(Raw_Risk_Profiles!$E:$E,MATCH(B1721,Raw_Risk_Profiles!$A:$A,0)),"Unknown")</f>
        <v/>
      </c>
      <c r="L1721" s="4">
        <f>IFERROR(XLOOKUP(A1721,Raw_Alerts!$B:$B,Raw_Alerts!$A:$A),"No Alert")</f>
        <v/>
      </c>
      <c r="M1721" s="4">
        <f>IFERROR(XLOOKUP(A1721,Raw_Alerts!$B:$B,Raw_Alerts!$C:$C),"")</f>
        <v/>
      </c>
      <c r="N1721" s="4">
        <f>IFERROR(XLOOKUP(A1721,Raw_Alerts!$B:$B,Raw_Alerts!$D:$D),"")</f>
        <v/>
      </c>
      <c r="O1721" s="4">
        <f>IFERROR(XLOOKUP(A1721,Raw_Alerts!$B:$B,Raw_Alerts!$F:$F),"")</f>
        <v/>
      </c>
      <c r="P1721" s="4">
        <f>IF(H1721="Not Found","CRITICAL: No Risk Profile",IF(I1721="Missing","WARN: Missing KYC",IF(I1721="Expired","WARN: KYC Expired",IF(I1721="Pending","INFO: KYC Pending","OK"))))</f>
        <v/>
      </c>
    </row>
    <row r="1722">
      <c r="A1722" s="2">
        <f>Raw_Transactions!A1722</f>
        <v/>
      </c>
      <c r="B1722" s="2">
        <f>Raw_Transactions!B1722</f>
        <v/>
      </c>
      <c r="C1722" s="2">
        <f>Raw_Transactions!C1722</f>
        <v/>
      </c>
      <c r="D1722" s="3">
        <f>Raw_Transactions!D1722</f>
        <v/>
      </c>
      <c r="E1722" s="2">
        <f>Raw_Transactions!E1722</f>
        <v/>
      </c>
      <c r="F1722" s="2">
        <f>Raw_Transactions!F1722</f>
        <v/>
      </c>
      <c r="G1722" s="2">
        <f>Raw_Transactions!G1722</f>
        <v/>
      </c>
      <c r="H1722" s="2">
        <f>XLOOKUP(B1722,Raw_Risk_Profiles!$A:$A,Raw_Risk_Profiles!$B:$B,"Not Found")</f>
        <v/>
      </c>
      <c r="I1722" s="2">
        <f>XLOOKUP(B1722,Raw_Risk_Profiles!$A:$A,Raw_Risk_Profiles!$C:$C,"Missing")</f>
        <v/>
      </c>
      <c r="J1722" s="2">
        <f>XLOOKUP(B1722,Raw_Risk_Profiles!$A:$A,Raw_Risk_Profiles!$D:$D,"")</f>
        <v/>
      </c>
      <c r="K1722" s="2">
        <f>IFERROR(INDEX(Raw_Risk_Profiles!$E:$E,MATCH(B1722,Raw_Risk_Profiles!$A:$A,0)),"Unknown")</f>
        <v/>
      </c>
      <c r="L1722" s="2">
        <f>IFERROR(XLOOKUP(A1722,Raw_Alerts!$B:$B,Raw_Alerts!$A:$A),"No Alert")</f>
        <v/>
      </c>
      <c r="M1722" s="2">
        <f>IFERROR(XLOOKUP(A1722,Raw_Alerts!$B:$B,Raw_Alerts!$C:$C),"")</f>
        <v/>
      </c>
      <c r="N1722" s="2">
        <f>IFERROR(XLOOKUP(A1722,Raw_Alerts!$B:$B,Raw_Alerts!$D:$D),"")</f>
        <v/>
      </c>
      <c r="O1722" s="2">
        <f>IFERROR(XLOOKUP(A1722,Raw_Alerts!$B:$B,Raw_Alerts!$F:$F),"")</f>
        <v/>
      </c>
      <c r="P1722" s="2">
        <f>IF(H1722="Not Found","CRITICAL: No Risk Profile",IF(I1722="Missing","WARN: Missing KYC",IF(I1722="Expired","WARN: KYC Expired",IF(I1722="Pending","INFO: KYC Pending","OK"))))</f>
        <v/>
      </c>
    </row>
    <row r="1723">
      <c r="A1723" s="4">
        <f>Raw_Transactions!A1723</f>
        <v/>
      </c>
      <c r="B1723" s="4">
        <f>Raw_Transactions!B1723</f>
        <v/>
      </c>
      <c r="C1723" s="4">
        <f>Raw_Transactions!C1723</f>
        <v/>
      </c>
      <c r="D1723" s="5">
        <f>Raw_Transactions!D1723</f>
        <v/>
      </c>
      <c r="E1723" s="4">
        <f>Raw_Transactions!E1723</f>
        <v/>
      </c>
      <c r="F1723" s="4">
        <f>Raw_Transactions!F1723</f>
        <v/>
      </c>
      <c r="G1723" s="4">
        <f>Raw_Transactions!G1723</f>
        <v/>
      </c>
      <c r="H1723" s="4">
        <f>XLOOKUP(B1723,Raw_Risk_Profiles!$A:$A,Raw_Risk_Profiles!$B:$B,"Not Found")</f>
        <v/>
      </c>
      <c r="I1723" s="4">
        <f>XLOOKUP(B1723,Raw_Risk_Profiles!$A:$A,Raw_Risk_Profiles!$C:$C,"Missing")</f>
        <v/>
      </c>
      <c r="J1723" s="4">
        <f>XLOOKUP(B1723,Raw_Risk_Profiles!$A:$A,Raw_Risk_Profiles!$D:$D,"")</f>
        <v/>
      </c>
      <c r="K1723" s="4">
        <f>IFERROR(INDEX(Raw_Risk_Profiles!$E:$E,MATCH(B1723,Raw_Risk_Profiles!$A:$A,0)),"Unknown")</f>
        <v/>
      </c>
      <c r="L1723" s="4">
        <f>IFERROR(XLOOKUP(A1723,Raw_Alerts!$B:$B,Raw_Alerts!$A:$A),"No Alert")</f>
        <v/>
      </c>
      <c r="M1723" s="4">
        <f>IFERROR(XLOOKUP(A1723,Raw_Alerts!$B:$B,Raw_Alerts!$C:$C),"")</f>
        <v/>
      </c>
      <c r="N1723" s="4">
        <f>IFERROR(XLOOKUP(A1723,Raw_Alerts!$B:$B,Raw_Alerts!$D:$D),"")</f>
        <v/>
      </c>
      <c r="O1723" s="4">
        <f>IFERROR(XLOOKUP(A1723,Raw_Alerts!$B:$B,Raw_Alerts!$F:$F),"")</f>
        <v/>
      </c>
      <c r="P1723" s="4">
        <f>IF(H1723="Not Found","CRITICAL: No Risk Profile",IF(I1723="Missing","WARN: Missing KYC",IF(I1723="Expired","WARN: KYC Expired",IF(I1723="Pending","INFO: KYC Pending","OK"))))</f>
        <v/>
      </c>
    </row>
    <row r="1724">
      <c r="A1724" s="2">
        <f>Raw_Transactions!A1724</f>
        <v/>
      </c>
      <c r="B1724" s="2">
        <f>Raw_Transactions!B1724</f>
        <v/>
      </c>
      <c r="C1724" s="2">
        <f>Raw_Transactions!C1724</f>
        <v/>
      </c>
      <c r="D1724" s="3">
        <f>Raw_Transactions!D1724</f>
        <v/>
      </c>
      <c r="E1724" s="2">
        <f>Raw_Transactions!E1724</f>
        <v/>
      </c>
      <c r="F1724" s="2">
        <f>Raw_Transactions!F1724</f>
        <v/>
      </c>
      <c r="G1724" s="2">
        <f>Raw_Transactions!G1724</f>
        <v/>
      </c>
      <c r="H1724" s="2">
        <f>XLOOKUP(B1724,Raw_Risk_Profiles!$A:$A,Raw_Risk_Profiles!$B:$B,"Not Found")</f>
        <v/>
      </c>
      <c r="I1724" s="2">
        <f>XLOOKUP(B1724,Raw_Risk_Profiles!$A:$A,Raw_Risk_Profiles!$C:$C,"Missing")</f>
        <v/>
      </c>
      <c r="J1724" s="2">
        <f>XLOOKUP(B1724,Raw_Risk_Profiles!$A:$A,Raw_Risk_Profiles!$D:$D,"")</f>
        <v/>
      </c>
      <c r="K1724" s="2">
        <f>IFERROR(INDEX(Raw_Risk_Profiles!$E:$E,MATCH(B1724,Raw_Risk_Profiles!$A:$A,0)),"Unknown")</f>
        <v/>
      </c>
      <c r="L1724" s="2">
        <f>IFERROR(XLOOKUP(A1724,Raw_Alerts!$B:$B,Raw_Alerts!$A:$A),"No Alert")</f>
        <v/>
      </c>
      <c r="M1724" s="2">
        <f>IFERROR(XLOOKUP(A1724,Raw_Alerts!$B:$B,Raw_Alerts!$C:$C),"")</f>
        <v/>
      </c>
      <c r="N1724" s="2">
        <f>IFERROR(XLOOKUP(A1724,Raw_Alerts!$B:$B,Raw_Alerts!$D:$D),"")</f>
        <v/>
      </c>
      <c r="O1724" s="2">
        <f>IFERROR(XLOOKUP(A1724,Raw_Alerts!$B:$B,Raw_Alerts!$F:$F),"")</f>
        <v/>
      </c>
      <c r="P1724" s="2">
        <f>IF(H1724="Not Found","CRITICAL: No Risk Profile",IF(I1724="Missing","WARN: Missing KYC",IF(I1724="Expired","WARN: KYC Expired",IF(I1724="Pending","INFO: KYC Pending","OK"))))</f>
        <v/>
      </c>
    </row>
    <row r="1725">
      <c r="A1725" s="4">
        <f>Raw_Transactions!A1725</f>
        <v/>
      </c>
      <c r="B1725" s="4">
        <f>Raw_Transactions!B1725</f>
        <v/>
      </c>
      <c r="C1725" s="4">
        <f>Raw_Transactions!C1725</f>
        <v/>
      </c>
      <c r="D1725" s="5">
        <f>Raw_Transactions!D1725</f>
        <v/>
      </c>
      <c r="E1725" s="4">
        <f>Raw_Transactions!E1725</f>
        <v/>
      </c>
      <c r="F1725" s="4">
        <f>Raw_Transactions!F1725</f>
        <v/>
      </c>
      <c r="G1725" s="4">
        <f>Raw_Transactions!G1725</f>
        <v/>
      </c>
      <c r="H1725" s="4">
        <f>XLOOKUP(B1725,Raw_Risk_Profiles!$A:$A,Raw_Risk_Profiles!$B:$B,"Not Found")</f>
        <v/>
      </c>
      <c r="I1725" s="4">
        <f>XLOOKUP(B1725,Raw_Risk_Profiles!$A:$A,Raw_Risk_Profiles!$C:$C,"Missing")</f>
        <v/>
      </c>
      <c r="J1725" s="4">
        <f>XLOOKUP(B1725,Raw_Risk_Profiles!$A:$A,Raw_Risk_Profiles!$D:$D,"")</f>
        <v/>
      </c>
      <c r="K1725" s="4">
        <f>IFERROR(INDEX(Raw_Risk_Profiles!$E:$E,MATCH(B1725,Raw_Risk_Profiles!$A:$A,0)),"Unknown")</f>
        <v/>
      </c>
      <c r="L1725" s="4">
        <f>IFERROR(XLOOKUP(A1725,Raw_Alerts!$B:$B,Raw_Alerts!$A:$A),"No Alert")</f>
        <v/>
      </c>
      <c r="M1725" s="4">
        <f>IFERROR(XLOOKUP(A1725,Raw_Alerts!$B:$B,Raw_Alerts!$C:$C),"")</f>
        <v/>
      </c>
      <c r="N1725" s="4">
        <f>IFERROR(XLOOKUP(A1725,Raw_Alerts!$B:$B,Raw_Alerts!$D:$D),"")</f>
        <v/>
      </c>
      <c r="O1725" s="4">
        <f>IFERROR(XLOOKUP(A1725,Raw_Alerts!$B:$B,Raw_Alerts!$F:$F),"")</f>
        <v/>
      </c>
      <c r="P1725" s="4">
        <f>IF(H1725="Not Found","CRITICAL: No Risk Profile",IF(I1725="Missing","WARN: Missing KYC",IF(I1725="Expired","WARN: KYC Expired",IF(I1725="Pending","INFO: KYC Pending","OK"))))</f>
        <v/>
      </c>
    </row>
    <row r="1726">
      <c r="A1726" s="2">
        <f>Raw_Transactions!A1726</f>
        <v/>
      </c>
      <c r="B1726" s="2">
        <f>Raw_Transactions!B1726</f>
        <v/>
      </c>
      <c r="C1726" s="2">
        <f>Raw_Transactions!C1726</f>
        <v/>
      </c>
      <c r="D1726" s="3">
        <f>Raw_Transactions!D1726</f>
        <v/>
      </c>
      <c r="E1726" s="2">
        <f>Raw_Transactions!E1726</f>
        <v/>
      </c>
      <c r="F1726" s="2">
        <f>Raw_Transactions!F1726</f>
        <v/>
      </c>
      <c r="G1726" s="2">
        <f>Raw_Transactions!G1726</f>
        <v/>
      </c>
      <c r="H1726" s="2">
        <f>XLOOKUP(B1726,Raw_Risk_Profiles!$A:$A,Raw_Risk_Profiles!$B:$B,"Not Found")</f>
        <v/>
      </c>
      <c r="I1726" s="2">
        <f>XLOOKUP(B1726,Raw_Risk_Profiles!$A:$A,Raw_Risk_Profiles!$C:$C,"Missing")</f>
        <v/>
      </c>
      <c r="J1726" s="2">
        <f>XLOOKUP(B1726,Raw_Risk_Profiles!$A:$A,Raw_Risk_Profiles!$D:$D,"")</f>
        <v/>
      </c>
      <c r="K1726" s="2">
        <f>IFERROR(INDEX(Raw_Risk_Profiles!$E:$E,MATCH(B1726,Raw_Risk_Profiles!$A:$A,0)),"Unknown")</f>
        <v/>
      </c>
      <c r="L1726" s="2">
        <f>IFERROR(XLOOKUP(A1726,Raw_Alerts!$B:$B,Raw_Alerts!$A:$A),"No Alert")</f>
        <v/>
      </c>
      <c r="M1726" s="2">
        <f>IFERROR(XLOOKUP(A1726,Raw_Alerts!$B:$B,Raw_Alerts!$C:$C),"")</f>
        <v/>
      </c>
      <c r="N1726" s="2">
        <f>IFERROR(XLOOKUP(A1726,Raw_Alerts!$B:$B,Raw_Alerts!$D:$D),"")</f>
        <v/>
      </c>
      <c r="O1726" s="2">
        <f>IFERROR(XLOOKUP(A1726,Raw_Alerts!$B:$B,Raw_Alerts!$F:$F),"")</f>
        <v/>
      </c>
      <c r="P1726" s="2">
        <f>IF(H1726="Not Found","CRITICAL: No Risk Profile",IF(I1726="Missing","WARN: Missing KYC",IF(I1726="Expired","WARN: KYC Expired",IF(I1726="Pending","INFO: KYC Pending","OK"))))</f>
        <v/>
      </c>
    </row>
    <row r="1727">
      <c r="A1727" s="4">
        <f>Raw_Transactions!A1727</f>
        <v/>
      </c>
      <c r="B1727" s="4">
        <f>Raw_Transactions!B1727</f>
        <v/>
      </c>
      <c r="C1727" s="4">
        <f>Raw_Transactions!C1727</f>
        <v/>
      </c>
      <c r="D1727" s="5">
        <f>Raw_Transactions!D1727</f>
        <v/>
      </c>
      <c r="E1727" s="4">
        <f>Raw_Transactions!E1727</f>
        <v/>
      </c>
      <c r="F1727" s="4">
        <f>Raw_Transactions!F1727</f>
        <v/>
      </c>
      <c r="G1727" s="4">
        <f>Raw_Transactions!G1727</f>
        <v/>
      </c>
      <c r="H1727" s="4">
        <f>XLOOKUP(B1727,Raw_Risk_Profiles!$A:$A,Raw_Risk_Profiles!$B:$B,"Not Found")</f>
        <v/>
      </c>
      <c r="I1727" s="4">
        <f>XLOOKUP(B1727,Raw_Risk_Profiles!$A:$A,Raw_Risk_Profiles!$C:$C,"Missing")</f>
        <v/>
      </c>
      <c r="J1727" s="4">
        <f>XLOOKUP(B1727,Raw_Risk_Profiles!$A:$A,Raw_Risk_Profiles!$D:$D,"")</f>
        <v/>
      </c>
      <c r="K1727" s="4">
        <f>IFERROR(INDEX(Raw_Risk_Profiles!$E:$E,MATCH(B1727,Raw_Risk_Profiles!$A:$A,0)),"Unknown")</f>
        <v/>
      </c>
      <c r="L1727" s="4">
        <f>IFERROR(XLOOKUP(A1727,Raw_Alerts!$B:$B,Raw_Alerts!$A:$A),"No Alert")</f>
        <v/>
      </c>
      <c r="M1727" s="4">
        <f>IFERROR(XLOOKUP(A1727,Raw_Alerts!$B:$B,Raw_Alerts!$C:$C),"")</f>
        <v/>
      </c>
      <c r="N1727" s="4">
        <f>IFERROR(XLOOKUP(A1727,Raw_Alerts!$B:$B,Raw_Alerts!$D:$D),"")</f>
        <v/>
      </c>
      <c r="O1727" s="4">
        <f>IFERROR(XLOOKUP(A1727,Raw_Alerts!$B:$B,Raw_Alerts!$F:$F),"")</f>
        <v/>
      </c>
      <c r="P1727" s="4">
        <f>IF(H1727="Not Found","CRITICAL: No Risk Profile",IF(I1727="Missing","WARN: Missing KYC",IF(I1727="Expired","WARN: KYC Expired",IF(I1727="Pending","INFO: KYC Pending","OK"))))</f>
        <v/>
      </c>
    </row>
    <row r="1728">
      <c r="A1728" s="2">
        <f>Raw_Transactions!A1728</f>
        <v/>
      </c>
      <c r="B1728" s="2">
        <f>Raw_Transactions!B1728</f>
        <v/>
      </c>
      <c r="C1728" s="2">
        <f>Raw_Transactions!C1728</f>
        <v/>
      </c>
      <c r="D1728" s="3">
        <f>Raw_Transactions!D1728</f>
        <v/>
      </c>
      <c r="E1728" s="2">
        <f>Raw_Transactions!E1728</f>
        <v/>
      </c>
      <c r="F1728" s="2">
        <f>Raw_Transactions!F1728</f>
        <v/>
      </c>
      <c r="G1728" s="2">
        <f>Raw_Transactions!G1728</f>
        <v/>
      </c>
      <c r="H1728" s="2">
        <f>XLOOKUP(B1728,Raw_Risk_Profiles!$A:$A,Raw_Risk_Profiles!$B:$B,"Not Found")</f>
        <v/>
      </c>
      <c r="I1728" s="2">
        <f>XLOOKUP(B1728,Raw_Risk_Profiles!$A:$A,Raw_Risk_Profiles!$C:$C,"Missing")</f>
        <v/>
      </c>
      <c r="J1728" s="2">
        <f>XLOOKUP(B1728,Raw_Risk_Profiles!$A:$A,Raw_Risk_Profiles!$D:$D,"")</f>
        <v/>
      </c>
      <c r="K1728" s="2">
        <f>IFERROR(INDEX(Raw_Risk_Profiles!$E:$E,MATCH(B1728,Raw_Risk_Profiles!$A:$A,0)),"Unknown")</f>
        <v/>
      </c>
      <c r="L1728" s="2">
        <f>IFERROR(XLOOKUP(A1728,Raw_Alerts!$B:$B,Raw_Alerts!$A:$A),"No Alert")</f>
        <v/>
      </c>
      <c r="M1728" s="2">
        <f>IFERROR(XLOOKUP(A1728,Raw_Alerts!$B:$B,Raw_Alerts!$C:$C),"")</f>
        <v/>
      </c>
      <c r="N1728" s="2">
        <f>IFERROR(XLOOKUP(A1728,Raw_Alerts!$B:$B,Raw_Alerts!$D:$D),"")</f>
        <v/>
      </c>
      <c r="O1728" s="2">
        <f>IFERROR(XLOOKUP(A1728,Raw_Alerts!$B:$B,Raw_Alerts!$F:$F),"")</f>
        <v/>
      </c>
      <c r="P1728" s="2">
        <f>IF(H1728="Not Found","CRITICAL: No Risk Profile",IF(I1728="Missing","WARN: Missing KYC",IF(I1728="Expired","WARN: KYC Expired",IF(I1728="Pending","INFO: KYC Pending","OK"))))</f>
        <v/>
      </c>
    </row>
    <row r="1729">
      <c r="A1729" s="4">
        <f>Raw_Transactions!A1729</f>
        <v/>
      </c>
      <c r="B1729" s="4">
        <f>Raw_Transactions!B1729</f>
        <v/>
      </c>
      <c r="C1729" s="4">
        <f>Raw_Transactions!C1729</f>
        <v/>
      </c>
      <c r="D1729" s="5">
        <f>Raw_Transactions!D1729</f>
        <v/>
      </c>
      <c r="E1729" s="4">
        <f>Raw_Transactions!E1729</f>
        <v/>
      </c>
      <c r="F1729" s="4">
        <f>Raw_Transactions!F1729</f>
        <v/>
      </c>
      <c r="G1729" s="4">
        <f>Raw_Transactions!G1729</f>
        <v/>
      </c>
      <c r="H1729" s="4">
        <f>XLOOKUP(B1729,Raw_Risk_Profiles!$A:$A,Raw_Risk_Profiles!$B:$B,"Not Found")</f>
        <v/>
      </c>
      <c r="I1729" s="4">
        <f>XLOOKUP(B1729,Raw_Risk_Profiles!$A:$A,Raw_Risk_Profiles!$C:$C,"Missing")</f>
        <v/>
      </c>
      <c r="J1729" s="4">
        <f>XLOOKUP(B1729,Raw_Risk_Profiles!$A:$A,Raw_Risk_Profiles!$D:$D,"")</f>
        <v/>
      </c>
      <c r="K1729" s="4">
        <f>IFERROR(INDEX(Raw_Risk_Profiles!$E:$E,MATCH(B1729,Raw_Risk_Profiles!$A:$A,0)),"Unknown")</f>
        <v/>
      </c>
      <c r="L1729" s="4">
        <f>IFERROR(XLOOKUP(A1729,Raw_Alerts!$B:$B,Raw_Alerts!$A:$A),"No Alert")</f>
        <v/>
      </c>
      <c r="M1729" s="4">
        <f>IFERROR(XLOOKUP(A1729,Raw_Alerts!$B:$B,Raw_Alerts!$C:$C),"")</f>
        <v/>
      </c>
      <c r="N1729" s="4">
        <f>IFERROR(XLOOKUP(A1729,Raw_Alerts!$B:$B,Raw_Alerts!$D:$D),"")</f>
        <v/>
      </c>
      <c r="O1729" s="4">
        <f>IFERROR(XLOOKUP(A1729,Raw_Alerts!$B:$B,Raw_Alerts!$F:$F),"")</f>
        <v/>
      </c>
      <c r="P1729" s="4">
        <f>IF(H1729="Not Found","CRITICAL: No Risk Profile",IF(I1729="Missing","WARN: Missing KYC",IF(I1729="Expired","WARN: KYC Expired",IF(I1729="Pending","INFO: KYC Pending","OK"))))</f>
        <v/>
      </c>
    </row>
    <row r="1730">
      <c r="A1730" s="2">
        <f>Raw_Transactions!A1730</f>
        <v/>
      </c>
      <c r="B1730" s="2">
        <f>Raw_Transactions!B1730</f>
        <v/>
      </c>
      <c r="C1730" s="2">
        <f>Raw_Transactions!C1730</f>
        <v/>
      </c>
      <c r="D1730" s="3">
        <f>Raw_Transactions!D1730</f>
        <v/>
      </c>
      <c r="E1730" s="2">
        <f>Raw_Transactions!E1730</f>
        <v/>
      </c>
      <c r="F1730" s="2">
        <f>Raw_Transactions!F1730</f>
        <v/>
      </c>
      <c r="G1730" s="2">
        <f>Raw_Transactions!G1730</f>
        <v/>
      </c>
      <c r="H1730" s="2">
        <f>XLOOKUP(B1730,Raw_Risk_Profiles!$A:$A,Raw_Risk_Profiles!$B:$B,"Not Found")</f>
        <v/>
      </c>
      <c r="I1730" s="2">
        <f>XLOOKUP(B1730,Raw_Risk_Profiles!$A:$A,Raw_Risk_Profiles!$C:$C,"Missing")</f>
        <v/>
      </c>
      <c r="J1730" s="2">
        <f>XLOOKUP(B1730,Raw_Risk_Profiles!$A:$A,Raw_Risk_Profiles!$D:$D,"")</f>
        <v/>
      </c>
      <c r="K1730" s="2">
        <f>IFERROR(INDEX(Raw_Risk_Profiles!$E:$E,MATCH(B1730,Raw_Risk_Profiles!$A:$A,0)),"Unknown")</f>
        <v/>
      </c>
      <c r="L1730" s="2">
        <f>IFERROR(XLOOKUP(A1730,Raw_Alerts!$B:$B,Raw_Alerts!$A:$A),"No Alert")</f>
        <v/>
      </c>
      <c r="M1730" s="2">
        <f>IFERROR(XLOOKUP(A1730,Raw_Alerts!$B:$B,Raw_Alerts!$C:$C),"")</f>
        <v/>
      </c>
      <c r="N1730" s="2">
        <f>IFERROR(XLOOKUP(A1730,Raw_Alerts!$B:$B,Raw_Alerts!$D:$D),"")</f>
        <v/>
      </c>
      <c r="O1730" s="2">
        <f>IFERROR(XLOOKUP(A1730,Raw_Alerts!$B:$B,Raw_Alerts!$F:$F),"")</f>
        <v/>
      </c>
      <c r="P1730" s="2">
        <f>IF(H1730="Not Found","CRITICAL: No Risk Profile",IF(I1730="Missing","WARN: Missing KYC",IF(I1730="Expired","WARN: KYC Expired",IF(I1730="Pending","INFO: KYC Pending","OK"))))</f>
        <v/>
      </c>
    </row>
    <row r="1731">
      <c r="A1731" s="4">
        <f>Raw_Transactions!A1731</f>
        <v/>
      </c>
      <c r="B1731" s="4">
        <f>Raw_Transactions!B1731</f>
        <v/>
      </c>
      <c r="C1731" s="4">
        <f>Raw_Transactions!C1731</f>
        <v/>
      </c>
      <c r="D1731" s="5">
        <f>Raw_Transactions!D1731</f>
        <v/>
      </c>
      <c r="E1731" s="4">
        <f>Raw_Transactions!E1731</f>
        <v/>
      </c>
      <c r="F1731" s="4">
        <f>Raw_Transactions!F1731</f>
        <v/>
      </c>
      <c r="G1731" s="4">
        <f>Raw_Transactions!G1731</f>
        <v/>
      </c>
      <c r="H1731" s="4">
        <f>XLOOKUP(B1731,Raw_Risk_Profiles!$A:$A,Raw_Risk_Profiles!$B:$B,"Not Found")</f>
        <v/>
      </c>
      <c r="I1731" s="4">
        <f>XLOOKUP(B1731,Raw_Risk_Profiles!$A:$A,Raw_Risk_Profiles!$C:$C,"Missing")</f>
        <v/>
      </c>
      <c r="J1731" s="4">
        <f>XLOOKUP(B1731,Raw_Risk_Profiles!$A:$A,Raw_Risk_Profiles!$D:$D,"")</f>
        <v/>
      </c>
      <c r="K1731" s="4">
        <f>IFERROR(INDEX(Raw_Risk_Profiles!$E:$E,MATCH(B1731,Raw_Risk_Profiles!$A:$A,0)),"Unknown")</f>
        <v/>
      </c>
      <c r="L1731" s="4">
        <f>IFERROR(XLOOKUP(A1731,Raw_Alerts!$B:$B,Raw_Alerts!$A:$A),"No Alert")</f>
        <v/>
      </c>
      <c r="M1731" s="4">
        <f>IFERROR(XLOOKUP(A1731,Raw_Alerts!$B:$B,Raw_Alerts!$C:$C),"")</f>
        <v/>
      </c>
      <c r="N1731" s="4">
        <f>IFERROR(XLOOKUP(A1731,Raw_Alerts!$B:$B,Raw_Alerts!$D:$D),"")</f>
        <v/>
      </c>
      <c r="O1731" s="4">
        <f>IFERROR(XLOOKUP(A1731,Raw_Alerts!$B:$B,Raw_Alerts!$F:$F),"")</f>
        <v/>
      </c>
      <c r="P1731" s="4">
        <f>IF(H1731="Not Found","CRITICAL: No Risk Profile",IF(I1731="Missing","WARN: Missing KYC",IF(I1731="Expired","WARN: KYC Expired",IF(I1731="Pending","INFO: KYC Pending","OK"))))</f>
        <v/>
      </c>
    </row>
    <row r="1732">
      <c r="A1732" s="2">
        <f>Raw_Transactions!A1732</f>
        <v/>
      </c>
      <c r="B1732" s="2">
        <f>Raw_Transactions!B1732</f>
        <v/>
      </c>
      <c r="C1732" s="2">
        <f>Raw_Transactions!C1732</f>
        <v/>
      </c>
      <c r="D1732" s="3">
        <f>Raw_Transactions!D1732</f>
        <v/>
      </c>
      <c r="E1732" s="2">
        <f>Raw_Transactions!E1732</f>
        <v/>
      </c>
      <c r="F1732" s="2">
        <f>Raw_Transactions!F1732</f>
        <v/>
      </c>
      <c r="G1732" s="2">
        <f>Raw_Transactions!G1732</f>
        <v/>
      </c>
      <c r="H1732" s="2">
        <f>XLOOKUP(B1732,Raw_Risk_Profiles!$A:$A,Raw_Risk_Profiles!$B:$B,"Not Found")</f>
        <v/>
      </c>
      <c r="I1732" s="2">
        <f>XLOOKUP(B1732,Raw_Risk_Profiles!$A:$A,Raw_Risk_Profiles!$C:$C,"Missing")</f>
        <v/>
      </c>
      <c r="J1732" s="2">
        <f>XLOOKUP(B1732,Raw_Risk_Profiles!$A:$A,Raw_Risk_Profiles!$D:$D,"")</f>
        <v/>
      </c>
      <c r="K1732" s="2">
        <f>IFERROR(INDEX(Raw_Risk_Profiles!$E:$E,MATCH(B1732,Raw_Risk_Profiles!$A:$A,0)),"Unknown")</f>
        <v/>
      </c>
      <c r="L1732" s="2">
        <f>IFERROR(XLOOKUP(A1732,Raw_Alerts!$B:$B,Raw_Alerts!$A:$A),"No Alert")</f>
        <v/>
      </c>
      <c r="M1732" s="2">
        <f>IFERROR(XLOOKUP(A1732,Raw_Alerts!$B:$B,Raw_Alerts!$C:$C),"")</f>
        <v/>
      </c>
      <c r="N1732" s="2">
        <f>IFERROR(XLOOKUP(A1732,Raw_Alerts!$B:$B,Raw_Alerts!$D:$D),"")</f>
        <v/>
      </c>
      <c r="O1732" s="2">
        <f>IFERROR(XLOOKUP(A1732,Raw_Alerts!$B:$B,Raw_Alerts!$F:$F),"")</f>
        <v/>
      </c>
      <c r="P1732" s="2">
        <f>IF(H1732="Not Found","CRITICAL: No Risk Profile",IF(I1732="Missing","WARN: Missing KYC",IF(I1732="Expired","WARN: KYC Expired",IF(I1732="Pending","INFO: KYC Pending","OK"))))</f>
        <v/>
      </c>
    </row>
    <row r="1733">
      <c r="A1733" s="4">
        <f>Raw_Transactions!A1733</f>
        <v/>
      </c>
      <c r="B1733" s="4">
        <f>Raw_Transactions!B1733</f>
        <v/>
      </c>
      <c r="C1733" s="4">
        <f>Raw_Transactions!C1733</f>
        <v/>
      </c>
      <c r="D1733" s="5">
        <f>Raw_Transactions!D1733</f>
        <v/>
      </c>
      <c r="E1733" s="4">
        <f>Raw_Transactions!E1733</f>
        <v/>
      </c>
      <c r="F1733" s="4">
        <f>Raw_Transactions!F1733</f>
        <v/>
      </c>
      <c r="G1733" s="4">
        <f>Raw_Transactions!G1733</f>
        <v/>
      </c>
      <c r="H1733" s="4">
        <f>XLOOKUP(B1733,Raw_Risk_Profiles!$A:$A,Raw_Risk_Profiles!$B:$B,"Not Found")</f>
        <v/>
      </c>
      <c r="I1733" s="4">
        <f>XLOOKUP(B1733,Raw_Risk_Profiles!$A:$A,Raw_Risk_Profiles!$C:$C,"Missing")</f>
        <v/>
      </c>
      <c r="J1733" s="4">
        <f>XLOOKUP(B1733,Raw_Risk_Profiles!$A:$A,Raw_Risk_Profiles!$D:$D,"")</f>
        <v/>
      </c>
      <c r="K1733" s="4">
        <f>IFERROR(INDEX(Raw_Risk_Profiles!$E:$E,MATCH(B1733,Raw_Risk_Profiles!$A:$A,0)),"Unknown")</f>
        <v/>
      </c>
      <c r="L1733" s="4">
        <f>IFERROR(XLOOKUP(A1733,Raw_Alerts!$B:$B,Raw_Alerts!$A:$A),"No Alert")</f>
        <v/>
      </c>
      <c r="M1733" s="4">
        <f>IFERROR(XLOOKUP(A1733,Raw_Alerts!$B:$B,Raw_Alerts!$C:$C),"")</f>
        <v/>
      </c>
      <c r="N1733" s="4">
        <f>IFERROR(XLOOKUP(A1733,Raw_Alerts!$B:$B,Raw_Alerts!$D:$D),"")</f>
        <v/>
      </c>
      <c r="O1733" s="4">
        <f>IFERROR(XLOOKUP(A1733,Raw_Alerts!$B:$B,Raw_Alerts!$F:$F),"")</f>
        <v/>
      </c>
      <c r="P1733" s="4">
        <f>IF(H1733="Not Found","CRITICAL: No Risk Profile",IF(I1733="Missing","WARN: Missing KYC",IF(I1733="Expired","WARN: KYC Expired",IF(I1733="Pending","INFO: KYC Pending","OK"))))</f>
        <v/>
      </c>
    </row>
    <row r="1734">
      <c r="A1734" s="2">
        <f>Raw_Transactions!A1734</f>
        <v/>
      </c>
      <c r="B1734" s="2">
        <f>Raw_Transactions!B1734</f>
        <v/>
      </c>
      <c r="C1734" s="2">
        <f>Raw_Transactions!C1734</f>
        <v/>
      </c>
      <c r="D1734" s="3">
        <f>Raw_Transactions!D1734</f>
        <v/>
      </c>
      <c r="E1734" s="2">
        <f>Raw_Transactions!E1734</f>
        <v/>
      </c>
      <c r="F1734" s="2">
        <f>Raw_Transactions!F1734</f>
        <v/>
      </c>
      <c r="G1734" s="2">
        <f>Raw_Transactions!G1734</f>
        <v/>
      </c>
      <c r="H1734" s="2">
        <f>XLOOKUP(B1734,Raw_Risk_Profiles!$A:$A,Raw_Risk_Profiles!$B:$B,"Not Found")</f>
        <v/>
      </c>
      <c r="I1734" s="2">
        <f>XLOOKUP(B1734,Raw_Risk_Profiles!$A:$A,Raw_Risk_Profiles!$C:$C,"Missing")</f>
        <v/>
      </c>
      <c r="J1734" s="2">
        <f>XLOOKUP(B1734,Raw_Risk_Profiles!$A:$A,Raw_Risk_Profiles!$D:$D,"")</f>
        <v/>
      </c>
      <c r="K1734" s="2">
        <f>IFERROR(INDEX(Raw_Risk_Profiles!$E:$E,MATCH(B1734,Raw_Risk_Profiles!$A:$A,0)),"Unknown")</f>
        <v/>
      </c>
      <c r="L1734" s="2">
        <f>IFERROR(XLOOKUP(A1734,Raw_Alerts!$B:$B,Raw_Alerts!$A:$A),"No Alert")</f>
        <v/>
      </c>
      <c r="M1734" s="2">
        <f>IFERROR(XLOOKUP(A1734,Raw_Alerts!$B:$B,Raw_Alerts!$C:$C),"")</f>
        <v/>
      </c>
      <c r="N1734" s="2">
        <f>IFERROR(XLOOKUP(A1734,Raw_Alerts!$B:$B,Raw_Alerts!$D:$D),"")</f>
        <v/>
      </c>
      <c r="O1734" s="2">
        <f>IFERROR(XLOOKUP(A1734,Raw_Alerts!$B:$B,Raw_Alerts!$F:$F),"")</f>
        <v/>
      </c>
      <c r="P1734" s="2">
        <f>IF(H1734="Not Found","CRITICAL: No Risk Profile",IF(I1734="Missing","WARN: Missing KYC",IF(I1734="Expired","WARN: KYC Expired",IF(I1734="Pending","INFO: KYC Pending","OK"))))</f>
        <v/>
      </c>
    </row>
    <row r="1735">
      <c r="A1735" s="4">
        <f>Raw_Transactions!A1735</f>
        <v/>
      </c>
      <c r="B1735" s="4">
        <f>Raw_Transactions!B1735</f>
        <v/>
      </c>
      <c r="C1735" s="4">
        <f>Raw_Transactions!C1735</f>
        <v/>
      </c>
      <c r="D1735" s="5">
        <f>Raw_Transactions!D1735</f>
        <v/>
      </c>
      <c r="E1735" s="4">
        <f>Raw_Transactions!E1735</f>
        <v/>
      </c>
      <c r="F1735" s="4">
        <f>Raw_Transactions!F1735</f>
        <v/>
      </c>
      <c r="G1735" s="4">
        <f>Raw_Transactions!G1735</f>
        <v/>
      </c>
      <c r="H1735" s="4">
        <f>XLOOKUP(B1735,Raw_Risk_Profiles!$A:$A,Raw_Risk_Profiles!$B:$B,"Not Found")</f>
        <v/>
      </c>
      <c r="I1735" s="4">
        <f>XLOOKUP(B1735,Raw_Risk_Profiles!$A:$A,Raw_Risk_Profiles!$C:$C,"Missing")</f>
        <v/>
      </c>
      <c r="J1735" s="4">
        <f>XLOOKUP(B1735,Raw_Risk_Profiles!$A:$A,Raw_Risk_Profiles!$D:$D,"")</f>
        <v/>
      </c>
      <c r="K1735" s="4">
        <f>IFERROR(INDEX(Raw_Risk_Profiles!$E:$E,MATCH(B1735,Raw_Risk_Profiles!$A:$A,0)),"Unknown")</f>
        <v/>
      </c>
      <c r="L1735" s="4">
        <f>IFERROR(XLOOKUP(A1735,Raw_Alerts!$B:$B,Raw_Alerts!$A:$A),"No Alert")</f>
        <v/>
      </c>
      <c r="M1735" s="4">
        <f>IFERROR(XLOOKUP(A1735,Raw_Alerts!$B:$B,Raw_Alerts!$C:$C),"")</f>
        <v/>
      </c>
      <c r="N1735" s="4">
        <f>IFERROR(XLOOKUP(A1735,Raw_Alerts!$B:$B,Raw_Alerts!$D:$D),"")</f>
        <v/>
      </c>
      <c r="O1735" s="4">
        <f>IFERROR(XLOOKUP(A1735,Raw_Alerts!$B:$B,Raw_Alerts!$F:$F),"")</f>
        <v/>
      </c>
      <c r="P1735" s="4">
        <f>IF(H1735="Not Found","CRITICAL: No Risk Profile",IF(I1735="Missing","WARN: Missing KYC",IF(I1735="Expired","WARN: KYC Expired",IF(I1735="Pending","INFO: KYC Pending","OK"))))</f>
        <v/>
      </c>
    </row>
  </sheetData>
  <conditionalFormatting sqref="P2:P1735">
    <cfRule type="expression" priority="1" dxfId="0">
      <formula>LEFT(P2,8)="CRITICAL"</formula>
    </cfRule>
    <cfRule type="expression" priority="2" dxfId="1">
      <formula>LEFT(P2,4)="WARN"</formula>
    </cfRule>
    <cfRule type="expression" priority="3" dxfId="3">
      <formula>LEFT(P2,4)="INFO"</formula>
    </cfRule>
    <cfRule type="expression" priority="4" dxfId="4">
      <formula>P2="OK"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8" customWidth="1" min="4" max="4"/>
    <col width="13" customWidth="1" min="5" max="5"/>
    <col width="17" customWidth="1" min="6" max="6"/>
    <col width="13" customWidth="1" min="7" max="7"/>
    <col width="18" customWidth="1" min="8" max="8"/>
    <col width="13" customWidth="1" min="9" max="9"/>
    <col width="20" customWidth="1" min="10" max="10"/>
    <col width="11" customWidth="1" min="11" max="11"/>
    <col width="14" customWidth="1" min="12" max="12"/>
    <col width="12" customWidth="1" min="13" max="13"/>
    <col width="16" customWidth="1" min="14" max="14"/>
    <col width="15" customWidth="1" min="15" max="15"/>
    <col width="12" customWidth="1" min="16" max="16"/>
  </cols>
  <sheetData>
    <row r="1" ht="30" customHeight="1">
      <c r="A1" s="1" t="inlineStr">
        <is>
          <t>Week #</t>
        </is>
      </c>
      <c r="B1" s="1" t="inlineStr">
        <is>
          <t>Week Start</t>
        </is>
      </c>
      <c r="C1" s="1" t="inlineStr">
        <is>
          <t>Week End</t>
        </is>
      </c>
      <c r="D1" s="1" t="inlineStr">
        <is>
          <t>Total Transactions</t>
        </is>
      </c>
      <c r="E1" s="1" t="inlineStr">
        <is>
          <t>Total Alerts</t>
        </is>
      </c>
      <c r="F1" s="1" t="inlineStr">
        <is>
          <t>Structuring Alerts</t>
        </is>
      </c>
      <c r="G1" s="1" t="inlineStr">
        <is>
          <t>Velocity Alerts</t>
        </is>
      </c>
      <c r="H1" s="1" t="inlineStr">
        <is>
          <t>High-Risk Country</t>
        </is>
      </c>
      <c r="I1" s="1" t="inlineStr">
        <is>
          <t>Round-Amount</t>
        </is>
      </c>
      <c r="J1" s="1" t="inlineStr">
        <is>
          <t>Dormant-Reactivation</t>
        </is>
      </c>
      <c r="K1" s="1" t="inlineStr">
        <is>
          <t>Open Alerts</t>
        </is>
      </c>
      <c r="L1" s="1" t="inlineStr">
        <is>
          <t>Escalated Alerts</t>
        </is>
      </c>
      <c r="M1" s="1" t="inlineStr">
        <is>
          <t>Closed Alerts</t>
        </is>
      </c>
      <c r="N1" s="1" t="inlineStr">
        <is>
          <t>Avg Resolution Days</t>
        </is>
      </c>
      <c r="O1" s="1" t="inlineStr">
        <is>
          <t>SLA Breach (&gt;7d)</t>
        </is>
      </c>
      <c r="P1" s="1" t="inlineStr">
        <is>
          <t>Alert Rate %</t>
        </is>
      </c>
    </row>
    <row r="2">
      <c r="A2" s="2" t="n">
        <v>1</v>
      </c>
      <c r="B2" s="2" t="inlineStr">
        <is>
          <t>2026-01-01</t>
        </is>
      </c>
      <c r="C2" s="2" t="inlineStr">
        <is>
          <t>2026-01-07</t>
        </is>
      </c>
      <c r="D2" s="2">
        <f>COUNTIFS(Raw_Transactions!$C:$C,"&gt;="&amp;B2,Raw_Transactions!$C:$C,"&lt;="&amp;C2)</f>
        <v/>
      </c>
      <c r="E2" s="2">
        <f>COUNTIFS(Raw_Alerts!$D:$D,"&gt;="&amp;B2,Raw_Alerts!$D:$D,"&lt;="&amp;C2)</f>
        <v/>
      </c>
      <c r="F2" s="2">
        <f>COUNTIFS(Raw_Alerts!$D:$D,"&gt;="&amp;B2,Raw_Alerts!$D:$D,"&lt;="&amp;C2,Raw_Alerts!$C:$C,"Structuring")</f>
        <v/>
      </c>
      <c r="G2" s="2">
        <f>COUNTIFS(Raw_Alerts!$D:$D,"&gt;="&amp;B2,Raw_Alerts!$D:$D,"&lt;="&amp;C2,Raw_Alerts!$C:$C,"Velocity")</f>
        <v/>
      </c>
      <c r="H2" s="2">
        <f>COUNTIFS(Raw_Alerts!$D:$D,"&gt;="&amp;B2,Raw_Alerts!$D:$D,"&lt;="&amp;C2,Raw_Alerts!$C:$C,"High-Risk Country")</f>
        <v/>
      </c>
      <c r="I2" s="2">
        <f>COUNTIFS(Raw_Alerts!$D:$D,"&gt;="&amp;B2,Raw_Alerts!$D:$D,"&lt;="&amp;C2,Raw_Alerts!$C:$C,"Round-Amount")</f>
        <v/>
      </c>
      <c r="J2" s="2">
        <f>COUNTIFS(Raw_Alerts!$D:$D,"&gt;="&amp;B2,Raw_Alerts!$D:$D,"&lt;="&amp;C2,Raw_Alerts!$C:$C,"Dormant-Reactivation")</f>
        <v/>
      </c>
      <c r="K2" s="2">
        <f>COUNTIFS(Raw_Alerts!$D:$D,"&gt;="&amp;B2,Raw_Alerts!$D:$D,"&lt;="&amp;C2,Raw_Alerts!$E:$E,"Open")</f>
        <v/>
      </c>
      <c r="L2" s="2">
        <f>COUNTIFS(Raw_Alerts!$D:$D,"&gt;="&amp;B2,Raw_Alerts!$D:$D,"&lt;="&amp;C2,Raw_Alerts!$E:$E,"Escalated")</f>
        <v/>
      </c>
      <c r="M2" s="2">
        <f>COUNTIFS(Raw_Alerts!$D:$D,"&gt;="&amp;B2,Raw_Alerts!$D:$D,"&lt;="&amp;C2,Raw_Alerts!$E:$E,"Closed")</f>
        <v/>
      </c>
      <c r="N2" s="6">
        <f>IFERROR(AVERAGEIFS(Raw_Alerts!$F:$F,Raw_Alerts!$D:$D,"&gt;="&amp;B2,Raw_Alerts!$D:$D,"&lt;="&amp;C2,Raw_Alerts!$E:$E,"Closed"),0)</f>
        <v/>
      </c>
      <c r="O2" s="2">
        <f>COUNTIFS(Raw_Alerts!$D:$D,"&gt;="&amp;B2,Raw_Alerts!$D:$D,"&lt;="&amp;C2,Raw_Alerts!$F:$F,"&gt;"&amp;7)</f>
        <v/>
      </c>
      <c r="P2" s="7">
        <f>IFERROR(E2/D2,0)</f>
        <v/>
      </c>
    </row>
    <row r="3">
      <c r="A3" s="4" t="n">
        <v>2</v>
      </c>
      <c r="B3" s="4" t="inlineStr">
        <is>
          <t>2026-01-08</t>
        </is>
      </c>
      <c r="C3" s="4" t="inlineStr">
        <is>
          <t>2026-01-14</t>
        </is>
      </c>
      <c r="D3" s="4">
        <f>COUNTIFS(Raw_Transactions!$C:$C,"&gt;="&amp;B3,Raw_Transactions!$C:$C,"&lt;="&amp;C3)</f>
        <v/>
      </c>
      <c r="E3" s="4">
        <f>COUNTIFS(Raw_Alerts!$D:$D,"&gt;="&amp;B3,Raw_Alerts!$D:$D,"&lt;="&amp;C3)</f>
        <v/>
      </c>
      <c r="F3" s="4">
        <f>COUNTIFS(Raw_Alerts!$D:$D,"&gt;="&amp;B3,Raw_Alerts!$D:$D,"&lt;="&amp;C3,Raw_Alerts!$C:$C,"Structuring")</f>
        <v/>
      </c>
      <c r="G3" s="4">
        <f>COUNTIFS(Raw_Alerts!$D:$D,"&gt;="&amp;B3,Raw_Alerts!$D:$D,"&lt;="&amp;C3,Raw_Alerts!$C:$C,"Velocity")</f>
        <v/>
      </c>
      <c r="H3" s="4">
        <f>COUNTIFS(Raw_Alerts!$D:$D,"&gt;="&amp;B3,Raw_Alerts!$D:$D,"&lt;="&amp;C3,Raw_Alerts!$C:$C,"High-Risk Country")</f>
        <v/>
      </c>
      <c r="I3" s="4">
        <f>COUNTIFS(Raw_Alerts!$D:$D,"&gt;="&amp;B3,Raw_Alerts!$D:$D,"&lt;="&amp;C3,Raw_Alerts!$C:$C,"Round-Amount")</f>
        <v/>
      </c>
      <c r="J3" s="4">
        <f>COUNTIFS(Raw_Alerts!$D:$D,"&gt;="&amp;B3,Raw_Alerts!$D:$D,"&lt;="&amp;C3,Raw_Alerts!$C:$C,"Dormant-Reactivation")</f>
        <v/>
      </c>
      <c r="K3" s="4">
        <f>COUNTIFS(Raw_Alerts!$D:$D,"&gt;="&amp;B3,Raw_Alerts!$D:$D,"&lt;="&amp;C3,Raw_Alerts!$E:$E,"Open")</f>
        <v/>
      </c>
      <c r="L3" s="4">
        <f>COUNTIFS(Raw_Alerts!$D:$D,"&gt;="&amp;B3,Raw_Alerts!$D:$D,"&lt;="&amp;C3,Raw_Alerts!$E:$E,"Escalated")</f>
        <v/>
      </c>
      <c r="M3" s="4">
        <f>COUNTIFS(Raw_Alerts!$D:$D,"&gt;="&amp;B3,Raw_Alerts!$D:$D,"&lt;="&amp;C3,Raw_Alerts!$E:$E,"Closed")</f>
        <v/>
      </c>
      <c r="N3" s="8">
        <f>IFERROR(AVERAGEIFS(Raw_Alerts!$F:$F,Raw_Alerts!$D:$D,"&gt;="&amp;B3,Raw_Alerts!$D:$D,"&lt;="&amp;C3,Raw_Alerts!$E:$E,"Closed"),0)</f>
        <v/>
      </c>
      <c r="O3" s="4">
        <f>COUNTIFS(Raw_Alerts!$D:$D,"&gt;="&amp;B3,Raw_Alerts!$D:$D,"&lt;="&amp;C3,Raw_Alerts!$F:$F,"&gt;"&amp;7)</f>
        <v/>
      </c>
      <c r="P3" s="9">
        <f>IFERROR(E3/D3,0)</f>
        <v/>
      </c>
    </row>
    <row r="4">
      <c r="A4" s="2" t="n">
        <v>3</v>
      </c>
      <c r="B4" s="2" t="inlineStr">
        <is>
          <t>2026-01-15</t>
        </is>
      </c>
      <c r="C4" s="2" t="inlineStr">
        <is>
          <t>2026-01-21</t>
        </is>
      </c>
      <c r="D4" s="2">
        <f>COUNTIFS(Raw_Transactions!$C:$C,"&gt;="&amp;B4,Raw_Transactions!$C:$C,"&lt;="&amp;C4)</f>
        <v/>
      </c>
      <c r="E4" s="2">
        <f>COUNTIFS(Raw_Alerts!$D:$D,"&gt;="&amp;B4,Raw_Alerts!$D:$D,"&lt;="&amp;C4)</f>
        <v/>
      </c>
      <c r="F4" s="2">
        <f>COUNTIFS(Raw_Alerts!$D:$D,"&gt;="&amp;B4,Raw_Alerts!$D:$D,"&lt;="&amp;C4,Raw_Alerts!$C:$C,"Structuring")</f>
        <v/>
      </c>
      <c r="G4" s="2">
        <f>COUNTIFS(Raw_Alerts!$D:$D,"&gt;="&amp;B4,Raw_Alerts!$D:$D,"&lt;="&amp;C4,Raw_Alerts!$C:$C,"Velocity")</f>
        <v/>
      </c>
      <c r="H4" s="2">
        <f>COUNTIFS(Raw_Alerts!$D:$D,"&gt;="&amp;B4,Raw_Alerts!$D:$D,"&lt;="&amp;C4,Raw_Alerts!$C:$C,"High-Risk Country")</f>
        <v/>
      </c>
      <c r="I4" s="2">
        <f>COUNTIFS(Raw_Alerts!$D:$D,"&gt;="&amp;B4,Raw_Alerts!$D:$D,"&lt;="&amp;C4,Raw_Alerts!$C:$C,"Round-Amount")</f>
        <v/>
      </c>
      <c r="J4" s="2">
        <f>COUNTIFS(Raw_Alerts!$D:$D,"&gt;="&amp;B4,Raw_Alerts!$D:$D,"&lt;="&amp;C4,Raw_Alerts!$C:$C,"Dormant-Reactivation")</f>
        <v/>
      </c>
      <c r="K4" s="2">
        <f>COUNTIFS(Raw_Alerts!$D:$D,"&gt;="&amp;B4,Raw_Alerts!$D:$D,"&lt;="&amp;C4,Raw_Alerts!$E:$E,"Open")</f>
        <v/>
      </c>
      <c r="L4" s="2">
        <f>COUNTIFS(Raw_Alerts!$D:$D,"&gt;="&amp;B4,Raw_Alerts!$D:$D,"&lt;="&amp;C4,Raw_Alerts!$E:$E,"Escalated")</f>
        <v/>
      </c>
      <c r="M4" s="2">
        <f>COUNTIFS(Raw_Alerts!$D:$D,"&gt;="&amp;B4,Raw_Alerts!$D:$D,"&lt;="&amp;C4,Raw_Alerts!$E:$E,"Closed")</f>
        <v/>
      </c>
      <c r="N4" s="6">
        <f>IFERROR(AVERAGEIFS(Raw_Alerts!$F:$F,Raw_Alerts!$D:$D,"&gt;="&amp;B4,Raw_Alerts!$D:$D,"&lt;="&amp;C4,Raw_Alerts!$E:$E,"Closed"),0)</f>
        <v/>
      </c>
      <c r="O4" s="2">
        <f>COUNTIFS(Raw_Alerts!$D:$D,"&gt;="&amp;B4,Raw_Alerts!$D:$D,"&lt;="&amp;C4,Raw_Alerts!$F:$F,"&gt;"&amp;7)</f>
        <v/>
      </c>
      <c r="P4" s="7">
        <f>IFERROR(E4/D4,0)</f>
        <v/>
      </c>
    </row>
    <row r="5">
      <c r="A5" s="4" t="n">
        <v>4</v>
      </c>
      <c r="B5" s="4" t="inlineStr">
        <is>
          <t>2026-01-22</t>
        </is>
      </c>
      <c r="C5" s="4" t="inlineStr">
        <is>
          <t>2026-01-28</t>
        </is>
      </c>
      <c r="D5" s="4">
        <f>COUNTIFS(Raw_Transactions!$C:$C,"&gt;="&amp;B5,Raw_Transactions!$C:$C,"&lt;="&amp;C5)</f>
        <v/>
      </c>
      <c r="E5" s="4">
        <f>COUNTIFS(Raw_Alerts!$D:$D,"&gt;="&amp;B5,Raw_Alerts!$D:$D,"&lt;="&amp;C5)</f>
        <v/>
      </c>
      <c r="F5" s="4">
        <f>COUNTIFS(Raw_Alerts!$D:$D,"&gt;="&amp;B5,Raw_Alerts!$D:$D,"&lt;="&amp;C5,Raw_Alerts!$C:$C,"Structuring")</f>
        <v/>
      </c>
      <c r="G5" s="4">
        <f>COUNTIFS(Raw_Alerts!$D:$D,"&gt;="&amp;B5,Raw_Alerts!$D:$D,"&lt;="&amp;C5,Raw_Alerts!$C:$C,"Velocity")</f>
        <v/>
      </c>
      <c r="H5" s="4">
        <f>COUNTIFS(Raw_Alerts!$D:$D,"&gt;="&amp;B5,Raw_Alerts!$D:$D,"&lt;="&amp;C5,Raw_Alerts!$C:$C,"High-Risk Country")</f>
        <v/>
      </c>
      <c r="I5" s="4">
        <f>COUNTIFS(Raw_Alerts!$D:$D,"&gt;="&amp;B5,Raw_Alerts!$D:$D,"&lt;="&amp;C5,Raw_Alerts!$C:$C,"Round-Amount")</f>
        <v/>
      </c>
      <c r="J5" s="4">
        <f>COUNTIFS(Raw_Alerts!$D:$D,"&gt;="&amp;B5,Raw_Alerts!$D:$D,"&lt;="&amp;C5,Raw_Alerts!$C:$C,"Dormant-Reactivation")</f>
        <v/>
      </c>
      <c r="K5" s="4">
        <f>COUNTIFS(Raw_Alerts!$D:$D,"&gt;="&amp;B5,Raw_Alerts!$D:$D,"&lt;="&amp;C5,Raw_Alerts!$E:$E,"Open")</f>
        <v/>
      </c>
      <c r="L5" s="4">
        <f>COUNTIFS(Raw_Alerts!$D:$D,"&gt;="&amp;B5,Raw_Alerts!$D:$D,"&lt;="&amp;C5,Raw_Alerts!$E:$E,"Escalated")</f>
        <v/>
      </c>
      <c r="M5" s="4">
        <f>COUNTIFS(Raw_Alerts!$D:$D,"&gt;="&amp;B5,Raw_Alerts!$D:$D,"&lt;="&amp;C5,Raw_Alerts!$E:$E,"Closed")</f>
        <v/>
      </c>
      <c r="N5" s="8">
        <f>IFERROR(AVERAGEIFS(Raw_Alerts!$F:$F,Raw_Alerts!$D:$D,"&gt;="&amp;B5,Raw_Alerts!$D:$D,"&lt;="&amp;C5,Raw_Alerts!$E:$E,"Closed"),0)</f>
        <v/>
      </c>
      <c r="O5" s="4">
        <f>COUNTIFS(Raw_Alerts!$D:$D,"&gt;="&amp;B5,Raw_Alerts!$D:$D,"&lt;="&amp;C5,Raw_Alerts!$F:$F,"&gt;"&amp;7)</f>
        <v/>
      </c>
      <c r="P5" s="9">
        <f>IFERROR(E5/D5,0)</f>
        <v/>
      </c>
    </row>
    <row r="6">
      <c r="A6" s="2" t="n">
        <v>5</v>
      </c>
      <c r="B6" s="2" t="inlineStr">
        <is>
          <t>2026-01-29</t>
        </is>
      </c>
      <c r="C6" s="2" t="inlineStr">
        <is>
          <t>2026-02-04</t>
        </is>
      </c>
      <c r="D6" s="2">
        <f>COUNTIFS(Raw_Transactions!$C:$C,"&gt;="&amp;B6,Raw_Transactions!$C:$C,"&lt;="&amp;C6)</f>
        <v/>
      </c>
      <c r="E6" s="2">
        <f>COUNTIFS(Raw_Alerts!$D:$D,"&gt;="&amp;B6,Raw_Alerts!$D:$D,"&lt;="&amp;C6)</f>
        <v/>
      </c>
      <c r="F6" s="2">
        <f>COUNTIFS(Raw_Alerts!$D:$D,"&gt;="&amp;B6,Raw_Alerts!$D:$D,"&lt;="&amp;C6,Raw_Alerts!$C:$C,"Structuring")</f>
        <v/>
      </c>
      <c r="G6" s="2">
        <f>COUNTIFS(Raw_Alerts!$D:$D,"&gt;="&amp;B6,Raw_Alerts!$D:$D,"&lt;="&amp;C6,Raw_Alerts!$C:$C,"Velocity")</f>
        <v/>
      </c>
      <c r="H6" s="2">
        <f>COUNTIFS(Raw_Alerts!$D:$D,"&gt;="&amp;B6,Raw_Alerts!$D:$D,"&lt;="&amp;C6,Raw_Alerts!$C:$C,"High-Risk Country")</f>
        <v/>
      </c>
      <c r="I6" s="2">
        <f>COUNTIFS(Raw_Alerts!$D:$D,"&gt;="&amp;B6,Raw_Alerts!$D:$D,"&lt;="&amp;C6,Raw_Alerts!$C:$C,"Round-Amount")</f>
        <v/>
      </c>
      <c r="J6" s="2">
        <f>COUNTIFS(Raw_Alerts!$D:$D,"&gt;="&amp;B6,Raw_Alerts!$D:$D,"&lt;="&amp;C6,Raw_Alerts!$C:$C,"Dormant-Reactivation")</f>
        <v/>
      </c>
      <c r="K6" s="2">
        <f>COUNTIFS(Raw_Alerts!$D:$D,"&gt;="&amp;B6,Raw_Alerts!$D:$D,"&lt;="&amp;C6,Raw_Alerts!$E:$E,"Open")</f>
        <v/>
      </c>
      <c r="L6" s="2">
        <f>COUNTIFS(Raw_Alerts!$D:$D,"&gt;="&amp;B6,Raw_Alerts!$D:$D,"&lt;="&amp;C6,Raw_Alerts!$E:$E,"Escalated")</f>
        <v/>
      </c>
      <c r="M6" s="2">
        <f>COUNTIFS(Raw_Alerts!$D:$D,"&gt;="&amp;B6,Raw_Alerts!$D:$D,"&lt;="&amp;C6,Raw_Alerts!$E:$E,"Closed")</f>
        <v/>
      </c>
      <c r="N6" s="6">
        <f>IFERROR(AVERAGEIFS(Raw_Alerts!$F:$F,Raw_Alerts!$D:$D,"&gt;="&amp;B6,Raw_Alerts!$D:$D,"&lt;="&amp;C6,Raw_Alerts!$E:$E,"Closed"),0)</f>
        <v/>
      </c>
      <c r="O6" s="2">
        <f>COUNTIFS(Raw_Alerts!$D:$D,"&gt;="&amp;B6,Raw_Alerts!$D:$D,"&lt;="&amp;C6,Raw_Alerts!$F:$F,"&gt;"&amp;7)</f>
        <v/>
      </c>
      <c r="P6" s="7">
        <f>IFERROR(E6/D6,0)</f>
        <v/>
      </c>
    </row>
    <row r="7">
      <c r="A7" s="10" t="n">
        <v>6</v>
      </c>
      <c r="B7" s="10" t="inlineStr">
        <is>
          <t>2026-02-05</t>
        </is>
      </c>
      <c r="C7" s="10" t="inlineStr">
        <is>
          <t>2026-02-11</t>
        </is>
      </c>
      <c r="D7" s="10">
        <f>COUNTIFS(Raw_Transactions!$C:$C,"&gt;="&amp;B7,Raw_Transactions!$C:$C,"&lt;="&amp;C7)</f>
        <v/>
      </c>
      <c r="E7" s="10">
        <f>COUNTIFS(Raw_Alerts!$D:$D,"&gt;="&amp;B7,Raw_Alerts!$D:$D,"&lt;="&amp;C7)</f>
        <v/>
      </c>
      <c r="F7" s="10">
        <f>COUNTIFS(Raw_Alerts!$D:$D,"&gt;="&amp;B7,Raw_Alerts!$D:$D,"&lt;="&amp;C7,Raw_Alerts!$C:$C,"Structuring")</f>
        <v/>
      </c>
      <c r="G7" s="10">
        <f>COUNTIFS(Raw_Alerts!$D:$D,"&gt;="&amp;B7,Raw_Alerts!$D:$D,"&lt;="&amp;C7,Raw_Alerts!$C:$C,"Velocity")</f>
        <v/>
      </c>
      <c r="H7" s="10">
        <f>COUNTIFS(Raw_Alerts!$D:$D,"&gt;="&amp;B7,Raw_Alerts!$D:$D,"&lt;="&amp;C7,Raw_Alerts!$C:$C,"High-Risk Country")</f>
        <v/>
      </c>
      <c r="I7" s="10">
        <f>COUNTIFS(Raw_Alerts!$D:$D,"&gt;="&amp;B7,Raw_Alerts!$D:$D,"&lt;="&amp;C7,Raw_Alerts!$C:$C,"Round-Amount")</f>
        <v/>
      </c>
      <c r="J7" s="10">
        <f>COUNTIFS(Raw_Alerts!$D:$D,"&gt;="&amp;B7,Raw_Alerts!$D:$D,"&lt;="&amp;C7,Raw_Alerts!$C:$C,"Dormant-Reactivation")</f>
        <v/>
      </c>
      <c r="K7" s="10">
        <f>COUNTIFS(Raw_Alerts!$D:$D,"&gt;="&amp;B7,Raw_Alerts!$D:$D,"&lt;="&amp;C7,Raw_Alerts!$E:$E,"Open")</f>
        <v/>
      </c>
      <c r="L7" s="10">
        <f>COUNTIFS(Raw_Alerts!$D:$D,"&gt;="&amp;B7,Raw_Alerts!$D:$D,"&lt;="&amp;C7,Raw_Alerts!$E:$E,"Escalated")</f>
        <v/>
      </c>
      <c r="M7" s="10">
        <f>COUNTIFS(Raw_Alerts!$D:$D,"&gt;="&amp;B7,Raw_Alerts!$D:$D,"&lt;="&amp;C7,Raw_Alerts!$E:$E,"Closed")</f>
        <v/>
      </c>
      <c r="N7" s="11">
        <f>IFERROR(AVERAGEIFS(Raw_Alerts!$F:$F,Raw_Alerts!$D:$D,"&gt;="&amp;B7,Raw_Alerts!$D:$D,"&lt;="&amp;C7,Raw_Alerts!$E:$E,"Closed"),0)</f>
        <v/>
      </c>
      <c r="O7" s="10">
        <f>COUNTIFS(Raw_Alerts!$D:$D,"&gt;="&amp;B7,Raw_Alerts!$D:$D,"&lt;="&amp;C7,Raw_Alerts!$F:$F,"&gt;"&amp;7)</f>
        <v/>
      </c>
      <c r="P7" s="12">
        <f>IFERROR(E7/D7,0)</f>
        <v/>
      </c>
    </row>
    <row r="8">
      <c r="A8" s="2" t="n">
        <v>7</v>
      </c>
      <c r="B8" s="2" t="inlineStr">
        <is>
          <t>2026-02-12</t>
        </is>
      </c>
      <c r="C8" s="2" t="inlineStr">
        <is>
          <t>2026-02-18</t>
        </is>
      </c>
      <c r="D8" s="2">
        <f>COUNTIFS(Raw_Transactions!$C:$C,"&gt;="&amp;B8,Raw_Transactions!$C:$C,"&lt;="&amp;C8)</f>
        <v/>
      </c>
      <c r="E8" s="2">
        <f>COUNTIFS(Raw_Alerts!$D:$D,"&gt;="&amp;B8,Raw_Alerts!$D:$D,"&lt;="&amp;C8)</f>
        <v/>
      </c>
      <c r="F8" s="2">
        <f>COUNTIFS(Raw_Alerts!$D:$D,"&gt;="&amp;B8,Raw_Alerts!$D:$D,"&lt;="&amp;C8,Raw_Alerts!$C:$C,"Structuring")</f>
        <v/>
      </c>
      <c r="G8" s="2">
        <f>COUNTIFS(Raw_Alerts!$D:$D,"&gt;="&amp;B8,Raw_Alerts!$D:$D,"&lt;="&amp;C8,Raw_Alerts!$C:$C,"Velocity")</f>
        <v/>
      </c>
      <c r="H8" s="2">
        <f>COUNTIFS(Raw_Alerts!$D:$D,"&gt;="&amp;B8,Raw_Alerts!$D:$D,"&lt;="&amp;C8,Raw_Alerts!$C:$C,"High-Risk Country")</f>
        <v/>
      </c>
      <c r="I8" s="2">
        <f>COUNTIFS(Raw_Alerts!$D:$D,"&gt;="&amp;B8,Raw_Alerts!$D:$D,"&lt;="&amp;C8,Raw_Alerts!$C:$C,"Round-Amount")</f>
        <v/>
      </c>
      <c r="J8" s="2">
        <f>COUNTIFS(Raw_Alerts!$D:$D,"&gt;="&amp;B8,Raw_Alerts!$D:$D,"&lt;="&amp;C8,Raw_Alerts!$C:$C,"Dormant-Reactivation")</f>
        <v/>
      </c>
      <c r="K8" s="2">
        <f>COUNTIFS(Raw_Alerts!$D:$D,"&gt;="&amp;B8,Raw_Alerts!$D:$D,"&lt;="&amp;C8,Raw_Alerts!$E:$E,"Open")</f>
        <v/>
      </c>
      <c r="L8" s="2">
        <f>COUNTIFS(Raw_Alerts!$D:$D,"&gt;="&amp;B8,Raw_Alerts!$D:$D,"&lt;="&amp;C8,Raw_Alerts!$E:$E,"Escalated")</f>
        <v/>
      </c>
      <c r="M8" s="2">
        <f>COUNTIFS(Raw_Alerts!$D:$D,"&gt;="&amp;B8,Raw_Alerts!$D:$D,"&lt;="&amp;C8,Raw_Alerts!$E:$E,"Closed")</f>
        <v/>
      </c>
      <c r="N8" s="6">
        <f>IFERROR(AVERAGEIFS(Raw_Alerts!$F:$F,Raw_Alerts!$D:$D,"&gt;="&amp;B8,Raw_Alerts!$D:$D,"&lt;="&amp;C8,Raw_Alerts!$E:$E,"Closed"),0)</f>
        <v/>
      </c>
      <c r="O8" s="2">
        <f>COUNTIFS(Raw_Alerts!$D:$D,"&gt;="&amp;B8,Raw_Alerts!$D:$D,"&lt;="&amp;C8,Raw_Alerts!$F:$F,"&gt;"&amp;7)</f>
        <v/>
      </c>
      <c r="P8" s="7">
        <f>IFERROR(E8/D8,0)</f>
        <v/>
      </c>
    </row>
    <row r="9">
      <c r="A9" s="4" t="n">
        <v>8</v>
      </c>
      <c r="B9" s="4" t="inlineStr">
        <is>
          <t>2026-02-19</t>
        </is>
      </c>
      <c r="C9" s="4" t="inlineStr">
        <is>
          <t>2026-02-25</t>
        </is>
      </c>
      <c r="D9" s="4">
        <f>COUNTIFS(Raw_Transactions!$C:$C,"&gt;="&amp;B9,Raw_Transactions!$C:$C,"&lt;="&amp;C9)</f>
        <v/>
      </c>
      <c r="E9" s="4">
        <f>COUNTIFS(Raw_Alerts!$D:$D,"&gt;="&amp;B9,Raw_Alerts!$D:$D,"&lt;="&amp;C9)</f>
        <v/>
      </c>
      <c r="F9" s="4">
        <f>COUNTIFS(Raw_Alerts!$D:$D,"&gt;="&amp;B9,Raw_Alerts!$D:$D,"&lt;="&amp;C9,Raw_Alerts!$C:$C,"Structuring")</f>
        <v/>
      </c>
      <c r="G9" s="4">
        <f>COUNTIFS(Raw_Alerts!$D:$D,"&gt;="&amp;B9,Raw_Alerts!$D:$D,"&lt;="&amp;C9,Raw_Alerts!$C:$C,"Velocity")</f>
        <v/>
      </c>
      <c r="H9" s="4">
        <f>COUNTIFS(Raw_Alerts!$D:$D,"&gt;="&amp;B9,Raw_Alerts!$D:$D,"&lt;="&amp;C9,Raw_Alerts!$C:$C,"High-Risk Country")</f>
        <v/>
      </c>
      <c r="I9" s="4">
        <f>COUNTIFS(Raw_Alerts!$D:$D,"&gt;="&amp;B9,Raw_Alerts!$D:$D,"&lt;="&amp;C9,Raw_Alerts!$C:$C,"Round-Amount")</f>
        <v/>
      </c>
      <c r="J9" s="4">
        <f>COUNTIFS(Raw_Alerts!$D:$D,"&gt;="&amp;B9,Raw_Alerts!$D:$D,"&lt;="&amp;C9,Raw_Alerts!$C:$C,"Dormant-Reactivation")</f>
        <v/>
      </c>
      <c r="K9" s="4">
        <f>COUNTIFS(Raw_Alerts!$D:$D,"&gt;="&amp;B9,Raw_Alerts!$D:$D,"&lt;="&amp;C9,Raw_Alerts!$E:$E,"Open")</f>
        <v/>
      </c>
      <c r="L9" s="4">
        <f>COUNTIFS(Raw_Alerts!$D:$D,"&gt;="&amp;B9,Raw_Alerts!$D:$D,"&lt;="&amp;C9,Raw_Alerts!$E:$E,"Escalated")</f>
        <v/>
      </c>
      <c r="M9" s="4">
        <f>COUNTIFS(Raw_Alerts!$D:$D,"&gt;="&amp;B9,Raw_Alerts!$D:$D,"&lt;="&amp;C9,Raw_Alerts!$E:$E,"Closed")</f>
        <v/>
      </c>
      <c r="N9" s="8">
        <f>IFERROR(AVERAGEIFS(Raw_Alerts!$F:$F,Raw_Alerts!$D:$D,"&gt;="&amp;B9,Raw_Alerts!$D:$D,"&lt;="&amp;C9,Raw_Alerts!$E:$E,"Closed"),0)</f>
        <v/>
      </c>
      <c r="O9" s="4">
        <f>COUNTIFS(Raw_Alerts!$D:$D,"&gt;="&amp;B9,Raw_Alerts!$D:$D,"&lt;="&amp;C9,Raw_Alerts!$F:$F,"&gt;"&amp;7)</f>
        <v/>
      </c>
      <c r="P9" s="9">
        <f>IFERROR(E9/D9,0)</f>
        <v/>
      </c>
    </row>
    <row r="10">
      <c r="A10" s="2" t="n">
        <v>9</v>
      </c>
      <c r="B10" s="2" t="inlineStr">
        <is>
          <t>2026-02-26</t>
        </is>
      </c>
      <c r="C10" s="2" t="inlineStr">
        <is>
          <t>2026-03-04</t>
        </is>
      </c>
      <c r="D10" s="2">
        <f>COUNTIFS(Raw_Transactions!$C:$C,"&gt;="&amp;B10,Raw_Transactions!$C:$C,"&lt;="&amp;C10)</f>
        <v/>
      </c>
      <c r="E10" s="2">
        <f>COUNTIFS(Raw_Alerts!$D:$D,"&gt;="&amp;B10,Raw_Alerts!$D:$D,"&lt;="&amp;C10)</f>
        <v/>
      </c>
      <c r="F10" s="2">
        <f>COUNTIFS(Raw_Alerts!$D:$D,"&gt;="&amp;B10,Raw_Alerts!$D:$D,"&lt;="&amp;C10,Raw_Alerts!$C:$C,"Structuring")</f>
        <v/>
      </c>
      <c r="G10" s="2">
        <f>COUNTIFS(Raw_Alerts!$D:$D,"&gt;="&amp;B10,Raw_Alerts!$D:$D,"&lt;="&amp;C10,Raw_Alerts!$C:$C,"Velocity")</f>
        <v/>
      </c>
      <c r="H10" s="2">
        <f>COUNTIFS(Raw_Alerts!$D:$D,"&gt;="&amp;B10,Raw_Alerts!$D:$D,"&lt;="&amp;C10,Raw_Alerts!$C:$C,"High-Risk Country")</f>
        <v/>
      </c>
      <c r="I10" s="2">
        <f>COUNTIFS(Raw_Alerts!$D:$D,"&gt;="&amp;B10,Raw_Alerts!$D:$D,"&lt;="&amp;C10,Raw_Alerts!$C:$C,"Round-Amount")</f>
        <v/>
      </c>
      <c r="J10" s="2">
        <f>COUNTIFS(Raw_Alerts!$D:$D,"&gt;="&amp;B10,Raw_Alerts!$D:$D,"&lt;="&amp;C10,Raw_Alerts!$C:$C,"Dormant-Reactivation")</f>
        <v/>
      </c>
      <c r="K10" s="2">
        <f>COUNTIFS(Raw_Alerts!$D:$D,"&gt;="&amp;B10,Raw_Alerts!$D:$D,"&lt;="&amp;C10,Raw_Alerts!$E:$E,"Open")</f>
        <v/>
      </c>
      <c r="L10" s="2">
        <f>COUNTIFS(Raw_Alerts!$D:$D,"&gt;="&amp;B10,Raw_Alerts!$D:$D,"&lt;="&amp;C10,Raw_Alerts!$E:$E,"Escalated")</f>
        <v/>
      </c>
      <c r="M10" s="2">
        <f>COUNTIFS(Raw_Alerts!$D:$D,"&gt;="&amp;B10,Raw_Alerts!$D:$D,"&lt;="&amp;C10,Raw_Alerts!$E:$E,"Closed")</f>
        <v/>
      </c>
      <c r="N10" s="6">
        <f>IFERROR(AVERAGEIFS(Raw_Alerts!$F:$F,Raw_Alerts!$D:$D,"&gt;="&amp;B10,Raw_Alerts!$D:$D,"&lt;="&amp;C10,Raw_Alerts!$E:$E,"Closed"),0)</f>
        <v/>
      </c>
      <c r="O10" s="2">
        <f>COUNTIFS(Raw_Alerts!$D:$D,"&gt;="&amp;B10,Raw_Alerts!$D:$D,"&lt;="&amp;C10,Raw_Alerts!$F:$F,"&gt;"&amp;7)</f>
        <v/>
      </c>
      <c r="P10" s="7">
        <f>IFERROR(E10/D10,0)</f>
        <v/>
      </c>
    </row>
    <row r="11">
      <c r="A11" s="4" t="n">
        <v>10</v>
      </c>
      <c r="B11" s="4" t="inlineStr">
        <is>
          <t>2026-03-05</t>
        </is>
      </c>
      <c r="C11" s="4" t="inlineStr">
        <is>
          <t>2026-03-11</t>
        </is>
      </c>
      <c r="D11" s="4">
        <f>COUNTIFS(Raw_Transactions!$C:$C,"&gt;="&amp;B11,Raw_Transactions!$C:$C,"&lt;="&amp;C11)</f>
        <v/>
      </c>
      <c r="E11" s="4">
        <f>COUNTIFS(Raw_Alerts!$D:$D,"&gt;="&amp;B11,Raw_Alerts!$D:$D,"&lt;="&amp;C11)</f>
        <v/>
      </c>
      <c r="F11" s="4">
        <f>COUNTIFS(Raw_Alerts!$D:$D,"&gt;="&amp;B11,Raw_Alerts!$D:$D,"&lt;="&amp;C11,Raw_Alerts!$C:$C,"Structuring")</f>
        <v/>
      </c>
      <c r="G11" s="4">
        <f>COUNTIFS(Raw_Alerts!$D:$D,"&gt;="&amp;B11,Raw_Alerts!$D:$D,"&lt;="&amp;C11,Raw_Alerts!$C:$C,"Velocity")</f>
        <v/>
      </c>
      <c r="H11" s="4">
        <f>COUNTIFS(Raw_Alerts!$D:$D,"&gt;="&amp;B11,Raw_Alerts!$D:$D,"&lt;="&amp;C11,Raw_Alerts!$C:$C,"High-Risk Country")</f>
        <v/>
      </c>
      <c r="I11" s="4">
        <f>COUNTIFS(Raw_Alerts!$D:$D,"&gt;="&amp;B11,Raw_Alerts!$D:$D,"&lt;="&amp;C11,Raw_Alerts!$C:$C,"Round-Amount")</f>
        <v/>
      </c>
      <c r="J11" s="4">
        <f>COUNTIFS(Raw_Alerts!$D:$D,"&gt;="&amp;B11,Raw_Alerts!$D:$D,"&lt;="&amp;C11,Raw_Alerts!$C:$C,"Dormant-Reactivation")</f>
        <v/>
      </c>
      <c r="K11" s="4">
        <f>COUNTIFS(Raw_Alerts!$D:$D,"&gt;="&amp;B11,Raw_Alerts!$D:$D,"&lt;="&amp;C11,Raw_Alerts!$E:$E,"Open")</f>
        <v/>
      </c>
      <c r="L11" s="4">
        <f>COUNTIFS(Raw_Alerts!$D:$D,"&gt;="&amp;B11,Raw_Alerts!$D:$D,"&lt;="&amp;C11,Raw_Alerts!$E:$E,"Escalated")</f>
        <v/>
      </c>
      <c r="M11" s="4">
        <f>COUNTIFS(Raw_Alerts!$D:$D,"&gt;="&amp;B11,Raw_Alerts!$D:$D,"&lt;="&amp;C11,Raw_Alerts!$E:$E,"Closed")</f>
        <v/>
      </c>
      <c r="N11" s="8">
        <f>IFERROR(AVERAGEIFS(Raw_Alerts!$F:$F,Raw_Alerts!$D:$D,"&gt;="&amp;B11,Raw_Alerts!$D:$D,"&lt;="&amp;C11,Raw_Alerts!$E:$E,"Closed"),0)</f>
        <v/>
      </c>
      <c r="O11" s="4">
        <f>COUNTIFS(Raw_Alerts!$D:$D,"&gt;="&amp;B11,Raw_Alerts!$D:$D,"&lt;="&amp;C11,Raw_Alerts!$F:$F,"&gt;"&amp;7)</f>
        <v/>
      </c>
      <c r="P11" s="9">
        <f>IFERROR(E11/D11,0)</f>
        <v/>
      </c>
    </row>
    <row r="12">
      <c r="A12" s="2" t="n">
        <v>11</v>
      </c>
      <c r="B12" s="2" t="inlineStr">
        <is>
          <t>2026-03-12</t>
        </is>
      </c>
      <c r="C12" s="2" t="inlineStr">
        <is>
          <t>2026-03-18</t>
        </is>
      </c>
      <c r="D12" s="2">
        <f>COUNTIFS(Raw_Transactions!$C:$C,"&gt;="&amp;B12,Raw_Transactions!$C:$C,"&lt;="&amp;C12)</f>
        <v/>
      </c>
      <c r="E12" s="2">
        <f>COUNTIFS(Raw_Alerts!$D:$D,"&gt;="&amp;B12,Raw_Alerts!$D:$D,"&lt;="&amp;C12)</f>
        <v/>
      </c>
      <c r="F12" s="2">
        <f>COUNTIFS(Raw_Alerts!$D:$D,"&gt;="&amp;B12,Raw_Alerts!$D:$D,"&lt;="&amp;C12,Raw_Alerts!$C:$C,"Structuring")</f>
        <v/>
      </c>
      <c r="G12" s="2">
        <f>COUNTIFS(Raw_Alerts!$D:$D,"&gt;="&amp;B12,Raw_Alerts!$D:$D,"&lt;="&amp;C12,Raw_Alerts!$C:$C,"Velocity")</f>
        <v/>
      </c>
      <c r="H12" s="2">
        <f>COUNTIFS(Raw_Alerts!$D:$D,"&gt;="&amp;B12,Raw_Alerts!$D:$D,"&lt;="&amp;C12,Raw_Alerts!$C:$C,"High-Risk Country")</f>
        <v/>
      </c>
      <c r="I12" s="2">
        <f>COUNTIFS(Raw_Alerts!$D:$D,"&gt;="&amp;B12,Raw_Alerts!$D:$D,"&lt;="&amp;C12,Raw_Alerts!$C:$C,"Round-Amount")</f>
        <v/>
      </c>
      <c r="J12" s="2">
        <f>COUNTIFS(Raw_Alerts!$D:$D,"&gt;="&amp;B12,Raw_Alerts!$D:$D,"&lt;="&amp;C12,Raw_Alerts!$C:$C,"Dormant-Reactivation")</f>
        <v/>
      </c>
      <c r="K12" s="2">
        <f>COUNTIFS(Raw_Alerts!$D:$D,"&gt;="&amp;B12,Raw_Alerts!$D:$D,"&lt;="&amp;C12,Raw_Alerts!$E:$E,"Open")</f>
        <v/>
      </c>
      <c r="L12" s="2">
        <f>COUNTIFS(Raw_Alerts!$D:$D,"&gt;="&amp;B12,Raw_Alerts!$D:$D,"&lt;="&amp;C12,Raw_Alerts!$E:$E,"Escalated")</f>
        <v/>
      </c>
      <c r="M12" s="2">
        <f>COUNTIFS(Raw_Alerts!$D:$D,"&gt;="&amp;B12,Raw_Alerts!$D:$D,"&lt;="&amp;C12,Raw_Alerts!$E:$E,"Closed")</f>
        <v/>
      </c>
      <c r="N12" s="6">
        <f>IFERROR(AVERAGEIFS(Raw_Alerts!$F:$F,Raw_Alerts!$D:$D,"&gt;="&amp;B12,Raw_Alerts!$D:$D,"&lt;="&amp;C12,Raw_Alerts!$E:$E,"Closed"),0)</f>
        <v/>
      </c>
      <c r="O12" s="2">
        <f>COUNTIFS(Raw_Alerts!$D:$D,"&gt;="&amp;B12,Raw_Alerts!$D:$D,"&lt;="&amp;C12,Raw_Alerts!$F:$F,"&gt;"&amp;7)</f>
        <v/>
      </c>
      <c r="P12" s="7">
        <f>IFERROR(E12/D12,0)</f>
        <v/>
      </c>
    </row>
    <row r="13">
      <c r="A13" s="4" t="n">
        <v>12</v>
      </c>
      <c r="B13" s="4" t="inlineStr">
        <is>
          <t>2026-03-19</t>
        </is>
      </c>
      <c r="C13" s="4" t="inlineStr">
        <is>
          <t>2026-03-25</t>
        </is>
      </c>
      <c r="D13" s="4">
        <f>COUNTIFS(Raw_Transactions!$C:$C,"&gt;="&amp;B13,Raw_Transactions!$C:$C,"&lt;="&amp;C13)</f>
        <v/>
      </c>
      <c r="E13" s="4">
        <f>COUNTIFS(Raw_Alerts!$D:$D,"&gt;="&amp;B13,Raw_Alerts!$D:$D,"&lt;="&amp;C13)</f>
        <v/>
      </c>
      <c r="F13" s="4">
        <f>COUNTIFS(Raw_Alerts!$D:$D,"&gt;="&amp;B13,Raw_Alerts!$D:$D,"&lt;="&amp;C13,Raw_Alerts!$C:$C,"Structuring")</f>
        <v/>
      </c>
      <c r="G13" s="4">
        <f>COUNTIFS(Raw_Alerts!$D:$D,"&gt;="&amp;B13,Raw_Alerts!$D:$D,"&lt;="&amp;C13,Raw_Alerts!$C:$C,"Velocity")</f>
        <v/>
      </c>
      <c r="H13" s="4">
        <f>COUNTIFS(Raw_Alerts!$D:$D,"&gt;="&amp;B13,Raw_Alerts!$D:$D,"&lt;="&amp;C13,Raw_Alerts!$C:$C,"High-Risk Country")</f>
        <v/>
      </c>
      <c r="I13" s="4">
        <f>COUNTIFS(Raw_Alerts!$D:$D,"&gt;="&amp;B13,Raw_Alerts!$D:$D,"&lt;="&amp;C13,Raw_Alerts!$C:$C,"Round-Amount")</f>
        <v/>
      </c>
      <c r="J13" s="4">
        <f>COUNTIFS(Raw_Alerts!$D:$D,"&gt;="&amp;B13,Raw_Alerts!$D:$D,"&lt;="&amp;C13,Raw_Alerts!$C:$C,"Dormant-Reactivation")</f>
        <v/>
      </c>
      <c r="K13" s="4">
        <f>COUNTIFS(Raw_Alerts!$D:$D,"&gt;="&amp;B13,Raw_Alerts!$D:$D,"&lt;="&amp;C13,Raw_Alerts!$E:$E,"Open")</f>
        <v/>
      </c>
      <c r="L13" s="4">
        <f>COUNTIFS(Raw_Alerts!$D:$D,"&gt;="&amp;B13,Raw_Alerts!$D:$D,"&lt;="&amp;C13,Raw_Alerts!$E:$E,"Escalated")</f>
        <v/>
      </c>
      <c r="M13" s="4">
        <f>COUNTIFS(Raw_Alerts!$D:$D,"&gt;="&amp;B13,Raw_Alerts!$D:$D,"&lt;="&amp;C13,Raw_Alerts!$E:$E,"Closed")</f>
        <v/>
      </c>
      <c r="N13" s="8">
        <f>IFERROR(AVERAGEIFS(Raw_Alerts!$F:$F,Raw_Alerts!$D:$D,"&gt;="&amp;B13,Raw_Alerts!$D:$D,"&lt;="&amp;C13,Raw_Alerts!$E:$E,"Closed"),0)</f>
        <v/>
      </c>
      <c r="O13" s="4">
        <f>COUNTIFS(Raw_Alerts!$D:$D,"&gt;="&amp;B13,Raw_Alerts!$D:$D,"&lt;="&amp;C13,Raw_Alerts!$F:$F,"&gt;"&amp;7)</f>
        <v/>
      </c>
      <c r="P13" s="9">
        <f>IFERROR(E13/D13,0)</f>
        <v/>
      </c>
    </row>
    <row r="14">
      <c r="A14" s="2" t="n">
        <v>13</v>
      </c>
      <c r="B14" s="2" t="inlineStr">
        <is>
          <t>2026-03-26</t>
        </is>
      </c>
      <c r="C14" s="2" t="inlineStr">
        <is>
          <t>2026-04-01</t>
        </is>
      </c>
      <c r="D14" s="2">
        <f>COUNTIFS(Raw_Transactions!$C:$C,"&gt;="&amp;B14,Raw_Transactions!$C:$C,"&lt;="&amp;C14)</f>
        <v/>
      </c>
      <c r="E14" s="2">
        <f>COUNTIFS(Raw_Alerts!$D:$D,"&gt;="&amp;B14,Raw_Alerts!$D:$D,"&lt;="&amp;C14)</f>
        <v/>
      </c>
      <c r="F14" s="2">
        <f>COUNTIFS(Raw_Alerts!$D:$D,"&gt;="&amp;B14,Raw_Alerts!$D:$D,"&lt;="&amp;C14,Raw_Alerts!$C:$C,"Structuring")</f>
        <v/>
      </c>
      <c r="G14" s="2">
        <f>COUNTIFS(Raw_Alerts!$D:$D,"&gt;="&amp;B14,Raw_Alerts!$D:$D,"&lt;="&amp;C14,Raw_Alerts!$C:$C,"Velocity")</f>
        <v/>
      </c>
      <c r="H14" s="2">
        <f>COUNTIFS(Raw_Alerts!$D:$D,"&gt;="&amp;B14,Raw_Alerts!$D:$D,"&lt;="&amp;C14,Raw_Alerts!$C:$C,"High-Risk Country")</f>
        <v/>
      </c>
      <c r="I14" s="2">
        <f>COUNTIFS(Raw_Alerts!$D:$D,"&gt;="&amp;B14,Raw_Alerts!$D:$D,"&lt;="&amp;C14,Raw_Alerts!$C:$C,"Round-Amount")</f>
        <v/>
      </c>
      <c r="J14" s="2">
        <f>COUNTIFS(Raw_Alerts!$D:$D,"&gt;="&amp;B14,Raw_Alerts!$D:$D,"&lt;="&amp;C14,Raw_Alerts!$C:$C,"Dormant-Reactivation")</f>
        <v/>
      </c>
      <c r="K14" s="2">
        <f>COUNTIFS(Raw_Alerts!$D:$D,"&gt;="&amp;B14,Raw_Alerts!$D:$D,"&lt;="&amp;C14,Raw_Alerts!$E:$E,"Open")</f>
        <v/>
      </c>
      <c r="L14" s="2">
        <f>COUNTIFS(Raw_Alerts!$D:$D,"&gt;="&amp;B14,Raw_Alerts!$D:$D,"&lt;="&amp;C14,Raw_Alerts!$E:$E,"Escalated")</f>
        <v/>
      </c>
      <c r="M14" s="2">
        <f>COUNTIFS(Raw_Alerts!$D:$D,"&gt;="&amp;B14,Raw_Alerts!$D:$D,"&lt;="&amp;C14,Raw_Alerts!$E:$E,"Closed")</f>
        <v/>
      </c>
      <c r="N14" s="6">
        <f>IFERROR(AVERAGEIFS(Raw_Alerts!$F:$F,Raw_Alerts!$D:$D,"&gt;="&amp;B14,Raw_Alerts!$D:$D,"&lt;="&amp;C14,Raw_Alerts!$E:$E,"Closed"),0)</f>
        <v/>
      </c>
      <c r="O14" s="2">
        <f>COUNTIFS(Raw_Alerts!$D:$D,"&gt;="&amp;B14,Raw_Alerts!$D:$D,"&lt;="&amp;C14,Raw_Alerts!$F:$F,"&gt;"&amp;7)</f>
        <v/>
      </c>
      <c r="P14" s="7">
        <f>IFERROR(E14/D14,0)</f>
        <v/>
      </c>
    </row>
    <row r="15">
      <c r="A15" s="4" t="n">
        <v>14</v>
      </c>
      <c r="B15" s="4" t="inlineStr">
        <is>
          <t>2026-04-02</t>
        </is>
      </c>
      <c r="C15" s="4" t="inlineStr">
        <is>
          <t>2026-04-08</t>
        </is>
      </c>
      <c r="D15" s="4">
        <f>COUNTIFS(Raw_Transactions!$C:$C,"&gt;="&amp;B15,Raw_Transactions!$C:$C,"&lt;="&amp;C15)</f>
        <v/>
      </c>
      <c r="E15" s="4">
        <f>COUNTIFS(Raw_Alerts!$D:$D,"&gt;="&amp;B15,Raw_Alerts!$D:$D,"&lt;="&amp;C15)</f>
        <v/>
      </c>
      <c r="F15" s="4">
        <f>COUNTIFS(Raw_Alerts!$D:$D,"&gt;="&amp;B15,Raw_Alerts!$D:$D,"&lt;="&amp;C15,Raw_Alerts!$C:$C,"Structuring")</f>
        <v/>
      </c>
      <c r="G15" s="4">
        <f>COUNTIFS(Raw_Alerts!$D:$D,"&gt;="&amp;B15,Raw_Alerts!$D:$D,"&lt;="&amp;C15,Raw_Alerts!$C:$C,"Velocity")</f>
        <v/>
      </c>
      <c r="H15" s="4">
        <f>COUNTIFS(Raw_Alerts!$D:$D,"&gt;="&amp;B15,Raw_Alerts!$D:$D,"&lt;="&amp;C15,Raw_Alerts!$C:$C,"High-Risk Country")</f>
        <v/>
      </c>
      <c r="I15" s="4">
        <f>COUNTIFS(Raw_Alerts!$D:$D,"&gt;="&amp;B15,Raw_Alerts!$D:$D,"&lt;="&amp;C15,Raw_Alerts!$C:$C,"Round-Amount")</f>
        <v/>
      </c>
      <c r="J15" s="4">
        <f>COUNTIFS(Raw_Alerts!$D:$D,"&gt;="&amp;B15,Raw_Alerts!$D:$D,"&lt;="&amp;C15,Raw_Alerts!$C:$C,"Dormant-Reactivation")</f>
        <v/>
      </c>
      <c r="K15" s="4">
        <f>COUNTIFS(Raw_Alerts!$D:$D,"&gt;="&amp;B15,Raw_Alerts!$D:$D,"&lt;="&amp;C15,Raw_Alerts!$E:$E,"Open")</f>
        <v/>
      </c>
      <c r="L15" s="4">
        <f>COUNTIFS(Raw_Alerts!$D:$D,"&gt;="&amp;B15,Raw_Alerts!$D:$D,"&lt;="&amp;C15,Raw_Alerts!$E:$E,"Escalated")</f>
        <v/>
      </c>
      <c r="M15" s="4">
        <f>COUNTIFS(Raw_Alerts!$D:$D,"&gt;="&amp;B15,Raw_Alerts!$D:$D,"&lt;="&amp;C15,Raw_Alerts!$E:$E,"Closed")</f>
        <v/>
      </c>
      <c r="N15" s="8">
        <f>IFERROR(AVERAGEIFS(Raw_Alerts!$F:$F,Raw_Alerts!$D:$D,"&gt;="&amp;B15,Raw_Alerts!$D:$D,"&lt;="&amp;C15,Raw_Alerts!$E:$E,"Closed"),0)</f>
        <v/>
      </c>
      <c r="O15" s="4">
        <f>COUNTIFS(Raw_Alerts!$D:$D,"&gt;="&amp;B15,Raw_Alerts!$D:$D,"&lt;="&amp;C15,Raw_Alerts!$F:$F,"&gt;"&amp;7)</f>
        <v/>
      </c>
      <c r="P15" s="9">
        <f>IFERROR(E15/D15,0)</f>
        <v/>
      </c>
    </row>
    <row r="16">
      <c r="A16" s="2" t="n">
        <v>15</v>
      </c>
      <c r="B16" s="2" t="inlineStr">
        <is>
          <t>2026-04-09</t>
        </is>
      </c>
      <c r="C16" s="2" t="inlineStr">
        <is>
          <t>2026-04-15</t>
        </is>
      </c>
      <c r="D16" s="2">
        <f>COUNTIFS(Raw_Transactions!$C:$C,"&gt;="&amp;B16,Raw_Transactions!$C:$C,"&lt;="&amp;C16)</f>
        <v/>
      </c>
      <c r="E16" s="2">
        <f>COUNTIFS(Raw_Alerts!$D:$D,"&gt;="&amp;B16,Raw_Alerts!$D:$D,"&lt;="&amp;C16)</f>
        <v/>
      </c>
      <c r="F16" s="2">
        <f>COUNTIFS(Raw_Alerts!$D:$D,"&gt;="&amp;B16,Raw_Alerts!$D:$D,"&lt;="&amp;C16,Raw_Alerts!$C:$C,"Structuring")</f>
        <v/>
      </c>
      <c r="G16" s="2">
        <f>COUNTIFS(Raw_Alerts!$D:$D,"&gt;="&amp;B16,Raw_Alerts!$D:$D,"&lt;="&amp;C16,Raw_Alerts!$C:$C,"Velocity")</f>
        <v/>
      </c>
      <c r="H16" s="2">
        <f>COUNTIFS(Raw_Alerts!$D:$D,"&gt;="&amp;B16,Raw_Alerts!$D:$D,"&lt;="&amp;C16,Raw_Alerts!$C:$C,"High-Risk Country")</f>
        <v/>
      </c>
      <c r="I16" s="2">
        <f>COUNTIFS(Raw_Alerts!$D:$D,"&gt;="&amp;B16,Raw_Alerts!$D:$D,"&lt;="&amp;C16,Raw_Alerts!$C:$C,"Round-Amount")</f>
        <v/>
      </c>
      <c r="J16" s="2">
        <f>COUNTIFS(Raw_Alerts!$D:$D,"&gt;="&amp;B16,Raw_Alerts!$D:$D,"&lt;="&amp;C16,Raw_Alerts!$C:$C,"Dormant-Reactivation")</f>
        <v/>
      </c>
      <c r="K16" s="2">
        <f>COUNTIFS(Raw_Alerts!$D:$D,"&gt;="&amp;B16,Raw_Alerts!$D:$D,"&lt;="&amp;C16,Raw_Alerts!$E:$E,"Open")</f>
        <v/>
      </c>
      <c r="L16" s="2">
        <f>COUNTIFS(Raw_Alerts!$D:$D,"&gt;="&amp;B16,Raw_Alerts!$D:$D,"&lt;="&amp;C16,Raw_Alerts!$E:$E,"Escalated")</f>
        <v/>
      </c>
      <c r="M16" s="2">
        <f>COUNTIFS(Raw_Alerts!$D:$D,"&gt;="&amp;B16,Raw_Alerts!$D:$D,"&lt;="&amp;C16,Raw_Alerts!$E:$E,"Closed")</f>
        <v/>
      </c>
      <c r="N16" s="6">
        <f>IFERROR(AVERAGEIFS(Raw_Alerts!$F:$F,Raw_Alerts!$D:$D,"&gt;="&amp;B16,Raw_Alerts!$D:$D,"&lt;="&amp;C16,Raw_Alerts!$E:$E,"Closed"),0)</f>
        <v/>
      </c>
      <c r="O16" s="2">
        <f>COUNTIFS(Raw_Alerts!$D:$D,"&gt;="&amp;B16,Raw_Alerts!$D:$D,"&lt;="&amp;C16,Raw_Alerts!$F:$F,"&gt;"&amp;7)</f>
        <v/>
      </c>
      <c r="P16" s="7">
        <f>IFERROR(E16/D16,0)</f>
        <v/>
      </c>
    </row>
    <row r="17">
      <c r="A17" s="4" t="n">
        <v>16</v>
      </c>
      <c r="B17" s="4" t="inlineStr">
        <is>
          <t>2026-04-16</t>
        </is>
      </c>
      <c r="C17" s="4" t="inlineStr">
        <is>
          <t>2026-04-22</t>
        </is>
      </c>
      <c r="D17" s="4">
        <f>COUNTIFS(Raw_Transactions!$C:$C,"&gt;="&amp;B17,Raw_Transactions!$C:$C,"&lt;="&amp;C17)</f>
        <v/>
      </c>
      <c r="E17" s="4">
        <f>COUNTIFS(Raw_Alerts!$D:$D,"&gt;="&amp;B17,Raw_Alerts!$D:$D,"&lt;="&amp;C17)</f>
        <v/>
      </c>
      <c r="F17" s="4">
        <f>COUNTIFS(Raw_Alerts!$D:$D,"&gt;="&amp;B17,Raw_Alerts!$D:$D,"&lt;="&amp;C17,Raw_Alerts!$C:$C,"Structuring")</f>
        <v/>
      </c>
      <c r="G17" s="4">
        <f>COUNTIFS(Raw_Alerts!$D:$D,"&gt;="&amp;B17,Raw_Alerts!$D:$D,"&lt;="&amp;C17,Raw_Alerts!$C:$C,"Velocity")</f>
        <v/>
      </c>
      <c r="H17" s="4">
        <f>COUNTIFS(Raw_Alerts!$D:$D,"&gt;="&amp;B17,Raw_Alerts!$D:$D,"&lt;="&amp;C17,Raw_Alerts!$C:$C,"High-Risk Country")</f>
        <v/>
      </c>
      <c r="I17" s="4">
        <f>COUNTIFS(Raw_Alerts!$D:$D,"&gt;="&amp;B17,Raw_Alerts!$D:$D,"&lt;="&amp;C17,Raw_Alerts!$C:$C,"Round-Amount")</f>
        <v/>
      </c>
      <c r="J17" s="4">
        <f>COUNTIFS(Raw_Alerts!$D:$D,"&gt;="&amp;B17,Raw_Alerts!$D:$D,"&lt;="&amp;C17,Raw_Alerts!$C:$C,"Dormant-Reactivation")</f>
        <v/>
      </c>
      <c r="K17" s="4">
        <f>COUNTIFS(Raw_Alerts!$D:$D,"&gt;="&amp;B17,Raw_Alerts!$D:$D,"&lt;="&amp;C17,Raw_Alerts!$E:$E,"Open")</f>
        <v/>
      </c>
      <c r="L17" s="4">
        <f>COUNTIFS(Raw_Alerts!$D:$D,"&gt;="&amp;B17,Raw_Alerts!$D:$D,"&lt;="&amp;C17,Raw_Alerts!$E:$E,"Escalated")</f>
        <v/>
      </c>
      <c r="M17" s="4">
        <f>COUNTIFS(Raw_Alerts!$D:$D,"&gt;="&amp;B17,Raw_Alerts!$D:$D,"&lt;="&amp;C17,Raw_Alerts!$E:$E,"Closed")</f>
        <v/>
      </c>
      <c r="N17" s="8">
        <f>IFERROR(AVERAGEIFS(Raw_Alerts!$F:$F,Raw_Alerts!$D:$D,"&gt;="&amp;B17,Raw_Alerts!$D:$D,"&lt;="&amp;C17,Raw_Alerts!$E:$E,"Closed"),0)</f>
        <v/>
      </c>
      <c r="O17" s="4">
        <f>COUNTIFS(Raw_Alerts!$D:$D,"&gt;="&amp;B17,Raw_Alerts!$D:$D,"&lt;="&amp;C17,Raw_Alerts!$F:$F,"&gt;"&amp;7)</f>
        <v/>
      </c>
      <c r="P17" s="9">
        <f>IFERROR(E17/D17,0)</f>
        <v/>
      </c>
    </row>
    <row r="18">
      <c r="A18" s="2" t="n">
        <v>17</v>
      </c>
      <c r="B18" s="2" t="inlineStr">
        <is>
          <t>2026-04-23</t>
        </is>
      </c>
      <c r="C18" s="2" t="inlineStr">
        <is>
          <t>2026-04-29</t>
        </is>
      </c>
      <c r="D18" s="2">
        <f>COUNTIFS(Raw_Transactions!$C:$C,"&gt;="&amp;B18,Raw_Transactions!$C:$C,"&lt;="&amp;C18)</f>
        <v/>
      </c>
      <c r="E18" s="2">
        <f>COUNTIFS(Raw_Alerts!$D:$D,"&gt;="&amp;B18,Raw_Alerts!$D:$D,"&lt;="&amp;C18)</f>
        <v/>
      </c>
      <c r="F18" s="2">
        <f>COUNTIFS(Raw_Alerts!$D:$D,"&gt;="&amp;B18,Raw_Alerts!$D:$D,"&lt;="&amp;C18,Raw_Alerts!$C:$C,"Structuring")</f>
        <v/>
      </c>
      <c r="G18" s="2">
        <f>COUNTIFS(Raw_Alerts!$D:$D,"&gt;="&amp;B18,Raw_Alerts!$D:$D,"&lt;="&amp;C18,Raw_Alerts!$C:$C,"Velocity")</f>
        <v/>
      </c>
      <c r="H18" s="2">
        <f>COUNTIFS(Raw_Alerts!$D:$D,"&gt;="&amp;B18,Raw_Alerts!$D:$D,"&lt;="&amp;C18,Raw_Alerts!$C:$C,"High-Risk Country")</f>
        <v/>
      </c>
      <c r="I18" s="2">
        <f>COUNTIFS(Raw_Alerts!$D:$D,"&gt;="&amp;B18,Raw_Alerts!$D:$D,"&lt;="&amp;C18,Raw_Alerts!$C:$C,"Round-Amount")</f>
        <v/>
      </c>
      <c r="J18" s="2">
        <f>COUNTIFS(Raw_Alerts!$D:$D,"&gt;="&amp;B18,Raw_Alerts!$D:$D,"&lt;="&amp;C18,Raw_Alerts!$C:$C,"Dormant-Reactivation")</f>
        <v/>
      </c>
      <c r="K18" s="2">
        <f>COUNTIFS(Raw_Alerts!$D:$D,"&gt;="&amp;B18,Raw_Alerts!$D:$D,"&lt;="&amp;C18,Raw_Alerts!$E:$E,"Open")</f>
        <v/>
      </c>
      <c r="L18" s="2">
        <f>COUNTIFS(Raw_Alerts!$D:$D,"&gt;="&amp;B18,Raw_Alerts!$D:$D,"&lt;="&amp;C18,Raw_Alerts!$E:$E,"Escalated")</f>
        <v/>
      </c>
      <c r="M18" s="2">
        <f>COUNTIFS(Raw_Alerts!$D:$D,"&gt;="&amp;B18,Raw_Alerts!$D:$D,"&lt;="&amp;C18,Raw_Alerts!$E:$E,"Closed")</f>
        <v/>
      </c>
      <c r="N18" s="6">
        <f>IFERROR(AVERAGEIFS(Raw_Alerts!$F:$F,Raw_Alerts!$D:$D,"&gt;="&amp;B18,Raw_Alerts!$D:$D,"&lt;="&amp;C18,Raw_Alerts!$E:$E,"Closed"),0)</f>
        <v/>
      </c>
      <c r="O18" s="2">
        <f>COUNTIFS(Raw_Alerts!$D:$D,"&gt;="&amp;B18,Raw_Alerts!$D:$D,"&lt;="&amp;C18,Raw_Alerts!$F:$F,"&gt;"&amp;7)</f>
        <v/>
      </c>
      <c r="P18" s="7">
        <f>IFERROR(E18/D18,0)</f>
        <v/>
      </c>
    </row>
    <row r="19">
      <c r="A19" s="4" t="n">
        <v>18</v>
      </c>
      <c r="B19" s="4" t="inlineStr">
        <is>
          <t>2026-04-30</t>
        </is>
      </c>
      <c r="C19" s="4" t="inlineStr">
        <is>
          <t>2026-04-30</t>
        </is>
      </c>
      <c r="D19" s="4">
        <f>COUNTIFS(Raw_Transactions!$C:$C,"&gt;="&amp;B19,Raw_Transactions!$C:$C,"&lt;="&amp;C19)</f>
        <v/>
      </c>
      <c r="E19" s="4">
        <f>COUNTIFS(Raw_Alerts!$D:$D,"&gt;="&amp;B19,Raw_Alerts!$D:$D,"&lt;="&amp;C19)</f>
        <v/>
      </c>
      <c r="F19" s="4">
        <f>COUNTIFS(Raw_Alerts!$D:$D,"&gt;="&amp;B19,Raw_Alerts!$D:$D,"&lt;="&amp;C19,Raw_Alerts!$C:$C,"Structuring")</f>
        <v/>
      </c>
      <c r="G19" s="4">
        <f>COUNTIFS(Raw_Alerts!$D:$D,"&gt;="&amp;B19,Raw_Alerts!$D:$D,"&lt;="&amp;C19,Raw_Alerts!$C:$C,"Velocity")</f>
        <v/>
      </c>
      <c r="H19" s="4">
        <f>COUNTIFS(Raw_Alerts!$D:$D,"&gt;="&amp;B19,Raw_Alerts!$D:$D,"&lt;="&amp;C19,Raw_Alerts!$C:$C,"High-Risk Country")</f>
        <v/>
      </c>
      <c r="I19" s="4">
        <f>COUNTIFS(Raw_Alerts!$D:$D,"&gt;="&amp;B19,Raw_Alerts!$D:$D,"&lt;="&amp;C19,Raw_Alerts!$C:$C,"Round-Amount")</f>
        <v/>
      </c>
      <c r="J19" s="4">
        <f>COUNTIFS(Raw_Alerts!$D:$D,"&gt;="&amp;B19,Raw_Alerts!$D:$D,"&lt;="&amp;C19,Raw_Alerts!$C:$C,"Dormant-Reactivation")</f>
        <v/>
      </c>
      <c r="K19" s="4">
        <f>COUNTIFS(Raw_Alerts!$D:$D,"&gt;="&amp;B19,Raw_Alerts!$D:$D,"&lt;="&amp;C19,Raw_Alerts!$E:$E,"Open")</f>
        <v/>
      </c>
      <c r="L19" s="4">
        <f>COUNTIFS(Raw_Alerts!$D:$D,"&gt;="&amp;B19,Raw_Alerts!$D:$D,"&lt;="&amp;C19,Raw_Alerts!$E:$E,"Escalated")</f>
        <v/>
      </c>
      <c r="M19" s="4">
        <f>COUNTIFS(Raw_Alerts!$D:$D,"&gt;="&amp;B19,Raw_Alerts!$D:$D,"&lt;="&amp;C19,Raw_Alerts!$E:$E,"Closed")</f>
        <v/>
      </c>
      <c r="N19" s="8">
        <f>IFERROR(AVERAGEIFS(Raw_Alerts!$F:$F,Raw_Alerts!$D:$D,"&gt;="&amp;B19,Raw_Alerts!$D:$D,"&lt;="&amp;C19,Raw_Alerts!$E:$E,"Closed"),0)</f>
        <v/>
      </c>
      <c r="O19" s="4">
        <f>COUNTIFS(Raw_Alerts!$D:$D,"&gt;="&amp;B19,Raw_Alerts!$D:$D,"&lt;="&amp;C19,Raw_Alerts!$F:$F,"&gt;"&amp;7)</f>
        <v/>
      </c>
      <c r="P19" s="9">
        <f>IFERROR(E19/D19,0)</f>
        <v/>
      </c>
    </row>
  </sheetData>
  <conditionalFormatting sqref="O2:O19">
    <cfRule type="cellIs" priority="1" operator="greaterThan" dxfId="5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18" customWidth="1" min="4" max="4"/>
    <col width="13" customWidth="1" min="5" max="5"/>
    <col width="17" customWidth="1" min="6" max="6"/>
    <col width="13" customWidth="1" min="7" max="7"/>
    <col width="11" customWidth="1" min="8" max="8"/>
    <col width="14" customWidth="1" min="9" max="9"/>
    <col width="12" customWidth="1" min="10" max="10"/>
    <col width="16" customWidth="1" min="11" max="11"/>
    <col width="14" customWidth="1" min="12" max="12"/>
    <col width="12" customWidth="1" min="13" max="13"/>
    <col width="16" customWidth="1" min="14" max="14"/>
    <col width="18" customWidth="1" min="15" max="15"/>
  </cols>
  <sheetData>
    <row r="1" ht="30" customHeight="1">
      <c r="A1" s="1" t="inlineStr">
        <is>
          <t>Month</t>
        </is>
      </c>
      <c r="B1" s="1" t="inlineStr">
        <is>
          <t>Month Start</t>
        </is>
      </c>
      <c r="C1" s="1" t="inlineStr">
        <is>
          <t>Month End</t>
        </is>
      </c>
      <c r="D1" s="1" t="inlineStr">
        <is>
          <t>Total Transactions</t>
        </is>
      </c>
      <c r="E1" s="1" t="inlineStr">
        <is>
          <t>Total Alerts</t>
        </is>
      </c>
      <c r="F1" s="1" t="inlineStr">
        <is>
          <t>Structuring Alerts</t>
        </is>
      </c>
      <c r="G1" s="1" t="inlineStr">
        <is>
          <t>Velocity Alerts</t>
        </is>
      </c>
      <c r="H1" s="1" t="inlineStr">
        <is>
          <t>Open Alerts</t>
        </is>
      </c>
      <c r="I1" s="1" t="inlineStr">
        <is>
          <t>Escalated Alerts</t>
        </is>
      </c>
      <c r="J1" s="1" t="inlineStr">
        <is>
          <t>Closed Alerts</t>
        </is>
      </c>
      <c r="K1" s="1" t="inlineStr">
        <is>
          <t>Avg Resolution Days</t>
        </is>
      </c>
      <c r="L1" s="1" t="inlineStr">
        <is>
          <t>SLA Breach Count</t>
        </is>
      </c>
      <c r="M1" s="1" t="inlineStr">
        <is>
          <t>Alert Rate %</t>
        </is>
      </c>
      <c r="N1" s="1" t="inlineStr">
        <is>
          <t>MoM Alert Change</t>
        </is>
      </c>
      <c r="O1" s="1" t="inlineStr">
        <is>
          <t>MoM SLA Breach Change</t>
        </is>
      </c>
    </row>
    <row r="2">
      <c r="A2" s="2" t="inlineStr">
        <is>
          <t>January 2026</t>
        </is>
      </c>
      <c r="B2" s="2" t="inlineStr">
        <is>
          <t>2026-01-01</t>
        </is>
      </c>
      <c r="C2" s="2" t="inlineStr">
        <is>
          <t>2026-01-31</t>
        </is>
      </c>
      <c r="D2" s="2">
        <f>COUNTIFS(Raw_Transactions!$C:$C,"&gt;="&amp;B2,Raw_Transactions!$C:$C,"&lt;="&amp;C2)</f>
        <v/>
      </c>
      <c r="E2" s="2">
        <f>COUNTIFS(Raw_Alerts!$D:$D,"&gt;="&amp;B2,Raw_Alerts!$D:$D,"&lt;="&amp;C2)</f>
        <v/>
      </c>
      <c r="F2" s="2">
        <f>COUNTIFS(Raw_Alerts!$D:$D,"&gt;="&amp;B2,Raw_Alerts!$D:$D,"&lt;="&amp;C2,Raw_Alerts!$C:$C,"Structuring")</f>
        <v/>
      </c>
      <c r="G2" s="2">
        <f>COUNTIFS(Raw_Alerts!$D:$D,"&gt;="&amp;B2,Raw_Alerts!$D:$D,"&lt;="&amp;C2,Raw_Alerts!$C:$C,"Velocity")</f>
        <v/>
      </c>
      <c r="H2" s="2">
        <f>COUNTIFS(Raw_Alerts!$D:$D,"&gt;="&amp;B2,Raw_Alerts!$D:$D,"&lt;="&amp;C2,Raw_Alerts!$E:$E,"Open")</f>
        <v/>
      </c>
      <c r="I2" s="2">
        <f>COUNTIFS(Raw_Alerts!$D:$D,"&gt;="&amp;B2,Raw_Alerts!$D:$D,"&lt;="&amp;C2,Raw_Alerts!$E:$E,"Escalated")</f>
        <v/>
      </c>
      <c r="J2" s="2">
        <f>COUNTIFS(Raw_Alerts!$D:$D,"&gt;="&amp;B2,Raw_Alerts!$D:$D,"&lt;="&amp;C2,Raw_Alerts!$E:$E,"Closed")</f>
        <v/>
      </c>
      <c r="K2" s="6">
        <f>IFERROR(AVERAGEIFS(Raw_Alerts!$F:$F,Raw_Alerts!$D:$D,"&gt;="&amp;B2,Raw_Alerts!$D:$D,"&lt;="&amp;C2,Raw_Alerts!$E:$E,"Closed"),0)</f>
        <v/>
      </c>
      <c r="L2" s="2">
        <f>COUNTIFS(Raw_Alerts!$D:$D,"&gt;="&amp;B2,Raw_Alerts!$D:$D,"&lt;="&amp;C2,Raw_Alerts!$F:$F,"&gt;"&amp;7)</f>
        <v/>
      </c>
      <c r="M2" s="7">
        <f>IFERROR(E2/D2,0)</f>
        <v/>
      </c>
      <c r="N2" s="2" t="inlineStr">
        <is>
          <t>N/A</t>
        </is>
      </c>
      <c r="O2" s="2" t="inlineStr">
        <is>
          <t>N/A</t>
        </is>
      </c>
    </row>
    <row r="3">
      <c r="A3" s="4" t="inlineStr">
        <is>
          <t>February 2026</t>
        </is>
      </c>
      <c r="B3" s="4" t="inlineStr">
        <is>
          <t>2026-02-01</t>
        </is>
      </c>
      <c r="C3" s="4" t="inlineStr">
        <is>
          <t>2026-02-28</t>
        </is>
      </c>
      <c r="D3" s="4">
        <f>COUNTIFS(Raw_Transactions!$C:$C,"&gt;="&amp;B3,Raw_Transactions!$C:$C,"&lt;="&amp;C3)</f>
        <v/>
      </c>
      <c r="E3" s="4">
        <f>COUNTIFS(Raw_Alerts!$D:$D,"&gt;="&amp;B3,Raw_Alerts!$D:$D,"&lt;="&amp;C3)</f>
        <v/>
      </c>
      <c r="F3" s="4">
        <f>COUNTIFS(Raw_Alerts!$D:$D,"&gt;="&amp;B3,Raw_Alerts!$D:$D,"&lt;="&amp;C3,Raw_Alerts!$C:$C,"Structuring")</f>
        <v/>
      </c>
      <c r="G3" s="4">
        <f>COUNTIFS(Raw_Alerts!$D:$D,"&gt;="&amp;B3,Raw_Alerts!$D:$D,"&lt;="&amp;C3,Raw_Alerts!$C:$C,"Velocity")</f>
        <v/>
      </c>
      <c r="H3" s="4">
        <f>COUNTIFS(Raw_Alerts!$D:$D,"&gt;="&amp;B3,Raw_Alerts!$D:$D,"&lt;="&amp;C3,Raw_Alerts!$E:$E,"Open")</f>
        <v/>
      </c>
      <c r="I3" s="4">
        <f>COUNTIFS(Raw_Alerts!$D:$D,"&gt;="&amp;B3,Raw_Alerts!$D:$D,"&lt;="&amp;C3,Raw_Alerts!$E:$E,"Escalated")</f>
        <v/>
      </c>
      <c r="J3" s="4">
        <f>COUNTIFS(Raw_Alerts!$D:$D,"&gt;="&amp;B3,Raw_Alerts!$D:$D,"&lt;="&amp;C3,Raw_Alerts!$E:$E,"Closed")</f>
        <v/>
      </c>
      <c r="K3" s="8">
        <f>IFERROR(AVERAGEIFS(Raw_Alerts!$F:$F,Raw_Alerts!$D:$D,"&gt;="&amp;B3,Raw_Alerts!$D:$D,"&lt;="&amp;C3,Raw_Alerts!$E:$E,"Closed"),0)</f>
        <v/>
      </c>
      <c r="L3" s="4">
        <f>COUNTIFS(Raw_Alerts!$D:$D,"&gt;="&amp;B3,Raw_Alerts!$D:$D,"&lt;="&amp;C3,Raw_Alerts!$F:$F,"&gt;"&amp;7)</f>
        <v/>
      </c>
      <c r="M3" s="9">
        <f>IFERROR(E3/D3,0)</f>
        <v/>
      </c>
      <c r="N3" s="9">
        <f>IFERROR((E3-E2)/E2,0)</f>
        <v/>
      </c>
      <c r="O3" s="9">
        <f>IFERROR((L3-L2)/L2,0)</f>
        <v/>
      </c>
    </row>
    <row r="4">
      <c r="A4" s="2" t="inlineStr">
        <is>
          <t>March 2026</t>
        </is>
      </c>
      <c r="B4" s="2" t="inlineStr">
        <is>
          <t>2026-03-01</t>
        </is>
      </c>
      <c r="C4" s="2" t="inlineStr">
        <is>
          <t>2026-03-31</t>
        </is>
      </c>
      <c r="D4" s="2">
        <f>COUNTIFS(Raw_Transactions!$C:$C,"&gt;="&amp;B4,Raw_Transactions!$C:$C,"&lt;="&amp;C4)</f>
        <v/>
      </c>
      <c r="E4" s="2">
        <f>COUNTIFS(Raw_Alerts!$D:$D,"&gt;="&amp;B4,Raw_Alerts!$D:$D,"&lt;="&amp;C4)</f>
        <v/>
      </c>
      <c r="F4" s="2">
        <f>COUNTIFS(Raw_Alerts!$D:$D,"&gt;="&amp;B4,Raw_Alerts!$D:$D,"&lt;="&amp;C4,Raw_Alerts!$C:$C,"Structuring")</f>
        <v/>
      </c>
      <c r="G4" s="2">
        <f>COUNTIFS(Raw_Alerts!$D:$D,"&gt;="&amp;B4,Raw_Alerts!$D:$D,"&lt;="&amp;C4,Raw_Alerts!$C:$C,"Velocity")</f>
        <v/>
      </c>
      <c r="H4" s="2">
        <f>COUNTIFS(Raw_Alerts!$D:$D,"&gt;="&amp;B4,Raw_Alerts!$D:$D,"&lt;="&amp;C4,Raw_Alerts!$E:$E,"Open")</f>
        <v/>
      </c>
      <c r="I4" s="2">
        <f>COUNTIFS(Raw_Alerts!$D:$D,"&gt;="&amp;B4,Raw_Alerts!$D:$D,"&lt;="&amp;C4,Raw_Alerts!$E:$E,"Escalated")</f>
        <v/>
      </c>
      <c r="J4" s="2">
        <f>COUNTIFS(Raw_Alerts!$D:$D,"&gt;="&amp;B4,Raw_Alerts!$D:$D,"&lt;="&amp;C4,Raw_Alerts!$E:$E,"Closed")</f>
        <v/>
      </c>
      <c r="K4" s="6">
        <f>IFERROR(AVERAGEIFS(Raw_Alerts!$F:$F,Raw_Alerts!$D:$D,"&gt;="&amp;B4,Raw_Alerts!$D:$D,"&lt;="&amp;C4,Raw_Alerts!$E:$E,"Closed"),0)</f>
        <v/>
      </c>
      <c r="L4" s="2">
        <f>COUNTIFS(Raw_Alerts!$D:$D,"&gt;="&amp;B4,Raw_Alerts!$D:$D,"&lt;="&amp;C4,Raw_Alerts!$F:$F,"&gt;"&amp;7)</f>
        <v/>
      </c>
      <c r="M4" s="7">
        <f>IFERROR(E4/D4,0)</f>
        <v/>
      </c>
      <c r="N4" s="7">
        <f>IFERROR((E4-E3)/E3,0)</f>
        <v/>
      </c>
      <c r="O4" s="7">
        <f>IFERROR((L4-L3)/L3,0)</f>
        <v/>
      </c>
    </row>
    <row r="5">
      <c r="A5" s="4" t="inlineStr">
        <is>
          <t>April 2026</t>
        </is>
      </c>
      <c r="B5" s="4" t="inlineStr">
        <is>
          <t>2026-04-01</t>
        </is>
      </c>
      <c r="C5" s="4" t="inlineStr">
        <is>
          <t>2026-04-30</t>
        </is>
      </c>
      <c r="D5" s="4">
        <f>COUNTIFS(Raw_Transactions!$C:$C,"&gt;="&amp;B5,Raw_Transactions!$C:$C,"&lt;="&amp;C5)</f>
        <v/>
      </c>
      <c r="E5" s="4">
        <f>COUNTIFS(Raw_Alerts!$D:$D,"&gt;="&amp;B5,Raw_Alerts!$D:$D,"&lt;="&amp;C5)</f>
        <v/>
      </c>
      <c r="F5" s="4">
        <f>COUNTIFS(Raw_Alerts!$D:$D,"&gt;="&amp;B5,Raw_Alerts!$D:$D,"&lt;="&amp;C5,Raw_Alerts!$C:$C,"Structuring")</f>
        <v/>
      </c>
      <c r="G5" s="4">
        <f>COUNTIFS(Raw_Alerts!$D:$D,"&gt;="&amp;B5,Raw_Alerts!$D:$D,"&lt;="&amp;C5,Raw_Alerts!$C:$C,"Velocity")</f>
        <v/>
      </c>
      <c r="H5" s="4">
        <f>COUNTIFS(Raw_Alerts!$D:$D,"&gt;="&amp;B5,Raw_Alerts!$D:$D,"&lt;="&amp;C5,Raw_Alerts!$E:$E,"Open")</f>
        <v/>
      </c>
      <c r="I5" s="4">
        <f>COUNTIFS(Raw_Alerts!$D:$D,"&gt;="&amp;B5,Raw_Alerts!$D:$D,"&lt;="&amp;C5,Raw_Alerts!$E:$E,"Escalated")</f>
        <v/>
      </c>
      <c r="J5" s="4">
        <f>COUNTIFS(Raw_Alerts!$D:$D,"&gt;="&amp;B5,Raw_Alerts!$D:$D,"&lt;="&amp;C5,Raw_Alerts!$E:$E,"Closed")</f>
        <v/>
      </c>
      <c r="K5" s="8">
        <f>IFERROR(AVERAGEIFS(Raw_Alerts!$F:$F,Raw_Alerts!$D:$D,"&gt;="&amp;B5,Raw_Alerts!$D:$D,"&lt;="&amp;C5,Raw_Alerts!$E:$E,"Closed"),0)</f>
        <v/>
      </c>
      <c r="L5" s="4">
        <f>COUNTIFS(Raw_Alerts!$D:$D,"&gt;="&amp;B5,Raw_Alerts!$D:$D,"&lt;="&amp;C5,Raw_Alerts!$F:$F,"&gt;"&amp;7)</f>
        <v/>
      </c>
      <c r="M5" s="9">
        <f>IFERROR(E5/D5,0)</f>
        <v/>
      </c>
      <c r="N5" s="9">
        <f>IFERROR((E5-E4)/E4,0)</f>
        <v/>
      </c>
      <c r="O5" s="9">
        <f>IFERROR((L5-L4)/L4,0)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3" t="inlineStr">
        <is>
          <t>AML Alert Scorecard — Filter by Alert Type</t>
        </is>
      </c>
    </row>
    <row r="3">
      <c r="A3" s="14" t="inlineStr">
        <is>
          <t>Select Alert Type:</t>
        </is>
      </c>
      <c r="B3" s="15" t="inlineStr">
        <is>
          <t>All</t>
        </is>
      </c>
    </row>
    <row r="5" ht="22" customHeight="1">
      <c r="A5" s="16" t="inlineStr">
        <is>
          <t>Metric</t>
        </is>
      </c>
      <c r="B5" s="16" t="inlineStr">
        <is>
          <t>Q1 (Jan)</t>
        </is>
      </c>
      <c r="C5" s="16" t="inlineStr">
        <is>
          <t>Q2 Feb</t>
        </is>
      </c>
      <c r="D5" s="16" t="inlineStr">
        <is>
          <t>Q3 Mar</t>
        </is>
      </c>
      <c r="E5" s="16" t="inlineStr">
        <is>
          <t>Q4 Apr</t>
        </is>
      </c>
      <c r="F5" s="16" t="inlineStr">
        <is>
          <t>Total</t>
        </is>
      </c>
    </row>
    <row r="6">
      <c r="A6" s="17" t="inlineStr">
        <is>
          <t>Alert Count</t>
        </is>
      </c>
      <c r="B6" s="2">
        <f>IF($B$3="All",COUNTIFS(Raw_Alerts!$D:$D,"&gt;="&amp;"2026-01-01",Raw_Alerts!$D:$D,"&lt;="&amp;"2026-01-31"),COUNTIFS(Raw_Alerts!$C:$C,$B$3,Raw_Alerts!$D:$D,"&gt;="&amp;"2026-01-01",Raw_Alerts!$D:$D,"&lt;="&amp;"2026-01-31"))</f>
        <v/>
      </c>
      <c r="C6" s="2">
        <f>IF($B$3="All",COUNTIFS(Raw_Alerts!$D:$D,"&gt;="&amp;"2026-02-01",Raw_Alerts!$D:$D,"&lt;="&amp;"2026-02-28"),COUNTIFS(Raw_Alerts!$C:$C,$B$3,Raw_Alerts!$D:$D,"&gt;="&amp;"2026-02-01",Raw_Alerts!$D:$D,"&lt;="&amp;"2026-02-28"))</f>
        <v/>
      </c>
      <c r="D6" s="2">
        <f>IF($B$3="All",COUNTIFS(Raw_Alerts!$D:$D,"&gt;="&amp;"2026-03-01",Raw_Alerts!$D:$D,"&lt;="&amp;"2026-03-31"),COUNTIFS(Raw_Alerts!$C:$C,$B$3,Raw_Alerts!$D:$D,"&gt;="&amp;"2026-03-01",Raw_Alerts!$D:$D,"&lt;="&amp;"2026-03-31"))</f>
        <v/>
      </c>
      <c r="E6" s="2">
        <f>IF($B$3="All",COUNTIFS(Raw_Alerts!$D:$D,"&gt;="&amp;"2026-04-01",Raw_Alerts!$D:$D,"&lt;="&amp;"2026-04-30"),COUNTIFS(Raw_Alerts!$C:$C,$B$3,Raw_Alerts!$D:$D,"&gt;="&amp;"2026-04-01",Raw_Alerts!$D:$D,"&lt;="&amp;"2026-04-30"))</f>
        <v/>
      </c>
      <c r="F6" s="17">
        <f>SUM(B6:E6)</f>
        <v/>
      </c>
    </row>
    <row r="7">
      <c r="A7" s="17" t="inlineStr">
        <is>
          <t>Open Alerts</t>
        </is>
      </c>
      <c r="B7" s="4">
        <f>IF($B$3="All",COUNTIFS(Raw_Alerts!$E:$E,"Open",Raw_Alerts!$D:$D,"&gt;="&amp;"2026-01-01",Raw_Alerts!$D:$D,"&lt;="&amp;"2026-01-31"),COUNTIFS(Raw_Alerts!$C:$C,$B$3,Raw_Alerts!$E:$E,"Open",Raw_Alerts!$D:$D,"&gt;="&amp;"2026-01-01",Raw_Alerts!$D:$D,"&lt;="&amp;"2026-01-31"))</f>
        <v/>
      </c>
      <c r="C7" s="4">
        <f>IF($B$3="All",COUNTIFS(Raw_Alerts!$E:$E,"Open",Raw_Alerts!$D:$D,"&gt;="&amp;"2026-02-01",Raw_Alerts!$D:$D,"&lt;="&amp;"2026-02-28"),COUNTIFS(Raw_Alerts!$C:$C,$B$3,Raw_Alerts!$E:$E,"Open",Raw_Alerts!$D:$D,"&gt;="&amp;"2026-02-01",Raw_Alerts!$D:$D,"&lt;="&amp;"2026-02-28"))</f>
        <v/>
      </c>
      <c r="D7" s="4">
        <f>IF($B$3="All",COUNTIFS(Raw_Alerts!$E:$E,"Open",Raw_Alerts!$D:$D,"&gt;="&amp;"2026-03-01",Raw_Alerts!$D:$D,"&lt;="&amp;"2026-03-31"),COUNTIFS(Raw_Alerts!$C:$C,$B$3,Raw_Alerts!$E:$E,"Open",Raw_Alerts!$D:$D,"&gt;="&amp;"2026-03-01",Raw_Alerts!$D:$D,"&lt;="&amp;"2026-03-31"))</f>
        <v/>
      </c>
      <c r="E7" s="4">
        <f>IF($B$3="All",COUNTIFS(Raw_Alerts!$E:$E,"Open",Raw_Alerts!$D:$D,"&gt;="&amp;"2026-04-01",Raw_Alerts!$D:$D,"&lt;="&amp;"2026-04-30"),COUNTIFS(Raw_Alerts!$C:$C,$B$3,Raw_Alerts!$E:$E,"Open",Raw_Alerts!$D:$D,"&gt;="&amp;"2026-04-01",Raw_Alerts!$D:$D,"&lt;="&amp;"2026-04-30"))</f>
        <v/>
      </c>
      <c r="F7" s="17">
        <f>SUM(B7:E7)</f>
        <v/>
      </c>
    </row>
    <row r="8">
      <c r="A8" s="17" t="inlineStr">
        <is>
          <t>Escalated Alerts</t>
        </is>
      </c>
      <c r="B8" s="2">
        <f>IF($B$3="All",COUNTIFS(Raw_Alerts!$E:$E,"Escalated",Raw_Alerts!$D:$D,"&gt;="&amp;"2026-01-01",Raw_Alerts!$D:$D,"&lt;="&amp;"2026-01-31"),COUNTIFS(Raw_Alerts!$C:$C,$B$3,Raw_Alerts!$E:$E,"Escalated",Raw_Alerts!$D:$D,"&gt;="&amp;"2026-01-01",Raw_Alerts!$D:$D,"&lt;="&amp;"2026-01-31"))</f>
        <v/>
      </c>
      <c r="C8" s="2">
        <f>IF($B$3="All",COUNTIFS(Raw_Alerts!$E:$E,"Escalated",Raw_Alerts!$D:$D,"&gt;="&amp;"2026-02-01",Raw_Alerts!$D:$D,"&lt;="&amp;"2026-02-28"),COUNTIFS(Raw_Alerts!$C:$C,$B$3,Raw_Alerts!$E:$E,"Escalated",Raw_Alerts!$D:$D,"&gt;="&amp;"2026-02-01",Raw_Alerts!$D:$D,"&lt;="&amp;"2026-02-28"))</f>
        <v/>
      </c>
      <c r="D8" s="2">
        <f>IF($B$3="All",COUNTIFS(Raw_Alerts!$E:$E,"Escalated",Raw_Alerts!$D:$D,"&gt;="&amp;"2026-03-01",Raw_Alerts!$D:$D,"&lt;="&amp;"2026-03-31"),COUNTIFS(Raw_Alerts!$C:$C,$B$3,Raw_Alerts!$E:$E,"Escalated",Raw_Alerts!$D:$D,"&gt;="&amp;"2026-03-01",Raw_Alerts!$D:$D,"&lt;="&amp;"2026-03-31"))</f>
        <v/>
      </c>
      <c r="E8" s="2">
        <f>IF($B$3="All",COUNTIFS(Raw_Alerts!$E:$E,"Escalated",Raw_Alerts!$D:$D,"&gt;="&amp;"2026-04-01",Raw_Alerts!$D:$D,"&lt;="&amp;"2026-04-30"),COUNTIFS(Raw_Alerts!$C:$C,$B$3,Raw_Alerts!$E:$E,"Escalated",Raw_Alerts!$D:$D,"&gt;="&amp;"2026-04-01",Raw_Alerts!$D:$D,"&lt;="&amp;"2026-04-30"))</f>
        <v/>
      </c>
      <c r="F8" s="17">
        <f>SUM(B8:E8)</f>
        <v/>
      </c>
    </row>
    <row r="9">
      <c r="A9" s="17" t="inlineStr">
        <is>
          <t>Closed Alerts</t>
        </is>
      </c>
      <c r="B9" s="4">
        <f>IF($B$3="All",COUNTIFS(Raw_Alerts!$E:$E,"Closed",Raw_Alerts!$D:$D,"&gt;="&amp;"2026-01-01",Raw_Alerts!$D:$D,"&lt;="&amp;"2026-01-31"),COUNTIFS(Raw_Alerts!$C:$C,$B$3,Raw_Alerts!$E:$E,"Closed",Raw_Alerts!$D:$D,"&gt;="&amp;"2026-01-01",Raw_Alerts!$D:$D,"&lt;="&amp;"2026-01-31"))</f>
        <v/>
      </c>
      <c r="C9" s="4">
        <f>IF($B$3="All",COUNTIFS(Raw_Alerts!$E:$E,"Closed",Raw_Alerts!$D:$D,"&gt;="&amp;"2026-02-01",Raw_Alerts!$D:$D,"&lt;="&amp;"2026-02-28"),COUNTIFS(Raw_Alerts!$C:$C,$B$3,Raw_Alerts!$E:$E,"Closed",Raw_Alerts!$D:$D,"&gt;="&amp;"2026-02-01",Raw_Alerts!$D:$D,"&lt;="&amp;"2026-02-28"))</f>
        <v/>
      </c>
      <c r="D9" s="4">
        <f>IF($B$3="All",COUNTIFS(Raw_Alerts!$E:$E,"Closed",Raw_Alerts!$D:$D,"&gt;="&amp;"2026-03-01",Raw_Alerts!$D:$D,"&lt;="&amp;"2026-03-31"),COUNTIFS(Raw_Alerts!$C:$C,$B$3,Raw_Alerts!$E:$E,"Closed",Raw_Alerts!$D:$D,"&gt;="&amp;"2026-03-01",Raw_Alerts!$D:$D,"&lt;="&amp;"2026-03-31"))</f>
        <v/>
      </c>
      <c r="E9" s="4">
        <f>IF($B$3="All",COUNTIFS(Raw_Alerts!$E:$E,"Closed",Raw_Alerts!$D:$D,"&gt;="&amp;"2026-04-01",Raw_Alerts!$D:$D,"&lt;="&amp;"2026-04-30"),COUNTIFS(Raw_Alerts!$C:$C,$B$3,Raw_Alerts!$E:$E,"Closed",Raw_Alerts!$D:$D,"&gt;="&amp;"2026-04-01",Raw_Alerts!$D:$D,"&lt;="&amp;"2026-04-30"))</f>
        <v/>
      </c>
      <c r="F9" s="17">
        <f>SUM(B9:E9)</f>
        <v/>
      </c>
    </row>
    <row r="10">
      <c r="A10" s="17" t="inlineStr">
        <is>
          <t>SLA Breaches (&gt;7d)</t>
        </is>
      </c>
      <c r="B10" s="2">
        <f>IF($B$3="All",COUNTIFS(Raw_Alerts!$F:$F,"&gt;"&amp;7,Raw_Alerts!$D:$D,"&gt;="&amp;"2026-01-01",Raw_Alerts!$D:$D,"&lt;="&amp;"2026-01-31"),COUNTIFS(Raw_Alerts!$C:$C,$B$3,Raw_Alerts!$F:$F,"&gt;"&amp;7,Raw_Alerts!$D:$D,"&gt;="&amp;"2026-01-01",Raw_Alerts!$D:$D,"&lt;="&amp;"2026-01-31"))</f>
        <v/>
      </c>
      <c r="C10" s="2">
        <f>IF($B$3="All",COUNTIFS(Raw_Alerts!$F:$F,"&gt;"&amp;7,Raw_Alerts!$D:$D,"&gt;="&amp;"2026-02-01",Raw_Alerts!$D:$D,"&lt;="&amp;"2026-02-28"),COUNTIFS(Raw_Alerts!$C:$C,$B$3,Raw_Alerts!$F:$F,"&gt;"&amp;7,Raw_Alerts!$D:$D,"&gt;="&amp;"2026-02-01",Raw_Alerts!$D:$D,"&lt;="&amp;"2026-02-28"))</f>
        <v/>
      </c>
      <c r="D10" s="2">
        <f>IF($B$3="All",COUNTIFS(Raw_Alerts!$F:$F,"&gt;"&amp;7,Raw_Alerts!$D:$D,"&gt;="&amp;"2026-03-01",Raw_Alerts!$D:$D,"&lt;="&amp;"2026-03-31"),COUNTIFS(Raw_Alerts!$C:$C,$B$3,Raw_Alerts!$F:$F,"&gt;"&amp;7,Raw_Alerts!$D:$D,"&gt;="&amp;"2026-03-01",Raw_Alerts!$D:$D,"&lt;="&amp;"2026-03-31"))</f>
        <v/>
      </c>
      <c r="E10" s="2">
        <f>IF($B$3="All",COUNTIFS(Raw_Alerts!$F:$F,"&gt;"&amp;7,Raw_Alerts!$D:$D,"&gt;="&amp;"2026-04-01",Raw_Alerts!$D:$D,"&lt;="&amp;"2026-04-30"),COUNTIFS(Raw_Alerts!$C:$C,$B$3,Raw_Alerts!$F:$F,"&gt;"&amp;7,Raw_Alerts!$D:$D,"&gt;="&amp;"2026-04-01",Raw_Alerts!$D:$D,"&lt;="&amp;"2026-04-30"))</f>
        <v/>
      </c>
      <c r="F10" s="17">
        <f>SUM(B10:E10)</f>
        <v/>
      </c>
    </row>
  </sheetData>
  <mergeCells count="1">
    <mergeCell ref="A1:F1"/>
  </mergeCells>
  <dataValidations count="1">
    <dataValidation sqref="B3" showDropDown="0" showInputMessage="0" showErrorMessage="0" allowBlank="0" type="list">
      <formula1>"All,Structuring,Velocity,High-Risk Country,Round-Amount,Dormant-Reactivation"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4" customWidth="1" min="10" max="10"/>
    <col width="13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8" t="inlineStr">
        <is>
          <t>AML TRANSACTION MONITORING MIS DASHBOARD  |  Jan-Apr 2026</t>
        </is>
      </c>
    </row>
    <row r="2">
      <c r="A2" s="19" t="inlineStr">
        <is>
          <t>American Express — AML Compliance  |  Reporting Period: Q1 2026 (120 days)</t>
        </is>
      </c>
    </row>
    <row r="4" ht="18" customHeight="1">
      <c r="A4" s="20" t="inlineStr">
        <is>
          <t>TOTAL TRANSACTIONS</t>
        </is>
      </c>
      <c r="D4" s="20" t="inlineStr">
        <is>
          <t>TOTAL ALERTS</t>
        </is>
      </c>
      <c r="G4" s="20" t="inlineStr">
        <is>
          <t>OPEN / ESCALATED</t>
        </is>
      </c>
      <c r="J4" s="20" t="inlineStr">
        <is>
          <t>STRUCTURING ALERTS</t>
        </is>
      </c>
      <c r="M4" s="20" t="inlineStr">
        <is>
          <t>HIGH-RISK CUSTOMERS</t>
        </is>
      </c>
    </row>
    <row r="5" ht="36" customHeight="1">
      <c r="A5" s="21">
        <f>COUNTA(Raw_Transactions!$A:$A)-1</f>
        <v/>
      </c>
      <c r="D5" s="21">
        <f>COUNTA(Raw_Alerts!$A:$A)-1</f>
        <v/>
      </c>
      <c r="G5" s="21">
        <f>COUNTIF(Raw_Alerts!$E:$E,"Open")+COUNTIF(Raw_Alerts!$E:$E,"Escalated")</f>
        <v/>
      </c>
      <c r="J5" s="21">
        <f>COUNTIF(Raw_Alerts!$C:$C,"Structuring")</f>
        <v/>
      </c>
      <c r="M5" s="21">
        <f>COUNTIF(Raw_Risk_Profiles!$B:$B,"High")</f>
        <v/>
      </c>
    </row>
    <row r="8">
      <c r="A8" s="22" t="inlineStr">
        <is>
          <t>Weekly Alert Trend (Structuring Highlighted)</t>
        </is>
      </c>
      <c r="H8" s="22" t="inlineStr">
        <is>
          <t>Monthly MIS Summary</t>
        </is>
      </c>
    </row>
    <row r="9">
      <c r="A9" s="16" t="inlineStr">
        <is>
          <t>Month</t>
        </is>
      </c>
      <c r="B9" s="16" t="inlineStr">
        <is>
          <t>Txns</t>
        </is>
      </c>
      <c r="C9" s="16" t="inlineStr">
        <is>
          <t>Alerts</t>
        </is>
      </c>
      <c r="D9" s="16" t="inlineStr">
        <is>
          <t>Struct</t>
        </is>
      </c>
      <c r="E9" s="16" t="inlineStr">
        <is>
          <t>SLA Breach</t>
        </is>
      </c>
      <c r="F9" s="16" t="inlineStr">
        <is>
          <t>Alert%</t>
        </is>
      </c>
      <c r="G9" s="16" t="inlineStr">
        <is>
          <t>MoM %</t>
        </is>
      </c>
      <c r="H9" s="20" t="inlineStr">
        <is>
          <t>Month</t>
        </is>
      </c>
      <c r="I9" s="20" t="inlineStr">
        <is>
          <t>Txns</t>
        </is>
      </c>
      <c r="J9" s="20" t="inlineStr">
        <is>
          <t>Alerts</t>
        </is>
      </c>
      <c r="K9" s="20" t="inlineStr">
        <is>
          <t>Struct</t>
        </is>
      </c>
      <c r="L9" s="20" t="inlineStr">
        <is>
          <t>SLA Breach</t>
        </is>
      </c>
      <c r="M9" s="20" t="inlineStr">
        <is>
          <t>Alert%</t>
        </is>
      </c>
      <c r="N9" s="20" t="inlineStr">
        <is>
          <t>MoM %</t>
        </is>
      </c>
    </row>
    <row r="10">
      <c r="A10" s="2">
        <f>Weekly_MIS_Report!A2</f>
        <v/>
      </c>
      <c r="B10" s="2">
        <f>Weekly_MIS_Report!B2</f>
        <v/>
      </c>
      <c r="C10" s="2">
        <f>Weekly_MIS_Report!E2</f>
        <v/>
      </c>
      <c r="D10" s="2">
        <f>Weekly_MIS_Report!F2</f>
        <v/>
      </c>
      <c r="E10" s="2">
        <f>Weekly_MIS_Report!G2</f>
        <v/>
      </c>
      <c r="F10" s="2">
        <f>Weekly_MIS_Report!K2+Weekly_MIS_Report!L2</f>
        <v/>
      </c>
      <c r="H10" s="2">
        <f>Monthly_MIS_Report!A2</f>
        <v/>
      </c>
      <c r="I10" s="2">
        <f>Monthly_MIS_Report!D2</f>
        <v/>
      </c>
      <c r="J10" s="2">
        <f>Monthly_MIS_Report!E2</f>
        <v/>
      </c>
      <c r="K10" s="2">
        <f>Monthly_MIS_Report!F2</f>
        <v/>
      </c>
      <c r="L10" s="2">
        <f>Monthly_MIS_Report!L2</f>
        <v/>
      </c>
      <c r="M10" s="7">
        <f>Monthly_MIS_Report!M2</f>
        <v/>
      </c>
      <c r="N10" s="2" t="inlineStr">
        <is>
          <t>N/A</t>
        </is>
      </c>
    </row>
    <row r="11">
      <c r="A11" s="4">
        <f>Weekly_MIS_Report!A3</f>
        <v/>
      </c>
      <c r="B11" s="4">
        <f>Weekly_MIS_Report!B3</f>
        <v/>
      </c>
      <c r="C11" s="4">
        <f>Weekly_MIS_Report!E3</f>
        <v/>
      </c>
      <c r="D11" s="4">
        <f>Weekly_MIS_Report!F3</f>
        <v/>
      </c>
      <c r="E11" s="4">
        <f>Weekly_MIS_Report!G3</f>
        <v/>
      </c>
      <c r="F11" s="4">
        <f>Weekly_MIS_Report!K3+Weekly_MIS_Report!L3</f>
        <v/>
      </c>
      <c r="H11" s="4">
        <f>Monthly_MIS_Report!A3</f>
        <v/>
      </c>
      <c r="I11" s="4">
        <f>Monthly_MIS_Report!D3</f>
        <v/>
      </c>
      <c r="J11" s="4">
        <f>Monthly_MIS_Report!E3</f>
        <v/>
      </c>
      <c r="K11" s="4">
        <f>Monthly_MIS_Report!F3</f>
        <v/>
      </c>
      <c r="L11" s="4">
        <f>Monthly_MIS_Report!L3</f>
        <v/>
      </c>
      <c r="M11" s="9">
        <f>Monthly_MIS_Report!M3</f>
        <v/>
      </c>
      <c r="N11" s="9">
        <f>Monthly_MIS_Report!N3</f>
        <v/>
      </c>
    </row>
    <row r="12">
      <c r="A12" s="2">
        <f>Weekly_MIS_Report!A4</f>
        <v/>
      </c>
      <c r="B12" s="2">
        <f>Weekly_MIS_Report!B4</f>
        <v/>
      </c>
      <c r="C12" s="2">
        <f>Weekly_MIS_Report!E4</f>
        <v/>
      </c>
      <c r="D12" s="2">
        <f>Weekly_MIS_Report!F4</f>
        <v/>
      </c>
      <c r="E12" s="2">
        <f>Weekly_MIS_Report!G4</f>
        <v/>
      </c>
      <c r="F12" s="2">
        <f>Weekly_MIS_Report!K4+Weekly_MIS_Report!L4</f>
        <v/>
      </c>
      <c r="H12" s="2">
        <f>Monthly_MIS_Report!A4</f>
        <v/>
      </c>
      <c r="I12" s="2">
        <f>Monthly_MIS_Report!D4</f>
        <v/>
      </c>
      <c r="J12" s="2">
        <f>Monthly_MIS_Report!E4</f>
        <v/>
      </c>
      <c r="K12" s="2">
        <f>Monthly_MIS_Report!F4</f>
        <v/>
      </c>
      <c r="L12" s="2">
        <f>Monthly_MIS_Report!L4</f>
        <v/>
      </c>
      <c r="M12" s="7">
        <f>Monthly_MIS_Report!M4</f>
        <v/>
      </c>
      <c r="N12" s="7">
        <f>Monthly_MIS_Report!N4</f>
        <v/>
      </c>
    </row>
    <row r="13">
      <c r="A13" s="4">
        <f>Weekly_MIS_Report!A5</f>
        <v/>
      </c>
      <c r="B13" s="4">
        <f>Weekly_MIS_Report!B5</f>
        <v/>
      </c>
      <c r="C13" s="4">
        <f>Weekly_MIS_Report!E5</f>
        <v/>
      </c>
      <c r="D13" s="4">
        <f>Weekly_MIS_Report!F5</f>
        <v/>
      </c>
      <c r="E13" s="4">
        <f>Weekly_MIS_Report!G5</f>
        <v/>
      </c>
      <c r="F13" s="4">
        <f>Weekly_MIS_Report!K5+Weekly_MIS_Report!L5</f>
        <v/>
      </c>
      <c r="H13" s="4">
        <f>Monthly_MIS_Report!A5</f>
        <v/>
      </c>
      <c r="I13" s="4">
        <f>Monthly_MIS_Report!D5</f>
        <v/>
      </c>
      <c r="J13" s="4">
        <f>Monthly_MIS_Report!E5</f>
        <v/>
      </c>
      <c r="K13" s="4">
        <f>Monthly_MIS_Report!F5</f>
        <v/>
      </c>
      <c r="L13" s="4">
        <f>Monthly_MIS_Report!L5</f>
        <v/>
      </c>
      <c r="M13" s="9">
        <f>Monthly_MIS_Report!M5</f>
        <v/>
      </c>
      <c r="N13" s="9">
        <f>Monthly_MIS_Report!N5</f>
        <v/>
      </c>
    </row>
    <row r="14">
      <c r="A14" s="2">
        <f>Weekly_MIS_Report!A6</f>
        <v/>
      </c>
      <c r="B14" s="2">
        <f>Weekly_MIS_Report!B6</f>
        <v/>
      </c>
      <c r="C14" s="2">
        <f>Weekly_MIS_Report!E6</f>
        <v/>
      </c>
      <c r="D14" s="2">
        <f>Weekly_MIS_Report!F6</f>
        <v/>
      </c>
      <c r="E14" s="2">
        <f>Weekly_MIS_Report!G6</f>
        <v/>
      </c>
      <c r="F14" s="2">
        <f>Weekly_MIS_Report!K6+Weekly_MIS_Report!L6</f>
        <v/>
      </c>
    </row>
    <row r="15">
      <c r="A15" s="4">
        <f>Weekly_MIS_Report!A7</f>
        <v/>
      </c>
      <c r="B15" s="4">
        <f>Weekly_MIS_Report!B7</f>
        <v/>
      </c>
      <c r="C15" s="4">
        <f>Weekly_MIS_Report!E7</f>
        <v/>
      </c>
      <c r="D15" s="4">
        <f>Weekly_MIS_Report!F7</f>
        <v/>
      </c>
      <c r="E15" s="4">
        <f>Weekly_MIS_Report!G7</f>
        <v/>
      </c>
      <c r="F15" s="4">
        <f>Weekly_MIS_Report!K7+Weekly_MIS_Report!L7</f>
        <v/>
      </c>
    </row>
    <row r="16">
      <c r="A16" s="2">
        <f>Weekly_MIS_Report!A8</f>
        <v/>
      </c>
      <c r="B16" s="2">
        <f>Weekly_MIS_Report!B8</f>
        <v/>
      </c>
      <c r="C16" s="2">
        <f>Weekly_MIS_Report!E8</f>
        <v/>
      </c>
      <c r="D16" s="2">
        <f>Weekly_MIS_Report!F8</f>
        <v/>
      </c>
      <c r="E16" s="2">
        <f>Weekly_MIS_Report!G8</f>
        <v/>
      </c>
      <c r="F16" s="2">
        <f>Weekly_MIS_Report!K8+Weekly_MIS_Report!L8</f>
        <v/>
      </c>
    </row>
    <row r="17">
      <c r="A17" s="4">
        <f>Weekly_MIS_Report!A9</f>
        <v/>
      </c>
      <c r="B17" s="4">
        <f>Weekly_MIS_Report!B9</f>
        <v/>
      </c>
      <c r="C17" s="4">
        <f>Weekly_MIS_Report!E9</f>
        <v/>
      </c>
      <c r="D17" s="4">
        <f>Weekly_MIS_Report!F9</f>
        <v/>
      </c>
      <c r="E17" s="4">
        <f>Weekly_MIS_Report!G9</f>
        <v/>
      </c>
      <c r="F17" s="4">
        <f>Weekly_MIS_Report!K9+Weekly_MIS_Report!L9</f>
        <v/>
      </c>
    </row>
    <row r="18">
      <c r="A18" s="2">
        <f>Weekly_MIS_Report!A10</f>
        <v/>
      </c>
      <c r="B18" s="2">
        <f>Weekly_MIS_Report!B10</f>
        <v/>
      </c>
      <c r="C18" s="2">
        <f>Weekly_MIS_Report!E10</f>
        <v/>
      </c>
      <c r="D18" s="2">
        <f>Weekly_MIS_Report!F10</f>
        <v/>
      </c>
      <c r="E18" s="2">
        <f>Weekly_MIS_Report!G10</f>
        <v/>
      </c>
      <c r="F18" s="2">
        <f>Weekly_MIS_Report!K10+Weekly_MIS_Report!L10</f>
        <v/>
      </c>
    </row>
    <row r="19">
      <c r="A19" s="4">
        <f>Weekly_MIS_Report!A11</f>
        <v/>
      </c>
      <c r="B19" s="4">
        <f>Weekly_MIS_Report!B11</f>
        <v/>
      </c>
      <c r="C19" s="4">
        <f>Weekly_MIS_Report!E11</f>
        <v/>
      </c>
      <c r="D19" s="4">
        <f>Weekly_MIS_Report!F11</f>
        <v/>
      </c>
      <c r="E19" s="4">
        <f>Weekly_MIS_Report!G11</f>
        <v/>
      </c>
      <c r="F19" s="4">
        <f>Weekly_MIS_Report!K11+Weekly_MIS_Report!L11</f>
        <v/>
      </c>
    </row>
    <row r="20">
      <c r="A20" s="2">
        <f>Weekly_MIS_Report!A12</f>
        <v/>
      </c>
      <c r="B20" s="2">
        <f>Weekly_MIS_Report!B12</f>
        <v/>
      </c>
      <c r="C20" s="2">
        <f>Weekly_MIS_Report!E12</f>
        <v/>
      </c>
      <c r="D20" s="2">
        <f>Weekly_MIS_Report!F12</f>
        <v/>
      </c>
      <c r="E20" s="2">
        <f>Weekly_MIS_Report!G12</f>
        <v/>
      </c>
      <c r="F20" s="2">
        <f>Weekly_MIS_Report!K12+Weekly_MIS_Report!L12</f>
        <v/>
      </c>
    </row>
    <row r="21">
      <c r="A21" s="4">
        <f>Weekly_MIS_Report!A13</f>
        <v/>
      </c>
      <c r="B21" s="4">
        <f>Weekly_MIS_Report!B13</f>
        <v/>
      </c>
      <c r="C21" s="4">
        <f>Weekly_MIS_Report!E13</f>
        <v/>
      </c>
      <c r="D21" s="4">
        <f>Weekly_MIS_Report!F13</f>
        <v/>
      </c>
      <c r="E21" s="4">
        <f>Weekly_MIS_Report!G13</f>
        <v/>
      </c>
      <c r="F21" s="4">
        <f>Weekly_MIS_Report!K13+Weekly_MIS_Report!L13</f>
        <v/>
      </c>
    </row>
    <row r="22">
      <c r="A22" s="2">
        <f>Weekly_MIS_Report!A14</f>
        <v/>
      </c>
      <c r="B22" s="2">
        <f>Weekly_MIS_Report!B14</f>
        <v/>
      </c>
      <c r="C22" s="2">
        <f>Weekly_MIS_Report!E14</f>
        <v/>
      </c>
      <c r="D22" s="2">
        <f>Weekly_MIS_Report!F14</f>
        <v/>
      </c>
      <c r="E22" s="2">
        <f>Weekly_MIS_Report!G14</f>
        <v/>
      </c>
      <c r="F22" s="2">
        <f>Weekly_MIS_Report!K14+Weekly_MIS_Report!L14</f>
        <v/>
      </c>
    </row>
    <row r="23">
      <c r="A23" s="4">
        <f>Weekly_MIS_Report!A15</f>
        <v/>
      </c>
      <c r="B23" s="4">
        <f>Weekly_MIS_Report!B15</f>
        <v/>
      </c>
      <c r="C23" s="4">
        <f>Weekly_MIS_Report!E15</f>
        <v/>
      </c>
      <c r="D23" s="4">
        <f>Weekly_MIS_Report!F15</f>
        <v/>
      </c>
      <c r="E23" s="4">
        <f>Weekly_MIS_Report!G15</f>
        <v/>
      </c>
      <c r="F23" s="4">
        <f>Weekly_MIS_Report!K15+Weekly_MIS_Report!L15</f>
        <v/>
      </c>
    </row>
    <row r="24">
      <c r="A24" s="2">
        <f>Weekly_MIS_Report!A16</f>
        <v/>
      </c>
      <c r="B24" s="2">
        <f>Weekly_MIS_Report!B16</f>
        <v/>
      </c>
      <c r="C24" s="2">
        <f>Weekly_MIS_Report!E16</f>
        <v/>
      </c>
      <c r="D24" s="2">
        <f>Weekly_MIS_Report!F16</f>
        <v/>
      </c>
      <c r="E24" s="2">
        <f>Weekly_MIS_Report!G16</f>
        <v/>
      </c>
      <c r="F24" s="2">
        <f>Weekly_MIS_Report!K16+Weekly_MIS_Report!L16</f>
        <v/>
      </c>
    </row>
    <row r="25">
      <c r="A25" s="4">
        <f>Weekly_MIS_Report!A17</f>
        <v/>
      </c>
      <c r="B25" s="4">
        <f>Weekly_MIS_Report!B17</f>
        <v/>
      </c>
      <c r="C25" s="4">
        <f>Weekly_MIS_Report!E17</f>
        <v/>
      </c>
      <c r="D25" s="4">
        <f>Weekly_MIS_Report!F17</f>
        <v/>
      </c>
      <c r="E25" s="4">
        <f>Weekly_MIS_Report!G17</f>
        <v/>
      </c>
      <c r="F25" s="4">
        <f>Weekly_MIS_Report!K17+Weekly_MIS_Report!L17</f>
        <v/>
      </c>
    </row>
    <row r="26">
      <c r="A26" s="2">
        <f>Weekly_MIS_Report!A18</f>
        <v/>
      </c>
      <c r="B26" s="2">
        <f>Weekly_MIS_Report!B18</f>
        <v/>
      </c>
      <c r="C26" s="2">
        <f>Weekly_MIS_Report!E18</f>
        <v/>
      </c>
      <c r="D26" s="2">
        <f>Weekly_MIS_Report!F18</f>
        <v/>
      </c>
      <c r="E26" s="2">
        <f>Weekly_MIS_Report!G18</f>
        <v/>
      </c>
      <c r="F26" s="2">
        <f>Weekly_MIS_Report!K18+Weekly_MIS_Report!L18</f>
        <v/>
      </c>
    </row>
    <row r="27">
      <c r="A27" s="4">
        <f>Weekly_MIS_Report!A19</f>
        <v/>
      </c>
      <c r="B27" s="4">
        <f>Weekly_MIS_Report!B19</f>
        <v/>
      </c>
      <c r="C27" s="4">
        <f>Weekly_MIS_Report!E19</f>
        <v/>
      </c>
      <c r="D27" s="4">
        <f>Weekly_MIS_Report!F19</f>
        <v/>
      </c>
      <c r="E27" s="4">
        <f>Weekly_MIS_Report!G19</f>
        <v/>
      </c>
      <c r="F27" s="4">
        <f>Weekly_MIS_Report!K19+Weekly_MIS_Report!L19</f>
        <v/>
      </c>
    </row>
    <row r="30">
      <c r="A30" s="22" t="inlineStr">
        <is>
          <t>Data Quality Flag Summary</t>
        </is>
      </c>
    </row>
    <row r="31">
      <c r="A31" s="16" t="inlineStr">
        <is>
          <t>Flag Type</t>
        </is>
      </c>
      <c r="B31" s="16" t="inlineStr">
        <is>
          <t>Count</t>
        </is>
      </c>
      <c r="C31" s="23" t="n"/>
      <c r="D31" s="23" t="n"/>
      <c r="E31" s="23" t="n"/>
      <c r="F31" s="24" t="n"/>
    </row>
    <row r="32">
      <c r="A32" s="25" t="inlineStr">
        <is>
          <t>CRITICAL: No Risk Profile</t>
        </is>
      </c>
      <c r="B32" s="26">
        <f>COUNTIF(Consolidated_View!$P:$P,"CRITICAL*")</f>
        <v/>
      </c>
    </row>
    <row r="33">
      <c r="A33" s="25" t="inlineStr">
        <is>
          <t>WARN: Missing KYC</t>
        </is>
      </c>
      <c r="B33" s="27">
        <f>COUNTIF(Consolidated_View!$P:$P,"WARN: Missing KYC")</f>
        <v/>
      </c>
    </row>
    <row r="34">
      <c r="A34" s="25" t="inlineStr">
        <is>
          <t>WARN: KYC Expired</t>
        </is>
      </c>
      <c r="B34" s="26">
        <f>COUNTIF(Consolidated_View!$P:$P,"WARN: KYC Expired")</f>
        <v/>
      </c>
    </row>
    <row r="35">
      <c r="A35" s="25" t="inlineStr">
        <is>
          <t>INFO: KYC Pending</t>
        </is>
      </c>
      <c r="B35" s="27">
        <f>COUNTIF(Consolidated_View!$P:$P,"INFO*")</f>
        <v/>
      </c>
    </row>
    <row r="36">
      <c r="A36" s="25" t="inlineStr">
        <is>
          <t>OK — No Issues</t>
        </is>
      </c>
      <c r="B36" s="26">
        <f>COUNTIF(Consolidated_View!$P:$P,"OK")</f>
        <v/>
      </c>
    </row>
  </sheetData>
  <mergeCells count="21">
    <mergeCell ref="B31:F31"/>
    <mergeCell ref="J4:L4"/>
    <mergeCell ref="M5:N5"/>
    <mergeCell ref="A1:N1"/>
    <mergeCell ref="H8:N8"/>
    <mergeCell ref="A5:C5"/>
    <mergeCell ref="G5:I5"/>
    <mergeCell ref="D4:F4"/>
    <mergeCell ref="A8:F8"/>
    <mergeCell ref="G4:I4"/>
    <mergeCell ref="A4:C4"/>
    <mergeCell ref="D5:F5"/>
    <mergeCell ref="B34:F34"/>
    <mergeCell ref="A2:N2"/>
    <mergeCell ref="A30:F30"/>
    <mergeCell ref="J5:L5"/>
    <mergeCell ref="B33:F33"/>
    <mergeCell ref="B36:F36"/>
    <mergeCell ref="B32:F32"/>
    <mergeCell ref="M4:N4"/>
    <mergeCell ref="B35:F35"/>
  </mergeCells>
  <conditionalFormatting sqref="D10:D27">
    <cfRule type="cellIs" priority="1" operator="greaterThan" dxfId="0">
      <formula>20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2026-07-12T13:25:18Z</dcterms:created>
  <dcterms:modified xmlns:dcterms="http://purl.org/dc/terms/" xmlns:xsi="http://www.w3.org/2001/XMLSchema-instance" xsi:type="dcterms:W3CDTF">2026-07-12T13:25:24Z</dcterms:modified>
</cp:coreProperties>
</file>